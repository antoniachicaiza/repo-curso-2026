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3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theme/themeOverride1.xml" ContentType="application/vnd.openxmlformats-officedocument.themeOverride+xml"/>
  <Override PartName="/xl/drawings/drawing19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20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21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22.xml" ContentType="application/vnd.openxmlformats-officedocument.drawing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i/Documents/Informes/INFORME 22. AGO 2026/"/>
    </mc:Choice>
  </mc:AlternateContent>
  <xr:revisionPtr revIDLastSave="0" documentId="13_ncr:1_{AC648C91-6400-5D46-BEA5-8FD70D15FC5D}" xr6:coauthVersionLast="47" xr6:coauthVersionMax="47" xr10:uidLastSave="{00000000-0000-0000-0000-000000000000}"/>
  <bookViews>
    <workbookView xWindow="0" yWindow="620" windowWidth="28800" windowHeight="17380" firstSheet="12" activeTab="21" xr2:uid="{00000000-000D-0000-FFFF-FFFF00000000}"/>
  </bookViews>
  <sheets>
    <sheet name="Colores" sheetId="2" r:id="rId1"/>
    <sheet name="Síntesis" sheetId="24" r:id="rId2"/>
    <sheet name="T.2.2" sheetId="1" r:id="rId3"/>
    <sheet name="Gráfico 1" sheetId="3" r:id="rId4"/>
    <sheet name="Gráfico 2" sheetId="4" r:id="rId5"/>
    <sheet name="Gráfico 3 " sheetId="19" r:id="rId6"/>
    <sheet name="Gráfico 4 " sheetId="22" r:id="rId7"/>
    <sheet name="Gráfico 4b" sheetId="21" r:id="rId8"/>
    <sheet name="Gráfico 5c" sheetId="26" r:id="rId9"/>
    <sheet name="Gráfico 5" sheetId="18" r:id="rId10"/>
    <sheet name="Gráfico 5b" sheetId="7" r:id="rId11"/>
    <sheet name="Gráfico 6" sheetId="8" r:id="rId12"/>
    <sheet name="Gráfico 6b" sheetId="27" r:id="rId13"/>
    <sheet name="A.2.2" sheetId="6" r:id="rId14"/>
    <sheet name="Cuadro 1" sheetId="11" r:id="rId15"/>
    <sheet name="Gráfico 7" sheetId="9" r:id="rId16"/>
    <sheet name="Gráfico 7 (2)" sheetId="25" r:id="rId17"/>
    <sheet name="Gráfico 8" sheetId="10" r:id="rId18"/>
    <sheet name="Gráfico 9" sheetId="12" r:id="rId19"/>
    <sheet name="A.5.2" sheetId="13" r:id="rId20"/>
    <sheet name="A.4" sheetId="14" r:id="rId21"/>
    <sheet name="Gráfico 18" sheetId="16" r:id="rId22"/>
    <sheet name="Gráfico 18b" sheetId="17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3" i="14" l="1"/>
  <c r="N212" i="14"/>
  <c r="M213" i="14"/>
  <c r="H175" i="1" l="1"/>
  <c r="Q214" i="6" l="1"/>
  <c r="P214" i="6"/>
  <c r="O214" i="6"/>
  <c r="N214" i="6"/>
  <c r="M214" i="6"/>
  <c r="L214" i="6"/>
  <c r="K214" i="6"/>
  <c r="J214" i="6"/>
  <c r="I214" i="6"/>
  <c r="H214" i="6"/>
  <c r="G214" i="6"/>
  <c r="F214" i="6"/>
  <c r="E214" i="6"/>
  <c r="D214" i="6"/>
  <c r="C214" i="6"/>
  <c r="B214" i="6"/>
  <c r="K213" i="14"/>
  <c r="K212" i="14"/>
  <c r="H213" i="14"/>
  <c r="R219" i="13" l="1"/>
  <c r="Z219" i="13"/>
  <c r="Y219" i="13"/>
  <c r="X219" i="13"/>
  <c r="W219" i="13"/>
  <c r="V219" i="13"/>
  <c r="U219" i="13"/>
  <c r="T219" i="13"/>
  <c r="S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V216" i="13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B42" i="11"/>
  <c r="A39" i="11"/>
  <c r="B39" i="11"/>
  <c r="C39" i="11"/>
  <c r="D39" i="11"/>
  <c r="E39" i="11"/>
  <c r="E90" i="11" s="1"/>
  <c r="F39" i="11"/>
  <c r="F90" i="11" s="1"/>
  <c r="G39" i="11"/>
  <c r="G90" i="11" s="1"/>
  <c r="H39" i="11"/>
  <c r="H90" i="11" s="1"/>
  <c r="I39" i="11"/>
  <c r="J39" i="11"/>
  <c r="K39" i="11"/>
  <c r="L39" i="11"/>
  <c r="M39" i="11"/>
  <c r="M90" i="11" s="1"/>
  <c r="N39" i="11"/>
  <c r="N90" i="11" s="1"/>
  <c r="O39" i="11"/>
  <c r="O90" i="11" s="1"/>
  <c r="P39" i="11"/>
  <c r="P90" i="11" s="1"/>
  <c r="K180" i="1"/>
  <c r="K177" i="1"/>
  <c r="J175" i="1"/>
  <c r="K175" i="1"/>
  <c r="S175" i="1" s="1"/>
  <c r="L175" i="1"/>
  <c r="M175" i="1"/>
  <c r="AC175" i="1" s="1"/>
  <c r="N175" i="1"/>
  <c r="AF175" i="1" s="1"/>
  <c r="O175" i="1"/>
  <c r="Q175" i="1"/>
  <c r="R175" i="1"/>
  <c r="T175" i="1"/>
  <c r="V175" i="1"/>
  <c r="W175" i="1"/>
  <c r="X175" i="1"/>
  <c r="Y175" i="1"/>
  <c r="AA175" i="1"/>
  <c r="AB175" i="1"/>
  <c r="AH175" i="1"/>
  <c r="AI175" i="1"/>
  <c r="Z212" i="13"/>
  <c r="A129" i="11"/>
  <c r="L90" i="11"/>
  <c r="A90" i="11"/>
  <c r="A88" i="11"/>
  <c r="S212" i="6"/>
  <c r="T212" i="6"/>
  <c r="U212" i="6"/>
  <c r="W212" i="6"/>
  <c r="X212" i="6"/>
  <c r="Y212" i="6"/>
  <c r="AA212" i="6"/>
  <c r="AB212" i="6"/>
  <c r="AC212" i="6"/>
  <c r="AE212" i="6"/>
  <c r="AF212" i="6"/>
  <c r="AG212" i="6"/>
  <c r="D90" i="11" l="1"/>
  <c r="K90" i="11"/>
  <c r="C90" i="11"/>
  <c r="J90" i="11"/>
  <c r="B90" i="11"/>
  <c r="I90" i="11"/>
  <c r="AG175" i="1"/>
  <c r="AD175" i="1"/>
  <c r="A38" i="11"/>
  <c r="A128" i="11" s="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J174" i="1"/>
  <c r="K174" i="1"/>
  <c r="L174" i="1"/>
  <c r="M174" i="1"/>
  <c r="N174" i="1"/>
  <c r="O174" i="1"/>
  <c r="H212" i="14"/>
  <c r="J212" i="14" s="1"/>
  <c r="Z211" i="13"/>
  <c r="S211" i="6"/>
  <c r="T211" i="6"/>
  <c r="U211" i="6"/>
  <c r="W211" i="6"/>
  <c r="X211" i="6"/>
  <c r="Y211" i="6"/>
  <c r="AA211" i="6"/>
  <c r="AB211" i="6"/>
  <c r="AC211" i="6"/>
  <c r="AE211" i="6"/>
  <c r="AF211" i="6"/>
  <c r="AG211" i="6"/>
  <c r="T210" i="6"/>
  <c r="U210" i="6"/>
  <c r="W210" i="6"/>
  <c r="X210" i="6"/>
  <c r="Y210" i="6"/>
  <c r="AA210" i="6"/>
  <c r="AB210" i="6"/>
  <c r="AC210" i="6"/>
  <c r="AE210" i="6"/>
  <c r="AF210" i="6"/>
  <c r="AG210" i="6"/>
  <c r="H174" i="1"/>
  <c r="H129" i="11" l="1"/>
  <c r="H88" i="11"/>
  <c r="O129" i="11"/>
  <c r="O88" i="11"/>
  <c r="G129" i="11"/>
  <c r="G88" i="11"/>
  <c r="N129" i="11"/>
  <c r="N88" i="11"/>
  <c r="F129" i="11"/>
  <c r="F88" i="11"/>
  <c r="M129" i="11"/>
  <c r="M88" i="11"/>
  <c r="E129" i="11"/>
  <c r="E88" i="11"/>
  <c r="L129" i="11"/>
  <c r="L88" i="11"/>
  <c r="D129" i="11"/>
  <c r="D88" i="11"/>
  <c r="K129" i="11"/>
  <c r="K88" i="11"/>
  <c r="C129" i="11"/>
  <c r="C88" i="11"/>
  <c r="J129" i="11"/>
  <c r="J88" i="11"/>
  <c r="B129" i="11"/>
  <c r="B88" i="11"/>
  <c r="I129" i="11"/>
  <c r="I88" i="11"/>
  <c r="A87" i="11"/>
  <c r="P38" i="11"/>
  <c r="P129" i="11" l="1"/>
  <c r="P88" i="11"/>
  <c r="H211" i="14"/>
  <c r="J211" i="14" s="1"/>
  <c r="H210" i="14" l="1"/>
  <c r="H209" i="14"/>
  <c r="J209" i="14" s="1"/>
  <c r="H208" i="14"/>
  <c r="J208" i="14" s="1"/>
  <c r="H207" i="14"/>
  <c r="J207" i="14" s="1"/>
  <c r="H206" i="14"/>
  <c r="J206" i="14" s="1"/>
  <c r="H205" i="14"/>
  <c r="J205" i="14" s="1"/>
  <c r="H204" i="14"/>
  <c r="J204" i="14" s="1"/>
  <c r="H203" i="14"/>
  <c r="J203" i="14" s="1"/>
  <c r="H202" i="14"/>
  <c r="J202" i="14" s="1"/>
  <c r="H201" i="14"/>
  <c r="J201" i="14" s="1"/>
  <c r="H200" i="14"/>
  <c r="J200" i="14" s="1"/>
  <c r="H199" i="14"/>
  <c r="J199" i="14" s="1"/>
  <c r="H198" i="14"/>
  <c r="J198" i="14" s="1"/>
  <c r="H197" i="14"/>
  <c r="J197" i="14" s="1"/>
  <c r="H196" i="14"/>
  <c r="J196" i="14" s="1"/>
  <c r="H195" i="14"/>
  <c r="J195" i="14" s="1"/>
  <c r="H194" i="14"/>
  <c r="J194" i="14" s="1"/>
  <c r="H193" i="14"/>
  <c r="J193" i="14" s="1"/>
  <c r="H192" i="14"/>
  <c r="J192" i="14" s="1"/>
  <c r="H191" i="14"/>
  <c r="J191" i="14" s="1"/>
  <c r="H190" i="14"/>
  <c r="J190" i="14" s="1"/>
  <c r="H189" i="14"/>
  <c r="J189" i="14" s="1"/>
  <c r="H188" i="14"/>
  <c r="J188" i="14" s="1"/>
  <c r="H187" i="14"/>
  <c r="J187" i="14" s="1"/>
  <c r="H186" i="14"/>
  <c r="J186" i="14" s="1"/>
  <c r="H185" i="14"/>
  <c r="J185" i="14" s="1"/>
  <c r="H184" i="14"/>
  <c r="J184" i="14" s="1"/>
  <c r="H183" i="14"/>
  <c r="J183" i="14" s="1"/>
  <c r="H182" i="14"/>
  <c r="J182" i="14" s="1"/>
  <c r="H181" i="14"/>
  <c r="J181" i="14" s="1"/>
  <c r="H180" i="14"/>
  <c r="J180" i="14" s="1"/>
  <c r="H179" i="14"/>
  <c r="J179" i="14" s="1"/>
  <c r="H178" i="14"/>
  <c r="J178" i="14" s="1"/>
  <c r="H177" i="14"/>
  <c r="J177" i="14" s="1"/>
  <c r="H176" i="14"/>
  <c r="J176" i="14" s="1"/>
  <c r="H175" i="14"/>
  <c r="J175" i="14" s="1"/>
  <c r="H174" i="14"/>
  <c r="J174" i="14" s="1"/>
  <c r="H173" i="14"/>
  <c r="J173" i="14" s="1"/>
  <c r="H172" i="14"/>
  <c r="J172" i="14" s="1"/>
  <c r="H171" i="14"/>
  <c r="J171" i="14" s="1"/>
  <c r="H170" i="14"/>
  <c r="J170" i="14" s="1"/>
  <c r="H169" i="14"/>
  <c r="J169" i="14" s="1"/>
  <c r="H168" i="14"/>
  <c r="J168" i="14" s="1"/>
  <c r="H167" i="14"/>
  <c r="J167" i="14" s="1"/>
  <c r="H166" i="14"/>
  <c r="J166" i="14" s="1"/>
  <c r="H165" i="14"/>
  <c r="J165" i="14" s="1"/>
  <c r="H164" i="14"/>
  <c r="J164" i="14" s="1"/>
  <c r="H163" i="14"/>
  <c r="J163" i="14" s="1"/>
  <c r="H162" i="14"/>
  <c r="J162" i="14" s="1"/>
  <c r="H161" i="14"/>
  <c r="J161" i="14" s="1"/>
  <c r="H160" i="14"/>
  <c r="J160" i="14" s="1"/>
  <c r="H159" i="14"/>
  <c r="J159" i="14" s="1"/>
  <c r="H158" i="14"/>
  <c r="J158" i="14" s="1"/>
  <c r="H157" i="14"/>
  <c r="J157" i="14" s="1"/>
  <c r="H156" i="14"/>
  <c r="J156" i="14" s="1"/>
  <c r="H155" i="14"/>
  <c r="J155" i="14" s="1"/>
  <c r="H154" i="14"/>
  <c r="J154" i="14" s="1"/>
  <c r="H153" i="14"/>
  <c r="J153" i="14" s="1"/>
  <c r="H152" i="14"/>
  <c r="J152" i="14" s="1"/>
  <c r="H151" i="14"/>
  <c r="J151" i="14" s="1"/>
  <c r="H150" i="14"/>
  <c r="J150" i="14" s="1"/>
  <c r="H149" i="14"/>
  <c r="J149" i="14" s="1"/>
  <c r="H148" i="14"/>
  <c r="J148" i="14" s="1"/>
  <c r="H147" i="14"/>
  <c r="J147" i="14" s="1"/>
  <c r="H146" i="14"/>
  <c r="J146" i="14" s="1"/>
  <c r="H145" i="14"/>
  <c r="J145" i="14" s="1"/>
  <c r="H144" i="14"/>
  <c r="J144" i="14" s="1"/>
  <c r="H143" i="14"/>
  <c r="J143" i="14" s="1"/>
  <c r="H142" i="14"/>
  <c r="J142" i="14" s="1"/>
  <c r="H141" i="14"/>
  <c r="J141" i="14" s="1"/>
  <c r="H140" i="14"/>
  <c r="J140" i="14" s="1"/>
  <c r="H139" i="14"/>
  <c r="J139" i="14" s="1"/>
  <c r="H138" i="14"/>
  <c r="J138" i="14" s="1"/>
  <c r="H137" i="14"/>
  <c r="J137" i="14" s="1"/>
  <c r="H136" i="14"/>
  <c r="J136" i="14" s="1"/>
  <c r="H135" i="14"/>
  <c r="J135" i="14" s="1"/>
  <c r="H134" i="14"/>
  <c r="J134" i="14" s="1"/>
  <c r="H133" i="14"/>
  <c r="J133" i="14" s="1"/>
  <c r="H132" i="14"/>
  <c r="J132" i="14" s="1"/>
  <c r="H131" i="14"/>
  <c r="J131" i="14" s="1"/>
  <c r="H130" i="14"/>
  <c r="J130" i="14" s="1"/>
  <c r="H129" i="14"/>
  <c r="J129" i="14" s="1"/>
  <c r="H128" i="14"/>
  <c r="J128" i="14" s="1"/>
  <c r="H127" i="14"/>
  <c r="J127" i="14" s="1"/>
  <c r="H126" i="14"/>
  <c r="J126" i="14" s="1"/>
  <c r="H125" i="14"/>
  <c r="J125" i="14" s="1"/>
  <c r="H124" i="14"/>
  <c r="J124" i="14" s="1"/>
  <c r="H123" i="14"/>
  <c r="J123" i="14" s="1"/>
  <c r="H122" i="14"/>
  <c r="J122" i="14" s="1"/>
  <c r="H121" i="14"/>
  <c r="J121" i="14" s="1"/>
  <c r="H120" i="14"/>
  <c r="J120" i="14" s="1"/>
  <c r="H119" i="14"/>
  <c r="J119" i="14" s="1"/>
  <c r="H118" i="14"/>
  <c r="J118" i="14" s="1"/>
  <c r="H117" i="14"/>
  <c r="J117" i="14" s="1"/>
  <c r="H116" i="14"/>
  <c r="J116" i="14" s="1"/>
  <c r="H115" i="14"/>
  <c r="J115" i="14" s="1"/>
  <c r="H114" i="14"/>
  <c r="J114" i="14" s="1"/>
  <c r="H113" i="14"/>
  <c r="J113" i="14" s="1"/>
  <c r="H112" i="14"/>
  <c r="J112" i="14" s="1"/>
  <c r="H111" i="14"/>
  <c r="J111" i="14" s="1"/>
  <c r="H110" i="14"/>
  <c r="J110" i="14" s="1"/>
  <c r="H109" i="14"/>
  <c r="J109" i="14" s="1"/>
  <c r="H108" i="14"/>
  <c r="J108" i="14" s="1"/>
  <c r="H107" i="14"/>
  <c r="J107" i="14" s="1"/>
  <c r="H106" i="14"/>
  <c r="J106" i="14" s="1"/>
  <c r="H105" i="14"/>
  <c r="J105" i="14" s="1"/>
  <c r="H104" i="14"/>
  <c r="J104" i="14" s="1"/>
  <c r="H103" i="14"/>
  <c r="J103" i="14" s="1"/>
  <c r="H102" i="14"/>
  <c r="J102" i="14" s="1"/>
  <c r="H101" i="14"/>
  <c r="J101" i="14" s="1"/>
  <c r="H100" i="14"/>
  <c r="J100" i="14" s="1"/>
  <c r="H99" i="14"/>
  <c r="J99" i="14" s="1"/>
  <c r="H98" i="14"/>
  <c r="J98" i="14" s="1"/>
  <c r="H97" i="14"/>
  <c r="J97" i="14" s="1"/>
  <c r="H96" i="14"/>
  <c r="J96" i="14" s="1"/>
  <c r="H95" i="14"/>
  <c r="J95" i="14" s="1"/>
  <c r="H94" i="14"/>
  <c r="J94" i="14" s="1"/>
  <c r="H93" i="14"/>
  <c r="J93" i="14" s="1"/>
  <c r="H92" i="14"/>
  <c r="J92" i="14" s="1"/>
  <c r="H91" i="14"/>
  <c r="J91" i="14" s="1"/>
  <c r="H90" i="14"/>
  <c r="J90" i="14" s="1"/>
  <c r="H89" i="14"/>
  <c r="J89" i="14" s="1"/>
  <c r="H88" i="14"/>
  <c r="J88" i="14" s="1"/>
  <c r="H87" i="14"/>
  <c r="J87" i="14" s="1"/>
  <c r="H86" i="14"/>
  <c r="J86" i="14" s="1"/>
  <c r="H85" i="14"/>
  <c r="J85" i="14" s="1"/>
  <c r="H84" i="14"/>
  <c r="J84" i="14" s="1"/>
  <c r="H83" i="14"/>
  <c r="J83" i="14" s="1"/>
  <c r="H82" i="14"/>
  <c r="J82" i="14" s="1"/>
  <c r="H81" i="14"/>
  <c r="J81" i="14" s="1"/>
  <c r="H80" i="14"/>
  <c r="J80" i="14" s="1"/>
  <c r="H79" i="14"/>
  <c r="J79" i="14" s="1"/>
  <c r="H78" i="14"/>
  <c r="J78" i="14" s="1"/>
  <c r="H77" i="14"/>
  <c r="J77" i="14" s="1"/>
  <c r="H76" i="14"/>
  <c r="J76" i="14" s="1"/>
  <c r="H75" i="14"/>
  <c r="J75" i="14" s="1"/>
  <c r="H74" i="14"/>
  <c r="J74" i="14" s="1"/>
  <c r="H73" i="14"/>
  <c r="J73" i="14" s="1"/>
  <c r="H72" i="14"/>
  <c r="J72" i="14" s="1"/>
  <c r="H71" i="14"/>
  <c r="J71" i="14" s="1"/>
  <c r="H70" i="14"/>
  <c r="J70" i="14" s="1"/>
  <c r="H69" i="14"/>
  <c r="J69" i="14" s="1"/>
  <c r="H68" i="14"/>
  <c r="J68" i="14" s="1"/>
  <c r="H67" i="14"/>
  <c r="J67" i="14" s="1"/>
  <c r="H66" i="14"/>
  <c r="J66" i="14" s="1"/>
  <c r="H65" i="14"/>
  <c r="J65" i="14" s="1"/>
  <c r="H64" i="14"/>
  <c r="J64" i="14" s="1"/>
  <c r="H63" i="14"/>
  <c r="J63" i="14" s="1"/>
  <c r="H62" i="14"/>
  <c r="J62" i="14" s="1"/>
  <c r="H61" i="14"/>
  <c r="J61" i="14" s="1"/>
  <c r="H60" i="14"/>
  <c r="J60" i="14" s="1"/>
  <c r="H59" i="14"/>
  <c r="J59" i="14" s="1"/>
  <c r="H58" i="14"/>
  <c r="J58" i="14" s="1"/>
  <c r="H57" i="14"/>
  <c r="J57" i="14" s="1"/>
  <c r="H56" i="14"/>
  <c r="J56" i="14" s="1"/>
  <c r="H55" i="14"/>
  <c r="J55" i="14" s="1"/>
  <c r="H54" i="14"/>
  <c r="J54" i="14" s="1"/>
  <c r="H53" i="14"/>
  <c r="J53" i="14" s="1"/>
  <c r="H52" i="14"/>
  <c r="J52" i="14" s="1"/>
  <c r="H51" i="14"/>
  <c r="J51" i="14" s="1"/>
  <c r="H50" i="14"/>
  <c r="J50" i="14" s="1"/>
  <c r="H49" i="14"/>
  <c r="J49" i="14" s="1"/>
  <c r="H48" i="14"/>
  <c r="J48" i="14" s="1"/>
  <c r="H47" i="14"/>
  <c r="J47" i="14" s="1"/>
  <c r="H46" i="14"/>
  <c r="J46" i="14" s="1"/>
  <c r="H45" i="14"/>
  <c r="J45" i="14" s="1"/>
  <c r="H44" i="14"/>
  <c r="J44" i="14" s="1"/>
  <c r="H43" i="14"/>
  <c r="J43" i="14" s="1"/>
  <c r="H42" i="14"/>
  <c r="J42" i="14" s="1"/>
  <c r="H41" i="14"/>
  <c r="J41" i="14" s="1"/>
  <c r="H40" i="14"/>
  <c r="J40" i="14" s="1"/>
  <c r="H39" i="14"/>
  <c r="J39" i="14" s="1"/>
  <c r="H38" i="14"/>
  <c r="J38" i="14" s="1"/>
  <c r="H37" i="14"/>
  <c r="J37" i="14" s="1"/>
  <c r="H36" i="14"/>
  <c r="J36" i="14" s="1"/>
  <c r="H35" i="14"/>
  <c r="J35" i="14" s="1"/>
  <c r="H34" i="14"/>
  <c r="J34" i="14" s="1"/>
  <c r="H33" i="14"/>
  <c r="J33" i="14" s="1"/>
  <c r="H32" i="14"/>
  <c r="J32" i="14" s="1"/>
  <c r="H31" i="14"/>
  <c r="J31" i="14" s="1"/>
  <c r="H30" i="14"/>
  <c r="J30" i="14" s="1"/>
  <c r="H29" i="14"/>
  <c r="J29" i="14" s="1"/>
  <c r="H28" i="14"/>
  <c r="J28" i="14" s="1"/>
  <c r="H27" i="14"/>
  <c r="J27" i="14" s="1"/>
  <c r="H26" i="14"/>
  <c r="J26" i="14" s="1"/>
  <c r="H25" i="14"/>
  <c r="J25" i="14" s="1"/>
  <c r="H24" i="14"/>
  <c r="J24" i="14" s="1"/>
  <c r="H23" i="14"/>
  <c r="J23" i="14" s="1"/>
  <c r="H22" i="14"/>
  <c r="J22" i="14" s="1"/>
  <c r="H21" i="14"/>
  <c r="J21" i="14" s="1"/>
  <c r="H20" i="14"/>
  <c r="J20" i="14" s="1"/>
  <c r="H19" i="14"/>
  <c r="J19" i="14" s="1"/>
  <c r="H18" i="14"/>
  <c r="J18" i="14" s="1"/>
  <c r="H17" i="14"/>
  <c r="J17" i="14" s="1"/>
  <c r="H16" i="14"/>
  <c r="J16" i="14" s="1"/>
  <c r="H15" i="14"/>
  <c r="J15" i="14" s="1"/>
  <c r="H14" i="14"/>
  <c r="J14" i="14" s="1"/>
  <c r="H13" i="14"/>
  <c r="J13" i="14" s="1"/>
  <c r="H12" i="14"/>
  <c r="J12" i="14" s="1"/>
  <c r="H11" i="14"/>
  <c r="J11" i="14" s="1"/>
  <c r="H10" i="14"/>
  <c r="J10" i="14" s="1"/>
  <c r="H9" i="14"/>
  <c r="J9" i="14" s="1"/>
  <c r="H8" i="14"/>
  <c r="J8" i="14" s="1"/>
  <c r="H7" i="14"/>
  <c r="J7" i="14" s="1"/>
  <c r="H6" i="14"/>
  <c r="J6" i="14" s="1"/>
  <c r="H5" i="14"/>
  <c r="J5" i="14" s="1"/>
  <c r="H4" i="14"/>
  <c r="J4" i="14" s="1"/>
  <c r="Y221" i="13"/>
  <c r="X221" i="13"/>
  <c r="W221" i="13"/>
  <c r="V221" i="13"/>
  <c r="U221" i="13"/>
  <c r="T221" i="13"/>
  <c r="S221" i="13"/>
  <c r="R221" i="13"/>
  <c r="Q221" i="13"/>
  <c r="P221" i="13"/>
  <c r="O221" i="13"/>
  <c r="N221" i="13"/>
  <c r="M221" i="13"/>
  <c r="L221" i="13"/>
  <c r="K221" i="13"/>
  <c r="J221" i="13"/>
  <c r="I221" i="13"/>
  <c r="H221" i="13"/>
  <c r="G221" i="13"/>
  <c r="F221" i="13"/>
  <c r="E221" i="13"/>
  <c r="D221" i="13"/>
  <c r="C221" i="13"/>
  <c r="B221" i="13"/>
  <c r="U217" i="13"/>
  <c r="T217" i="13"/>
  <c r="S217" i="13"/>
  <c r="R217" i="13"/>
  <c r="L217" i="13"/>
  <c r="K217" i="13"/>
  <c r="J217" i="13"/>
  <c r="G217" i="13"/>
  <c r="F217" i="13"/>
  <c r="D217" i="13"/>
  <c r="C217" i="13"/>
  <c r="B217" i="13"/>
  <c r="W216" i="13"/>
  <c r="T216" i="13"/>
  <c r="S216" i="13"/>
  <c r="R216" i="13"/>
  <c r="O216" i="13"/>
  <c r="N216" i="13"/>
  <c r="L216" i="13"/>
  <c r="K216" i="13"/>
  <c r="J216" i="13"/>
  <c r="G216" i="13"/>
  <c r="F216" i="13"/>
  <c r="D216" i="13"/>
  <c r="C216" i="13"/>
  <c r="B216" i="13"/>
  <c r="Z210" i="13"/>
  <c r="Z217" i="13" s="1"/>
  <c r="Z209" i="13"/>
  <c r="Z208" i="13"/>
  <c r="Z207" i="13"/>
  <c r="Z206" i="13"/>
  <c r="Z205" i="13"/>
  <c r="Z204" i="13"/>
  <c r="Z203" i="13"/>
  <c r="Z202" i="13"/>
  <c r="Z201" i="13"/>
  <c r="Z200" i="13"/>
  <c r="Z199" i="13"/>
  <c r="Z198" i="13"/>
  <c r="AA197" i="13"/>
  <c r="Z197" i="13"/>
  <c r="Z196" i="13"/>
  <c r="Z195" i="13"/>
  <c r="AA194" i="13"/>
  <c r="Z194" i="13"/>
  <c r="Z193" i="13"/>
  <c r="Z192" i="13"/>
  <c r="Z191" i="13"/>
  <c r="Z190" i="13"/>
  <c r="Z189" i="13"/>
  <c r="Z188" i="13"/>
  <c r="Z187" i="13"/>
  <c r="Z186" i="13"/>
  <c r="Z185" i="13"/>
  <c r="AA184" i="13"/>
  <c r="Z184" i="13"/>
  <c r="Z183" i="13"/>
  <c r="Z182" i="13"/>
  <c r="AA181" i="13"/>
  <c r="Z181" i="13"/>
  <c r="Z180" i="13"/>
  <c r="Z179" i="13"/>
  <c r="Z178" i="13"/>
  <c r="Z177" i="13"/>
  <c r="Z176" i="13"/>
  <c r="Z175" i="13"/>
  <c r="Z174" i="13"/>
  <c r="Z173" i="13"/>
  <c r="Z172" i="13"/>
  <c r="Z171" i="13"/>
  <c r="Z170" i="13"/>
  <c r="Z169" i="13"/>
  <c r="Z168" i="13"/>
  <c r="Z167" i="13"/>
  <c r="Z166" i="13"/>
  <c r="Z165" i="13"/>
  <c r="Z164" i="13"/>
  <c r="Z163" i="13"/>
  <c r="Z162" i="13"/>
  <c r="Z161" i="13"/>
  <c r="Z160" i="13"/>
  <c r="Z159" i="13"/>
  <c r="Z158" i="13"/>
  <c r="Z157" i="13"/>
  <c r="Z156" i="13"/>
  <c r="Z155" i="13"/>
  <c r="Z154" i="13"/>
  <c r="Z153" i="13"/>
  <c r="Z152" i="13"/>
  <c r="Z151" i="13"/>
  <c r="Z150" i="13"/>
  <c r="Z149" i="13"/>
  <c r="Z148" i="13"/>
  <c r="Z147" i="13"/>
  <c r="Z146" i="13"/>
  <c r="Z145" i="13"/>
  <c r="Z144" i="13"/>
  <c r="Z143" i="13"/>
  <c r="Z142" i="13"/>
  <c r="Z141" i="13"/>
  <c r="Z140" i="13"/>
  <c r="Z139" i="13"/>
  <c r="Z138" i="13"/>
  <c r="Z137" i="13"/>
  <c r="Z136" i="13"/>
  <c r="Z135" i="13"/>
  <c r="Z134" i="13"/>
  <c r="Z133" i="13"/>
  <c r="Z132" i="13"/>
  <c r="Z131" i="13"/>
  <c r="Z130" i="13"/>
  <c r="Z129" i="13"/>
  <c r="Z128" i="13"/>
  <c r="Z127" i="13"/>
  <c r="Z126" i="13"/>
  <c r="Z125" i="13"/>
  <c r="Z124" i="13"/>
  <c r="Z123" i="13"/>
  <c r="Z122" i="13"/>
  <c r="Z121" i="13"/>
  <c r="Z120" i="13"/>
  <c r="Z119" i="13"/>
  <c r="Z118" i="13"/>
  <c r="Z117" i="13"/>
  <c r="Z116" i="13"/>
  <c r="Z115" i="13"/>
  <c r="Z114" i="13"/>
  <c r="Z113" i="13"/>
  <c r="Z112" i="13"/>
  <c r="Z111" i="13"/>
  <c r="Z110" i="13"/>
  <c r="Z109" i="13"/>
  <c r="Z108" i="13"/>
  <c r="Z107" i="13"/>
  <c r="Z106" i="13"/>
  <c r="Z105" i="13"/>
  <c r="Z104" i="13"/>
  <c r="Z103" i="13"/>
  <c r="Z102" i="13"/>
  <c r="Z101" i="13"/>
  <c r="Z100" i="13"/>
  <c r="Z99" i="13"/>
  <c r="Z98" i="13"/>
  <c r="Z97" i="13"/>
  <c r="Z96" i="13"/>
  <c r="Z95" i="13"/>
  <c r="Z94" i="13"/>
  <c r="Z93" i="13"/>
  <c r="Z92" i="13"/>
  <c r="Z91" i="13"/>
  <c r="Z90" i="13"/>
  <c r="Z89" i="13"/>
  <c r="Z88" i="13"/>
  <c r="Z87" i="13"/>
  <c r="Z86" i="13"/>
  <c r="Z85" i="13"/>
  <c r="Z84" i="13"/>
  <c r="Z83" i="13"/>
  <c r="Z82" i="13"/>
  <c r="Z81" i="13"/>
  <c r="Z80" i="13"/>
  <c r="Z79" i="13"/>
  <c r="Z78" i="13"/>
  <c r="Z77" i="13"/>
  <c r="Z76" i="13"/>
  <c r="Z75" i="13"/>
  <c r="Z74" i="13"/>
  <c r="Z73" i="13"/>
  <c r="Z72" i="13"/>
  <c r="Z71" i="13"/>
  <c r="Z70" i="13"/>
  <c r="Z69" i="13"/>
  <c r="Z68" i="13"/>
  <c r="Z67" i="13"/>
  <c r="Z66" i="13"/>
  <c r="Z65" i="13"/>
  <c r="Z64" i="13"/>
  <c r="Z63" i="13"/>
  <c r="Z62" i="13"/>
  <c r="Z61" i="13"/>
  <c r="Z60" i="13"/>
  <c r="Z59" i="13"/>
  <c r="Z58" i="13"/>
  <c r="Z57" i="13"/>
  <c r="Z56" i="13"/>
  <c r="Z55" i="13"/>
  <c r="Z54" i="13"/>
  <c r="Z53" i="13"/>
  <c r="Z52" i="13"/>
  <c r="Z51" i="13"/>
  <c r="Z50" i="13"/>
  <c r="Z49" i="13"/>
  <c r="Z48" i="13"/>
  <c r="Z47" i="13"/>
  <c r="Z46" i="13"/>
  <c r="Z45" i="13"/>
  <c r="Z44" i="13"/>
  <c r="Z43" i="13"/>
  <c r="Z42" i="13"/>
  <c r="Z41" i="13"/>
  <c r="Z40" i="13"/>
  <c r="Z39" i="13"/>
  <c r="Z38" i="13"/>
  <c r="Z37" i="13"/>
  <c r="Z36" i="13"/>
  <c r="Z35" i="13"/>
  <c r="Z34" i="13"/>
  <c r="Z33" i="13"/>
  <c r="Z32" i="13"/>
  <c r="Z31" i="13"/>
  <c r="Z30" i="13"/>
  <c r="Z29" i="13"/>
  <c r="Z28" i="13"/>
  <c r="Z27" i="13"/>
  <c r="Z26" i="13"/>
  <c r="Z25" i="13"/>
  <c r="Z24" i="13"/>
  <c r="Z23" i="13"/>
  <c r="Z22" i="13"/>
  <c r="Z21" i="13"/>
  <c r="Z20" i="13"/>
  <c r="Z19" i="13"/>
  <c r="Z18" i="13"/>
  <c r="Z17" i="13"/>
  <c r="Z16" i="13"/>
  <c r="Z15" i="13"/>
  <c r="Z14" i="13"/>
  <c r="Z13" i="13"/>
  <c r="Z12" i="13"/>
  <c r="Z11" i="13"/>
  <c r="Z10" i="13"/>
  <c r="Z9" i="13"/>
  <c r="Z8" i="13"/>
  <c r="Z7" i="13"/>
  <c r="Z6" i="13"/>
  <c r="Z5" i="13"/>
  <c r="Z4" i="13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127" i="11" s="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126" i="11" s="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124" i="11" s="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82" i="11" s="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122" i="11" s="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O18" i="11"/>
  <c r="N18" i="11"/>
  <c r="M18" i="11"/>
  <c r="L18" i="11"/>
  <c r="K18" i="11"/>
  <c r="J18" i="11"/>
  <c r="I18" i="11"/>
  <c r="H18" i="11"/>
  <c r="G18" i="11"/>
  <c r="G108" i="11" s="1"/>
  <c r="F18" i="11"/>
  <c r="E18" i="11"/>
  <c r="D18" i="11"/>
  <c r="C18" i="11"/>
  <c r="B18" i="11"/>
  <c r="O17" i="11"/>
  <c r="N17" i="11"/>
  <c r="M17" i="11"/>
  <c r="L17" i="11"/>
  <c r="K17" i="11"/>
  <c r="J17" i="11"/>
  <c r="I17" i="11"/>
  <c r="H17" i="11"/>
  <c r="G17" i="11"/>
  <c r="F17" i="11"/>
  <c r="E17" i="11"/>
  <c r="E66" i="11" s="1"/>
  <c r="D17" i="11"/>
  <c r="C17" i="11"/>
  <c r="B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O14" i="11"/>
  <c r="O63" i="11" s="1"/>
  <c r="N14" i="11"/>
  <c r="M14" i="11"/>
  <c r="L14" i="11"/>
  <c r="K14" i="11"/>
  <c r="J14" i="11"/>
  <c r="I14" i="11"/>
  <c r="H14" i="11"/>
  <c r="G14" i="11"/>
  <c r="G63" i="11" s="1"/>
  <c r="F14" i="11"/>
  <c r="E14" i="11"/>
  <c r="D14" i="11"/>
  <c r="C14" i="11"/>
  <c r="B14" i="11"/>
  <c r="O13" i="11"/>
  <c r="N13" i="11"/>
  <c r="M13" i="11"/>
  <c r="M103" i="11" s="1"/>
  <c r="L13" i="11"/>
  <c r="K13" i="11"/>
  <c r="J13" i="11"/>
  <c r="I13" i="11"/>
  <c r="H13" i="11"/>
  <c r="G13" i="11"/>
  <c r="F13" i="11"/>
  <c r="E13" i="11"/>
  <c r="D13" i="11"/>
  <c r="C13" i="11"/>
  <c r="B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O6" i="11"/>
  <c r="N6" i="11"/>
  <c r="M6" i="11"/>
  <c r="L6" i="11"/>
  <c r="K6" i="11"/>
  <c r="J6" i="11"/>
  <c r="I6" i="11"/>
  <c r="H6" i="11"/>
  <c r="G6" i="11"/>
  <c r="G55" i="11" s="1"/>
  <c r="F6" i="11"/>
  <c r="E6" i="11"/>
  <c r="D6" i="11"/>
  <c r="C6" i="11"/>
  <c r="B6" i="11"/>
  <c r="O5" i="11"/>
  <c r="N5" i="11"/>
  <c r="M5" i="11"/>
  <c r="M54" i="11" s="1"/>
  <c r="L5" i="11"/>
  <c r="K5" i="11"/>
  <c r="J5" i="11"/>
  <c r="I5" i="11"/>
  <c r="H5" i="11"/>
  <c r="G5" i="11"/>
  <c r="F5" i="11"/>
  <c r="E5" i="11"/>
  <c r="D5" i="11"/>
  <c r="C5" i="11"/>
  <c r="B5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B3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G215" i="6"/>
  <c r="S210" i="6"/>
  <c r="AG209" i="6"/>
  <c r="AF209" i="6"/>
  <c r="AE209" i="6"/>
  <c r="AC209" i="6"/>
  <c r="AB209" i="6"/>
  <c r="AA209" i="6"/>
  <c r="Y209" i="6"/>
  <c r="X209" i="6"/>
  <c r="W209" i="6"/>
  <c r="S209" i="6"/>
  <c r="U209" i="6"/>
  <c r="AG208" i="6"/>
  <c r="AF208" i="6"/>
  <c r="AE208" i="6"/>
  <c r="AC208" i="6"/>
  <c r="AB208" i="6"/>
  <c r="AA208" i="6"/>
  <c r="Y208" i="6"/>
  <c r="X208" i="6"/>
  <c r="W208" i="6"/>
  <c r="T208" i="6"/>
  <c r="S208" i="6"/>
  <c r="U208" i="6"/>
  <c r="AG207" i="6"/>
  <c r="AF207" i="6"/>
  <c r="AE207" i="6"/>
  <c r="AC207" i="6"/>
  <c r="AB207" i="6"/>
  <c r="AA207" i="6"/>
  <c r="Y207" i="6"/>
  <c r="X207" i="6"/>
  <c r="W207" i="6"/>
  <c r="T207" i="6"/>
  <c r="S207" i="6"/>
  <c r="U207" i="6"/>
  <c r="AG206" i="6"/>
  <c r="AF206" i="6"/>
  <c r="AE206" i="6"/>
  <c r="AC206" i="6"/>
  <c r="AB206" i="6"/>
  <c r="AA206" i="6"/>
  <c r="Y206" i="6"/>
  <c r="X206" i="6"/>
  <c r="W206" i="6"/>
  <c r="T206" i="6"/>
  <c r="S206" i="6"/>
  <c r="U206" i="6"/>
  <c r="AG205" i="6"/>
  <c r="AF205" i="6"/>
  <c r="AE205" i="6"/>
  <c r="AC205" i="6"/>
  <c r="AB205" i="6"/>
  <c r="AA205" i="6"/>
  <c r="Y205" i="6"/>
  <c r="X205" i="6"/>
  <c r="W205" i="6"/>
  <c r="T205" i="6"/>
  <c r="S205" i="6"/>
  <c r="U205" i="6"/>
  <c r="AG204" i="6"/>
  <c r="AF204" i="6"/>
  <c r="AE204" i="6"/>
  <c r="AC204" i="6"/>
  <c r="AB204" i="6"/>
  <c r="AA204" i="6"/>
  <c r="Y204" i="6"/>
  <c r="X204" i="6"/>
  <c r="W204" i="6"/>
  <c r="T204" i="6"/>
  <c r="S204" i="6"/>
  <c r="U204" i="6"/>
  <c r="AG203" i="6"/>
  <c r="AF203" i="6"/>
  <c r="AE203" i="6"/>
  <c r="AC203" i="6"/>
  <c r="AB203" i="6"/>
  <c r="AA203" i="6"/>
  <c r="Y203" i="6"/>
  <c r="X203" i="6"/>
  <c r="W203" i="6"/>
  <c r="S203" i="6"/>
  <c r="AG202" i="6"/>
  <c r="AF202" i="6"/>
  <c r="AE202" i="6"/>
  <c r="AC202" i="6"/>
  <c r="AB202" i="6"/>
  <c r="AA202" i="6"/>
  <c r="Y202" i="6"/>
  <c r="X202" i="6"/>
  <c r="W202" i="6"/>
  <c r="S202" i="6"/>
  <c r="T203" i="6"/>
  <c r="AG201" i="6"/>
  <c r="AF201" i="6"/>
  <c r="AE201" i="6"/>
  <c r="AC201" i="6"/>
  <c r="AB201" i="6"/>
  <c r="AA201" i="6"/>
  <c r="Y201" i="6"/>
  <c r="X201" i="6"/>
  <c r="W201" i="6"/>
  <c r="S201" i="6"/>
  <c r="U201" i="6"/>
  <c r="AG200" i="6"/>
  <c r="AF200" i="6"/>
  <c r="AE200" i="6"/>
  <c r="AC200" i="6"/>
  <c r="AB200" i="6"/>
  <c r="AA200" i="6"/>
  <c r="Y200" i="6"/>
  <c r="X200" i="6"/>
  <c r="W200" i="6"/>
  <c r="T200" i="6"/>
  <c r="S200" i="6"/>
  <c r="AG199" i="6"/>
  <c r="AF199" i="6"/>
  <c r="AE199" i="6"/>
  <c r="AC199" i="6"/>
  <c r="AB199" i="6"/>
  <c r="AA199" i="6"/>
  <c r="Y199" i="6"/>
  <c r="X199" i="6"/>
  <c r="W199" i="6"/>
  <c r="T199" i="6"/>
  <c r="S199" i="6"/>
  <c r="U199" i="6"/>
  <c r="AG198" i="6"/>
  <c r="AF198" i="6"/>
  <c r="AE198" i="6"/>
  <c r="AC198" i="6"/>
  <c r="AB198" i="6"/>
  <c r="AA198" i="6"/>
  <c r="Y198" i="6"/>
  <c r="X198" i="6"/>
  <c r="W198" i="6"/>
  <c r="T198" i="6"/>
  <c r="S198" i="6"/>
  <c r="U198" i="6"/>
  <c r="AG197" i="6"/>
  <c r="AF197" i="6"/>
  <c r="AE197" i="6"/>
  <c r="AC197" i="6"/>
  <c r="AB197" i="6"/>
  <c r="AA197" i="6"/>
  <c r="Y197" i="6"/>
  <c r="X197" i="6"/>
  <c r="W197" i="6"/>
  <c r="T197" i="6"/>
  <c r="S197" i="6"/>
  <c r="U197" i="6"/>
  <c r="AG196" i="6"/>
  <c r="AF196" i="6"/>
  <c r="AE196" i="6"/>
  <c r="AC196" i="6"/>
  <c r="AB196" i="6"/>
  <c r="AA196" i="6"/>
  <c r="Y196" i="6"/>
  <c r="X196" i="6"/>
  <c r="W196" i="6"/>
  <c r="T196" i="6"/>
  <c r="S196" i="6"/>
  <c r="U196" i="6"/>
  <c r="AG195" i="6"/>
  <c r="AF195" i="6"/>
  <c r="AE195" i="6"/>
  <c r="AC195" i="6"/>
  <c r="AB195" i="6"/>
  <c r="AA195" i="6"/>
  <c r="Y195" i="6"/>
  <c r="X195" i="6"/>
  <c r="W195" i="6"/>
  <c r="S195" i="6"/>
  <c r="AA195" i="13"/>
  <c r="AG194" i="6"/>
  <c r="AF194" i="6"/>
  <c r="AE194" i="6"/>
  <c r="AC194" i="6"/>
  <c r="AB194" i="6"/>
  <c r="AA194" i="6"/>
  <c r="Y194" i="6"/>
  <c r="X194" i="6"/>
  <c r="W194" i="6"/>
  <c r="S194" i="6"/>
  <c r="T195" i="6"/>
  <c r="AG193" i="6"/>
  <c r="AF193" i="6"/>
  <c r="AE193" i="6"/>
  <c r="AC193" i="6"/>
  <c r="AB193" i="6"/>
  <c r="AA193" i="6"/>
  <c r="Y193" i="6"/>
  <c r="X193" i="6"/>
  <c r="W193" i="6"/>
  <c r="S193" i="6"/>
  <c r="U193" i="6"/>
  <c r="AG192" i="6"/>
  <c r="AF192" i="6"/>
  <c r="AE192" i="6"/>
  <c r="AC192" i="6"/>
  <c r="AB192" i="6"/>
  <c r="AA192" i="6"/>
  <c r="Y192" i="6"/>
  <c r="X192" i="6"/>
  <c r="W192" i="6"/>
  <c r="T192" i="6"/>
  <c r="S192" i="6"/>
  <c r="AA192" i="13"/>
  <c r="AG191" i="6"/>
  <c r="AF191" i="6"/>
  <c r="AE191" i="6"/>
  <c r="AC191" i="6"/>
  <c r="AB191" i="6"/>
  <c r="AA191" i="6"/>
  <c r="Y191" i="6"/>
  <c r="X191" i="6"/>
  <c r="W191" i="6"/>
  <c r="T191" i="6"/>
  <c r="S191" i="6"/>
  <c r="AA191" i="13"/>
  <c r="AG190" i="6"/>
  <c r="AF190" i="6"/>
  <c r="AE190" i="6"/>
  <c r="AC190" i="6"/>
  <c r="AB190" i="6"/>
  <c r="AA190" i="6"/>
  <c r="Y190" i="6"/>
  <c r="X190" i="6"/>
  <c r="W190" i="6"/>
  <c r="T190" i="6"/>
  <c r="S190" i="6"/>
  <c r="U190" i="6"/>
  <c r="AG189" i="6"/>
  <c r="AF189" i="6"/>
  <c r="AE189" i="6"/>
  <c r="AC189" i="6"/>
  <c r="AB189" i="6"/>
  <c r="AA189" i="6"/>
  <c r="Y189" i="6"/>
  <c r="X189" i="6"/>
  <c r="W189" i="6"/>
  <c r="T189" i="6"/>
  <c r="S189" i="6"/>
  <c r="AA189" i="13"/>
  <c r="AG188" i="6"/>
  <c r="AF188" i="6"/>
  <c r="AE188" i="6"/>
  <c r="AC188" i="6"/>
  <c r="AB188" i="6"/>
  <c r="AA188" i="6"/>
  <c r="Y188" i="6"/>
  <c r="X188" i="6"/>
  <c r="W188" i="6"/>
  <c r="S188" i="6"/>
  <c r="AA188" i="13"/>
  <c r="AG187" i="6"/>
  <c r="AF187" i="6"/>
  <c r="AE187" i="6"/>
  <c r="AC187" i="6"/>
  <c r="AB187" i="6"/>
  <c r="AA187" i="6"/>
  <c r="Y187" i="6"/>
  <c r="X187" i="6"/>
  <c r="W187" i="6"/>
  <c r="S187" i="6"/>
  <c r="T187" i="6"/>
  <c r="AG186" i="6"/>
  <c r="AF186" i="6"/>
  <c r="AE186" i="6"/>
  <c r="AC186" i="6"/>
  <c r="AB186" i="6"/>
  <c r="AA186" i="6"/>
  <c r="Y186" i="6"/>
  <c r="X186" i="6"/>
  <c r="W186" i="6"/>
  <c r="S186" i="6"/>
  <c r="AA186" i="13"/>
  <c r="AG185" i="6"/>
  <c r="AF185" i="6"/>
  <c r="AE185" i="6"/>
  <c r="AC185" i="6"/>
  <c r="AB185" i="6"/>
  <c r="AA185" i="6"/>
  <c r="Y185" i="6"/>
  <c r="X185" i="6"/>
  <c r="W185" i="6"/>
  <c r="S185" i="6"/>
  <c r="U185" i="6"/>
  <c r="AG184" i="6"/>
  <c r="AF184" i="6"/>
  <c r="AE184" i="6"/>
  <c r="AC184" i="6"/>
  <c r="AB184" i="6"/>
  <c r="AA184" i="6"/>
  <c r="Y184" i="6"/>
  <c r="X184" i="6"/>
  <c r="W184" i="6"/>
  <c r="T184" i="6"/>
  <c r="S184" i="6"/>
  <c r="AG183" i="6"/>
  <c r="AF183" i="6"/>
  <c r="AE183" i="6"/>
  <c r="AC183" i="6"/>
  <c r="AB183" i="6"/>
  <c r="AA183" i="6"/>
  <c r="Y183" i="6"/>
  <c r="X183" i="6"/>
  <c r="W183" i="6"/>
  <c r="T183" i="6"/>
  <c r="S183" i="6"/>
  <c r="U183" i="6"/>
  <c r="AG182" i="6"/>
  <c r="AF182" i="6"/>
  <c r="AE182" i="6"/>
  <c r="AC182" i="6"/>
  <c r="AB182" i="6"/>
  <c r="AA182" i="6"/>
  <c r="Y182" i="6"/>
  <c r="X182" i="6"/>
  <c r="W182" i="6"/>
  <c r="T182" i="6"/>
  <c r="S182" i="6"/>
  <c r="U182" i="6"/>
  <c r="AG181" i="6"/>
  <c r="AF181" i="6"/>
  <c r="AE181" i="6"/>
  <c r="AC181" i="6"/>
  <c r="AB181" i="6"/>
  <c r="AA181" i="6"/>
  <c r="Y181" i="6"/>
  <c r="X181" i="6"/>
  <c r="W181" i="6"/>
  <c r="T181" i="6"/>
  <c r="S181" i="6"/>
  <c r="U181" i="6"/>
  <c r="AG180" i="6"/>
  <c r="AF180" i="6"/>
  <c r="AE180" i="6"/>
  <c r="AC180" i="6"/>
  <c r="AB180" i="6"/>
  <c r="AA180" i="6"/>
  <c r="Y180" i="6"/>
  <c r="X180" i="6"/>
  <c r="W180" i="6"/>
  <c r="S180" i="6"/>
  <c r="U180" i="6"/>
  <c r="AG179" i="6"/>
  <c r="AF179" i="6"/>
  <c r="AE179" i="6"/>
  <c r="AC179" i="6"/>
  <c r="AB179" i="6"/>
  <c r="AA179" i="6"/>
  <c r="Y179" i="6"/>
  <c r="X179" i="6"/>
  <c r="W179" i="6"/>
  <c r="S179" i="6"/>
  <c r="T179" i="6"/>
  <c r="AG178" i="6"/>
  <c r="AF178" i="6"/>
  <c r="AE178" i="6"/>
  <c r="AC178" i="6"/>
  <c r="AB178" i="6"/>
  <c r="AA178" i="6"/>
  <c r="Y178" i="6"/>
  <c r="X178" i="6"/>
  <c r="W178" i="6"/>
  <c r="S178" i="6"/>
  <c r="T178" i="6"/>
  <c r="AG177" i="6"/>
  <c r="AF177" i="6"/>
  <c r="AE177" i="6"/>
  <c r="AC177" i="6"/>
  <c r="AB177" i="6"/>
  <c r="AA177" i="6"/>
  <c r="Y177" i="6"/>
  <c r="X177" i="6"/>
  <c r="W177" i="6"/>
  <c r="S177" i="6"/>
  <c r="U177" i="6"/>
  <c r="AG176" i="6"/>
  <c r="AF176" i="6"/>
  <c r="AE176" i="6"/>
  <c r="AC176" i="6"/>
  <c r="AB176" i="6"/>
  <c r="AA176" i="6"/>
  <c r="Y176" i="6"/>
  <c r="X176" i="6"/>
  <c r="W176" i="6"/>
  <c r="T176" i="6"/>
  <c r="S176" i="6"/>
  <c r="AG175" i="6"/>
  <c r="AF175" i="6"/>
  <c r="AE175" i="6"/>
  <c r="AC175" i="6"/>
  <c r="AB175" i="6"/>
  <c r="AA175" i="6"/>
  <c r="Y175" i="6"/>
  <c r="X175" i="6"/>
  <c r="W175" i="6"/>
  <c r="T175" i="6"/>
  <c r="S175" i="6"/>
  <c r="U175" i="6"/>
  <c r="AG174" i="6"/>
  <c r="AF174" i="6"/>
  <c r="AE174" i="6"/>
  <c r="AC174" i="6"/>
  <c r="AB174" i="6"/>
  <c r="AA174" i="6"/>
  <c r="Y174" i="6"/>
  <c r="X174" i="6"/>
  <c r="W174" i="6"/>
  <c r="S174" i="6"/>
  <c r="U174" i="6"/>
  <c r="AG173" i="6"/>
  <c r="AF173" i="6"/>
  <c r="AE173" i="6"/>
  <c r="AC173" i="6"/>
  <c r="AB173" i="6"/>
  <c r="AA173" i="6"/>
  <c r="Y173" i="6"/>
  <c r="X173" i="6"/>
  <c r="W173" i="6"/>
  <c r="T173" i="6"/>
  <c r="S173" i="6"/>
  <c r="T174" i="6"/>
  <c r="AG172" i="6"/>
  <c r="AF172" i="6"/>
  <c r="AE172" i="6"/>
  <c r="AC172" i="6"/>
  <c r="AB172" i="6"/>
  <c r="AA172" i="6"/>
  <c r="Y172" i="6"/>
  <c r="X172" i="6"/>
  <c r="W172" i="6"/>
  <c r="S172" i="6"/>
  <c r="U172" i="6"/>
  <c r="AG171" i="6"/>
  <c r="AF171" i="6"/>
  <c r="AE171" i="6"/>
  <c r="AC171" i="6"/>
  <c r="AB171" i="6"/>
  <c r="AA171" i="6"/>
  <c r="Y171" i="6"/>
  <c r="X171" i="6"/>
  <c r="W171" i="6"/>
  <c r="S171" i="6"/>
  <c r="T171" i="6"/>
  <c r="AG170" i="6"/>
  <c r="AF170" i="6"/>
  <c r="AE170" i="6"/>
  <c r="AC170" i="6"/>
  <c r="AB170" i="6"/>
  <c r="AA170" i="6"/>
  <c r="Y170" i="6"/>
  <c r="X170" i="6"/>
  <c r="W170" i="6"/>
  <c r="S170" i="6"/>
  <c r="T170" i="6"/>
  <c r="AG169" i="6"/>
  <c r="AF169" i="6"/>
  <c r="AE169" i="6"/>
  <c r="AC169" i="6"/>
  <c r="AB169" i="6"/>
  <c r="AA169" i="6"/>
  <c r="Y169" i="6"/>
  <c r="X169" i="6"/>
  <c r="W169" i="6"/>
  <c r="S169" i="6"/>
  <c r="U169" i="6"/>
  <c r="AG168" i="6"/>
  <c r="AF168" i="6"/>
  <c r="AE168" i="6"/>
  <c r="AC168" i="6"/>
  <c r="AB168" i="6"/>
  <c r="AA168" i="6"/>
  <c r="Y168" i="6"/>
  <c r="X168" i="6"/>
  <c r="W168" i="6"/>
  <c r="T168" i="6"/>
  <c r="S168" i="6"/>
  <c r="AG167" i="6"/>
  <c r="AF167" i="6"/>
  <c r="AE167" i="6"/>
  <c r="AC167" i="6"/>
  <c r="AB167" i="6"/>
  <c r="AA167" i="6"/>
  <c r="Y167" i="6"/>
  <c r="X167" i="6"/>
  <c r="W167" i="6"/>
  <c r="T167" i="6"/>
  <c r="S167" i="6"/>
  <c r="U167" i="6"/>
  <c r="AG166" i="6"/>
  <c r="AF166" i="6"/>
  <c r="AE166" i="6"/>
  <c r="AC166" i="6"/>
  <c r="AB166" i="6"/>
  <c r="AA166" i="6"/>
  <c r="Y166" i="6"/>
  <c r="X166" i="6"/>
  <c r="W166" i="6"/>
  <c r="S166" i="6"/>
  <c r="U166" i="6"/>
  <c r="AG165" i="6"/>
  <c r="AF165" i="6"/>
  <c r="AE165" i="6"/>
  <c r="AC165" i="6"/>
  <c r="AB165" i="6"/>
  <c r="AA165" i="6"/>
  <c r="Y165" i="6"/>
  <c r="X165" i="6"/>
  <c r="W165" i="6"/>
  <c r="T165" i="6"/>
  <c r="S165" i="6"/>
  <c r="T166" i="6"/>
  <c r="AG164" i="6"/>
  <c r="AF164" i="6"/>
  <c r="AE164" i="6"/>
  <c r="AC164" i="6"/>
  <c r="AB164" i="6"/>
  <c r="AA164" i="6"/>
  <c r="Y164" i="6"/>
  <c r="X164" i="6"/>
  <c r="W164" i="6"/>
  <c r="S164" i="6"/>
  <c r="U164" i="6"/>
  <c r="AG163" i="6"/>
  <c r="AF163" i="6"/>
  <c r="AE163" i="6"/>
  <c r="AC163" i="6"/>
  <c r="AB163" i="6"/>
  <c r="AA163" i="6"/>
  <c r="Y163" i="6"/>
  <c r="X163" i="6"/>
  <c r="W163" i="6"/>
  <c r="S163" i="6"/>
  <c r="AG162" i="6"/>
  <c r="AF162" i="6"/>
  <c r="AE162" i="6"/>
  <c r="AC162" i="6"/>
  <c r="AB162" i="6"/>
  <c r="AA162" i="6"/>
  <c r="Y162" i="6"/>
  <c r="X162" i="6"/>
  <c r="W162" i="6"/>
  <c r="S162" i="6"/>
  <c r="T163" i="6"/>
  <c r="AG161" i="6"/>
  <c r="AF161" i="6"/>
  <c r="AE161" i="6"/>
  <c r="AC161" i="6"/>
  <c r="AB161" i="6"/>
  <c r="AA161" i="6"/>
  <c r="Y161" i="6"/>
  <c r="X161" i="6"/>
  <c r="W161" i="6"/>
  <c r="S161" i="6"/>
  <c r="U161" i="6"/>
  <c r="AG160" i="6"/>
  <c r="AF160" i="6"/>
  <c r="AE160" i="6"/>
  <c r="AC160" i="6"/>
  <c r="AB160" i="6"/>
  <c r="AA160" i="6"/>
  <c r="Y160" i="6"/>
  <c r="X160" i="6"/>
  <c r="W160" i="6"/>
  <c r="T160" i="6"/>
  <c r="S160" i="6"/>
  <c r="AG159" i="6"/>
  <c r="AF159" i="6"/>
  <c r="AE159" i="6"/>
  <c r="AC159" i="6"/>
  <c r="AB159" i="6"/>
  <c r="AA159" i="6"/>
  <c r="Y159" i="6"/>
  <c r="X159" i="6"/>
  <c r="W159" i="6"/>
  <c r="T159" i="6"/>
  <c r="S159" i="6"/>
  <c r="U159" i="6"/>
  <c r="AG158" i="6"/>
  <c r="AF158" i="6"/>
  <c r="AE158" i="6"/>
  <c r="AC158" i="6"/>
  <c r="AB158" i="6"/>
  <c r="AA158" i="6"/>
  <c r="Y158" i="6"/>
  <c r="X158" i="6"/>
  <c r="W158" i="6"/>
  <c r="S158" i="6"/>
  <c r="U158" i="6"/>
  <c r="AG157" i="6"/>
  <c r="AF157" i="6"/>
  <c r="AE157" i="6"/>
  <c r="AC157" i="6"/>
  <c r="AB157" i="6"/>
  <c r="AA157" i="6"/>
  <c r="Y157" i="6"/>
  <c r="X157" i="6"/>
  <c r="W157" i="6"/>
  <c r="T157" i="6"/>
  <c r="S157" i="6"/>
  <c r="U157" i="6"/>
  <c r="AG156" i="6"/>
  <c r="AF156" i="6"/>
  <c r="AE156" i="6"/>
  <c r="AC156" i="6"/>
  <c r="AB156" i="6"/>
  <c r="AA156" i="6"/>
  <c r="Y156" i="6"/>
  <c r="X156" i="6"/>
  <c r="W156" i="6"/>
  <c r="S156" i="6"/>
  <c r="U156" i="6"/>
  <c r="AG155" i="6"/>
  <c r="AF155" i="6"/>
  <c r="AE155" i="6"/>
  <c r="AC155" i="6"/>
  <c r="AB155" i="6"/>
  <c r="AA155" i="6"/>
  <c r="Y155" i="6"/>
  <c r="X155" i="6"/>
  <c r="W155" i="6"/>
  <c r="S155" i="6"/>
  <c r="AG154" i="6"/>
  <c r="AF154" i="6"/>
  <c r="AE154" i="6"/>
  <c r="AC154" i="6"/>
  <c r="AB154" i="6"/>
  <c r="AA154" i="6"/>
  <c r="Y154" i="6"/>
  <c r="X154" i="6"/>
  <c r="W154" i="6"/>
  <c r="S154" i="6"/>
  <c r="T155" i="6"/>
  <c r="AG153" i="6"/>
  <c r="AF153" i="6"/>
  <c r="AE153" i="6"/>
  <c r="AC153" i="6"/>
  <c r="AB153" i="6"/>
  <c r="AA153" i="6"/>
  <c r="Y153" i="6"/>
  <c r="X153" i="6"/>
  <c r="W153" i="6"/>
  <c r="S153" i="6"/>
  <c r="U153" i="6"/>
  <c r="AG152" i="6"/>
  <c r="AF152" i="6"/>
  <c r="AE152" i="6"/>
  <c r="AC152" i="6"/>
  <c r="AB152" i="6"/>
  <c r="AA152" i="6"/>
  <c r="Y152" i="6"/>
  <c r="X152" i="6"/>
  <c r="W152" i="6"/>
  <c r="T152" i="6"/>
  <c r="S152" i="6"/>
  <c r="AG151" i="6"/>
  <c r="AF151" i="6"/>
  <c r="AE151" i="6"/>
  <c r="AC151" i="6"/>
  <c r="AB151" i="6"/>
  <c r="AA151" i="6"/>
  <c r="Y151" i="6"/>
  <c r="X151" i="6"/>
  <c r="W151" i="6"/>
  <c r="T151" i="6"/>
  <c r="S151" i="6"/>
  <c r="U151" i="6"/>
  <c r="AG150" i="6"/>
  <c r="AF150" i="6"/>
  <c r="AE150" i="6"/>
  <c r="AC150" i="6"/>
  <c r="AB150" i="6"/>
  <c r="AA150" i="6"/>
  <c r="Y150" i="6"/>
  <c r="X150" i="6"/>
  <c r="W150" i="6"/>
  <c r="S150" i="6"/>
  <c r="U150" i="6"/>
  <c r="AG149" i="6"/>
  <c r="AF149" i="6"/>
  <c r="AE149" i="6"/>
  <c r="AC149" i="6"/>
  <c r="AB149" i="6"/>
  <c r="AA149" i="6"/>
  <c r="Y149" i="6"/>
  <c r="X149" i="6"/>
  <c r="W149" i="6"/>
  <c r="T149" i="6"/>
  <c r="S149" i="6"/>
  <c r="U149" i="6"/>
  <c r="AG148" i="6"/>
  <c r="AF148" i="6"/>
  <c r="AE148" i="6"/>
  <c r="AC148" i="6"/>
  <c r="AB148" i="6"/>
  <c r="AA148" i="6"/>
  <c r="Y148" i="6"/>
  <c r="X148" i="6"/>
  <c r="W148" i="6"/>
  <c r="S148" i="6"/>
  <c r="U148" i="6"/>
  <c r="AG147" i="6"/>
  <c r="AF147" i="6"/>
  <c r="AE147" i="6"/>
  <c r="AC147" i="6"/>
  <c r="AB147" i="6"/>
  <c r="AA147" i="6"/>
  <c r="Y147" i="6"/>
  <c r="X147" i="6"/>
  <c r="W147" i="6"/>
  <c r="S147" i="6"/>
  <c r="AG146" i="6"/>
  <c r="AF146" i="6"/>
  <c r="AE146" i="6"/>
  <c r="AC146" i="6"/>
  <c r="AB146" i="6"/>
  <c r="AA146" i="6"/>
  <c r="Y146" i="6"/>
  <c r="X146" i="6"/>
  <c r="W146" i="6"/>
  <c r="S146" i="6"/>
  <c r="T147" i="6"/>
  <c r="AG145" i="6"/>
  <c r="AF145" i="6"/>
  <c r="AE145" i="6"/>
  <c r="AC145" i="6"/>
  <c r="AB145" i="6"/>
  <c r="AA145" i="6"/>
  <c r="Y145" i="6"/>
  <c r="X145" i="6"/>
  <c r="W145" i="6"/>
  <c r="S145" i="6"/>
  <c r="U146" i="6"/>
  <c r="AG144" i="6"/>
  <c r="AF144" i="6"/>
  <c r="AE144" i="6"/>
  <c r="AC144" i="6"/>
  <c r="AB144" i="6"/>
  <c r="AA144" i="6"/>
  <c r="Y144" i="6"/>
  <c r="X144" i="6"/>
  <c r="W144" i="6"/>
  <c r="T144" i="6"/>
  <c r="S144" i="6"/>
  <c r="AG143" i="6"/>
  <c r="AF143" i="6"/>
  <c r="AE143" i="6"/>
  <c r="AC143" i="6"/>
  <c r="AB143" i="6"/>
  <c r="AA143" i="6"/>
  <c r="Y143" i="6"/>
  <c r="X143" i="6"/>
  <c r="W143" i="6"/>
  <c r="T143" i="6"/>
  <c r="S143" i="6"/>
  <c r="U143" i="6"/>
  <c r="AG142" i="6"/>
  <c r="AF142" i="6"/>
  <c r="AE142" i="6"/>
  <c r="AC142" i="6"/>
  <c r="AB142" i="6"/>
  <c r="AA142" i="6"/>
  <c r="Y142" i="6"/>
  <c r="X142" i="6"/>
  <c r="W142" i="6"/>
  <c r="S142" i="6"/>
  <c r="U142" i="6"/>
  <c r="AG141" i="6"/>
  <c r="AF141" i="6"/>
  <c r="AE141" i="6"/>
  <c r="AC141" i="6"/>
  <c r="AB141" i="6"/>
  <c r="AA141" i="6"/>
  <c r="Y141" i="6"/>
  <c r="X141" i="6"/>
  <c r="W141" i="6"/>
  <c r="T141" i="6"/>
  <c r="S141" i="6"/>
  <c r="U141" i="6"/>
  <c r="AG140" i="6"/>
  <c r="AF140" i="6"/>
  <c r="AE140" i="6"/>
  <c r="AC140" i="6"/>
  <c r="AB140" i="6"/>
  <c r="AA140" i="6"/>
  <c r="Y140" i="6"/>
  <c r="X140" i="6"/>
  <c r="W140" i="6"/>
  <c r="S140" i="6"/>
  <c r="U140" i="6"/>
  <c r="AG139" i="6"/>
  <c r="AF139" i="6"/>
  <c r="AE139" i="6"/>
  <c r="AC139" i="6"/>
  <c r="AB139" i="6"/>
  <c r="AA139" i="6"/>
  <c r="Y139" i="6"/>
  <c r="X139" i="6"/>
  <c r="W139" i="6"/>
  <c r="S139" i="6"/>
  <c r="AG138" i="6"/>
  <c r="AF138" i="6"/>
  <c r="AE138" i="6"/>
  <c r="AC138" i="6"/>
  <c r="AB138" i="6"/>
  <c r="AA138" i="6"/>
  <c r="Y138" i="6"/>
  <c r="X138" i="6"/>
  <c r="W138" i="6"/>
  <c r="S138" i="6"/>
  <c r="T139" i="6"/>
  <c r="AG137" i="6"/>
  <c r="AF137" i="6"/>
  <c r="AE137" i="6"/>
  <c r="AC137" i="6"/>
  <c r="AB137" i="6"/>
  <c r="AA137" i="6"/>
  <c r="Y137" i="6"/>
  <c r="X137" i="6"/>
  <c r="W137" i="6"/>
  <c r="S137" i="6"/>
  <c r="U137" i="6"/>
  <c r="AG136" i="6"/>
  <c r="AF136" i="6"/>
  <c r="AE136" i="6"/>
  <c r="AC136" i="6"/>
  <c r="AB136" i="6"/>
  <c r="AA136" i="6"/>
  <c r="Y136" i="6"/>
  <c r="X136" i="6"/>
  <c r="W136" i="6"/>
  <c r="T136" i="6"/>
  <c r="S136" i="6"/>
  <c r="AG135" i="6"/>
  <c r="AF135" i="6"/>
  <c r="AE135" i="6"/>
  <c r="AC135" i="6"/>
  <c r="AB135" i="6"/>
  <c r="AA135" i="6"/>
  <c r="Y135" i="6"/>
  <c r="X135" i="6"/>
  <c r="W135" i="6"/>
  <c r="T135" i="6"/>
  <c r="S135" i="6"/>
  <c r="U135" i="6"/>
  <c r="AG134" i="6"/>
  <c r="AF134" i="6"/>
  <c r="AE134" i="6"/>
  <c r="AC134" i="6"/>
  <c r="AB134" i="6"/>
  <c r="AA134" i="6"/>
  <c r="Y134" i="6"/>
  <c r="X134" i="6"/>
  <c r="W134" i="6"/>
  <c r="S134" i="6"/>
  <c r="U134" i="6"/>
  <c r="AG133" i="6"/>
  <c r="AF133" i="6"/>
  <c r="AE133" i="6"/>
  <c r="AC133" i="6"/>
  <c r="AB133" i="6"/>
  <c r="AA133" i="6"/>
  <c r="Y133" i="6"/>
  <c r="X133" i="6"/>
  <c r="W133" i="6"/>
  <c r="T133" i="6"/>
  <c r="S133" i="6"/>
  <c r="U133" i="6"/>
  <c r="AG132" i="6"/>
  <c r="AF132" i="6"/>
  <c r="AE132" i="6"/>
  <c r="AC132" i="6"/>
  <c r="AB132" i="6"/>
  <c r="AA132" i="6"/>
  <c r="Y132" i="6"/>
  <c r="X132" i="6"/>
  <c r="W132" i="6"/>
  <c r="S132" i="6"/>
  <c r="U132" i="6"/>
  <c r="AG131" i="6"/>
  <c r="AF131" i="6"/>
  <c r="AE131" i="6"/>
  <c r="AC131" i="6"/>
  <c r="AB131" i="6"/>
  <c r="AA131" i="6"/>
  <c r="Y131" i="6"/>
  <c r="X131" i="6"/>
  <c r="W131" i="6"/>
  <c r="S131" i="6"/>
  <c r="T131" i="6"/>
  <c r="AG130" i="6"/>
  <c r="AF130" i="6"/>
  <c r="AE130" i="6"/>
  <c r="AC130" i="6"/>
  <c r="AB130" i="6"/>
  <c r="AA130" i="6"/>
  <c r="Y130" i="6"/>
  <c r="X130" i="6"/>
  <c r="W130" i="6"/>
  <c r="S130" i="6"/>
  <c r="T130" i="6"/>
  <c r="AG129" i="6"/>
  <c r="AF129" i="6"/>
  <c r="AE129" i="6"/>
  <c r="AC129" i="6"/>
  <c r="AB129" i="6"/>
  <c r="AA129" i="6"/>
  <c r="Y129" i="6"/>
  <c r="X129" i="6"/>
  <c r="W129" i="6"/>
  <c r="S129" i="6"/>
  <c r="U129" i="6"/>
  <c r="AG128" i="6"/>
  <c r="AF128" i="6"/>
  <c r="AE128" i="6"/>
  <c r="AC128" i="6"/>
  <c r="AB128" i="6"/>
  <c r="AA128" i="6"/>
  <c r="Y128" i="6"/>
  <c r="X128" i="6"/>
  <c r="W128" i="6"/>
  <c r="T128" i="6"/>
  <c r="S128" i="6"/>
  <c r="AG127" i="6"/>
  <c r="AF127" i="6"/>
  <c r="AE127" i="6"/>
  <c r="AC127" i="6"/>
  <c r="AB127" i="6"/>
  <c r="AA127" i="6"/>
  <c r="Y127" i="6"/>
  <c r="X127" i="6"/>
  <c r="W127" i="6"/>
  <c r="T127" i="6"/>
  <c r="S127" i="6"/>
  <c r="U127" i="6"/>
  <c r="AG126" i="6"/>
  <c r="AF126" i="6"/>
  <c r="AE126" i="6"/>
  <c r="AC126" i="6"/>
  <c r="AB126" i="6"/>
  <c r="AA126" i="6"/>
  <c r="Y126" i="6"/>
  <c r="X126" i="6"/>
  <c r="W126" i="6"/>
  <c r="S126" i="6"/>
  <c r="U126" i="6"/>
  <c r="AG125" i="6"/>
  <c r="AF125" i="6"/>
  <c r="AE125" i="6"/>
  <c r="AC125" i="6"/>
  <c r="AB125" i="6"/>
  <c r="AA125" i="6"/>
  <c r="Y125" i="6"/>
  <c r="X125" i="6"/>
  <c r="W125" i="6"/>
  <c r="T125" i="6"/>
  <c r="S125" i="6"/>
  <c r="T126" i="6"/>
  <c r="AG124" i="6"/>
  <c r="AF124" i="6"/>
  <c r="AE124" i="6"/>
  <c r="AC124" i="6"/>
  <c r="AB124" i="6"/>
  <c r="AA124" i="6"/>
  <c r="Y124" i="6"/>
  <c r="X124" i="6"/>
  <c r="W124" i="6"/>
  <c r="S124" i="6"/>
  <c r="U124" i="6"/>
  <c r="AG123" i="6"/>
  <c r="AF123" i="6"/>
  <c r="AE123" i="6"/>
  <c r="AC123" i="6"/>
  <c r="AB123" i="6"/>
  <c r="AA123" i="6"/>
  <c r="Y123" i="6"/>
  <c r="X123" i="6"/>
  <c r="W123" i="6"/>
  <c r="S123" i="6"/>
  <c r="AG122" i="6"/>
  <c r="AF122" i="6"/>
  <c r="AE122" i="6"/>
  <c r="AC122" i="6"/>
  <c r="AB122" i="6"/>
  <c r="AA122" i="6"/>
  <c r="Y122" i="6"/>
  <c r="X122" i="6"/>
  <c r="W122" i="6"/>
  <c r="S122" i="6"/>
  <c r="T123" i="6"/>
  <c r="AG121" i="6"/>
  <c r="AF121" i="6"/>
  <c r="AE121" i="6"/>
  <c r="AC121" i="6"/>
  <c r="AB121" i="6"/>
  <c r="AA121" i="6"/>
  <c r="Y121" i="6"/>
  <c r="X121" i="6"/>
  <c r="W121" i="6"/>
  <c r="S121" i="6"/>
  <c r="U122" i="6"/>
  <c r="AG120" i="6"/>
  <c r="AF120" i="6"/>
  <c r="AE120" i="6"/>
  <c r="AC120" i="6"/>
  <c r="AB120" i="6"/>
  <c r="AA120" i="6"/>
  <c r="Y120" i="6"/>
  <c r="X120" i="6"/>
  <c r="W120" i="6"/>
  <c r="T120" i="6"/>
  <c r="S120" i="6"/>
  <c r="AG119" i="6"/>
  <c r="AF119" i="6"/>
  <c r="AE119" i="6"/>
  <c r="AC119" i="6"/>
  <c r="AB119" i="6"/>
  <c r="AA119" i="6"/>
  <c r="Y119" i="6"/>
  <c r="X119" i="6"/>
  <c r="W119" i="6"/>
  <c r="T119" i="6"/>
  <c r="S119" i="6"/>
  <c r="U119" i="6"/>
  <c r="AG118" i="6"/>
  <c r="AF118" i="6"/>
  <c r="AE118" i="6"/>
  <c r="AC118" i="6"/>
  <c r="AB118" i="6"/>
  <c r="AA118" i="6"/>
  <c r="Y118" i="6"/>
  <c r="X118" i="6"/>
  <c r="W118" i="6"/>
  <c r="S118" i="6"/>
  <c r="AG117" i="6"/>
  <c r="AF117" i="6"/>
  <c r="AE117" i="6"/>
  <c r="AC117" i="6"/>
  <c r="AB117" i="6"/>
  <c r="AA117" i="6"/>
  <c r="Y117" i="6"/>
  <c r="X117" i="6"/>
  <c r="W117" i="6"/>
  <c r="T117" i="6"/>
  <c r="S117" i="6"/>
  <c r="U118" i="6"/>
  <c r="AG116" i="6"/>
  <c r="AF116" i="6"/>
  <c r="AE116" i="6"/>
  <c r="AC116" i="6"/>
  <c r="AB116" i="6"/>
  <c r="AA116" i="6"/>
  <c r="Y116" i="6"/>
  <c r="X116" i="6"/>
  <c r="W116" i="6"/>
  <c r="S116" i="6"/>
  <c r="U116" i="6"/>
  <c r="AG115" i="6"/>
  <c r="AF115" i="6"/>
  <c r="AE115" i="6"/>
  <c r="AC115" i="6"/>
  <c r="AB115" i="6"/>
  <c r="AA115" i="6"/>
  <c r="Y115" i="6"/>
  <c r="X115" i="6"/>
  <c r="W115" i="6"/>
  <c r="S115" i="6"/>
  <c r="AG114" i="6"/>
  <c r="AF114" i="6"/>
  <c r="AE114" i="6"/>
  <c r="AC114" i="6"/>
  <c r="AB114" i="6"/>
  <c r="AA114" i="6"/>
  <c r="Y114" i="6"/>
  <c r="X114" i="6"/>
  <c r="W114" i="6"/>
  <c r="S114" i="6"/>
  <c r="T115" i="6"/>
  <c r="AG113" i="6"/>
  <c r="AF113" i="6"/>
  <c r="AE113" i="6"/>
  <c r="AC113" i="6"/>
  <c r="AB113" i="6"/>
  <c r="AA113" i="6"/>
  <c r="Y113" i="6"/>
  <c r="X113" i="6"/>
  <c r="W113" i="6"/>
  <c r="S113" i="6"/>
  <c r="U113" i="6"/>
  <c r="AG112" i="6"/>
  <c r="AF112" i="6"/>
  <c r="AE112" i="6"/>
  <c r="AC112" i="6"/>
  <c r="AB112" i="6"/>
  <c r="AA112" i="6"/>
  <c r="Y112" i="6"/>
  <c r="X112" i="6"/>
  <c r="W112" i="6"/>
  <c r="T112" i="6"/>
  <c r="S112" i="6"/>
  <c r="AG111" i="6"/>
  <c r="AF111" i="6"/>
  <c r="AE111" i="6"/>
  <c r="AC111" i="6"/>
  <c r="AB111" i="6"/>
  <c r="AA111" i="6"/>
  <c r="Y111" i="6"/>
  <c r="X111" i="6"/>
  <c r="W111" i="6"/>
  <c r="T111" i="6"/>
  <c r="S111" i="6"/>
  <c r="U111" i="6"/>
  <c r="AG110" i="6"/>
  <c r="AF110" i="6"/>
  <c r="AE110" i="6"/>
  <c r="AC110" i="6"/>
  <c r="AB110" i="6"/>
  <c r="AA110" i="6"/>
  <c r="Y110" i="6"/>
  <c r="X110" i="6"/>
  <c r="W110" i="6"/>
  <c r="S110" i="6"/>
  <c r="AG109" i="6"/>
  <c r="AF109" i="6"/>
  <c r="AE109" i="6"/>
  <c r="AC109" i="6"/>
  <c r="AB109" i="6"/>
  <c r="AA109" i="6"/>
  <c r="Y109" i="6"/>
  <c r="X109" i="6"/>
  <c r="W109" i="6"/>
  <c r="T109" i="6"/>
  <c r="S109" i="6"/>
  <c r="U110" i="6"/>
  <c r="AG108" i="6"/>
  <c r="AF108" i="6"/>
  <c r="AE108" i="6"/>
  <c r="AC108" i="6"/>
  <c r="AB108" i="6"/>
  <c r="AA108" i="6"/>
  <c r="Y108" i="6"/>
  <c r="X108" i="6"/>
  <c r="W108" i="6"/>
  <c r="S108" i="6"/>
  <c r="U108" i="6"/>
  <c r="AG107" i="6"/>
  <c r="AF107" i="6"/>
  <c r="AE107" i="6"/>
  <c r="AC107" i="6"/>
  <c r="AB107" i="6"/>
  <c r="AA107" i="6"/>
  <c r="Y107" i="6"/>
  <c r="X107" i="6"/>
  <c r="W107" i="6"/>
  <c r="S107" i="6"/>
  <c r="AG106" i="6"/>
  <c r="AF106" i="6"/>
  <c r="AE106" i="6"/>
  <c r="AC106" i="6"/>
  <c r="AB106" i="6"/>
  <c r="AA106" i="6"/>
  <c r="Y106" i="6"/>
  <c r="X106" i="6"/>
  <c r="W106" i="6"/>
  <c r="S106" i="6"/>
  <c r="T107" i="6"/>
  <c r="AG105" i="6"/>
  <c r="AF105" i="6"/>
  <c r="AE105" i="6"/>
  <c r="AC105" i="6"/>
  <c r="AB105" i="6"/>
  <c r="AA105" i="6"/>
  <c r="Y105" i="6"/>
  <c r="X105" i="6"/>
  <c r="W105" i="6"/>
  <c r="S105" i="6"/>
  <c r="U105" i="6"/>
  <c r="AG104" i="6"/>
  <c r="AF104" i="6"/>
  <c r="AE104" i="6"/>
  <c r="AC104" i="6"/>
  <c r="AB104" i="6"/>
  <c r="AA104" i="6"/>
  <c r="Y104" i="6"/>
  <c r="X104" i="6"/>
  <c r="W104" i="6"/>
  <c r="T104" i="6"/>
  <c r="S104" i="6"/>
  <c r="AG103" i="6"/>
  <c r="AF103" i="6"/>
  <c r="AE103" i="6"/>
  <c r="AC103" i="6"/>
  <c r="AB103" i="6"/>
  <c r="AA103" i="6"/>
  <c r="Y103" i="6"/>
  <c r="X103" i="6"/>
  <c r="W103" i="6"/>
  <c r="T103" i="6"/>
  <c r="S103" i="6"/>
  <c r="U103" i="6"/>
  <c r="AG102" i="6"/>
  <c r="AF102" i="6"/>
  <c r="AE102" i="6"/>
  <c r="AC102" i="6"/>
  <c r="AB102" i="6"/>
  <c r="AA102" i="6"/>
  <c r="Y102" i="6"/>
  <c r="X102" i="6"/>
  <c r="W102" i="6"/>
  <c r="S102" i="6"/>
  <c r="AG101" i="6"/>
  <c r="AF101" i="6"/>
  <c r="AE101" i="6"/>
  <c r="AC101" i="6"/>
  <c r="AB101" i="6"/>
  <c r="AA101" i="6"/>
  <c r="Y101" i="6"/>
  <c r="X101" i="6"/>
  <c r="W101" i="6"/>
  <c r="T101" i="6"/>
  <c r="S101" i="6"/>
  <c r="U102" i="6"/>
  <c r="AG100" i="6"/>
  <c r="AF100" i="6"/>
  <c r="AE100" i="6"/>
  <c r="AC100" i="6"/>
  <c r="AB100" i="6"/>
  <c r="AA100" i="6"/>
  <c r="Y100" i="6"/>
  <c r="X100" i="6"/>
  <c r="W100" i="6"/>
  <c r="S100" i="6"/>
  <c r="U100" i="6"/>
  <c r="AG99" i="6"/>
  <c r="AF99" i="6"/>
  <c r="AE99" i="6"/>
  <c r="AC99" i="6"/>
  <c r="AB99" i="6"/>
  <c r="AA99" i="6"/>
  <c r="Y99" i="6"/>
  <c r="X99" i="6"/>
  <c r="W99" i="6"/>
  <c r="S99" i="6"/>
  <c r="AG98" i="6"/>
  <c r="AF98" i="6"/>
  <c r="AE98" i="6"/>
  <c r="AC98" i="6"/>
  <c r="AB98" i="6"/>
  <c r="AA98" i="6"/>
  <c r="Y98" i="6"/>
  <c r="X98" i="6"/>
  <c r="W98" i="6"/>
  <c r="S98" i="6"/>
  <c r="T99" i="6"/>
  <c r="AG97" i="6"/>
  <c r="AF97" i="6"/>
  <c r="AE97" i="6"/>
  <c r="AC97" i="6"/>
  <c r="AB97" i="6"/>
  <c r="AA97" i="6"/>
  <c r="Y97" i="6"/>
  <c r="X97" i="6"/>
  <c r="W97" i="6"/>
  <c r="S97" i="6"/>
  <c r="U97" i="6"/>
  <c r="AG96" i="6"/>
  <c r="AF96" i="6"/>
  <c r="AE96" i="6"/>
  <c r="AC96" i="6"/>
  <c r="AB96" i="6"/>
  <c r="AA96" i="6"/>
  <c r="Y96" i="6"/>
  <c r="X96" i="6"/>
  <c r="W96" i="6"/>
  <c r="T96" i="6"/>
  <c r="S96" i="6"/>
  <c r="AG95" i="6"/>
  <c r="AF95" i="6"/>
  <c r="AE95" i="6"/>
  <c r="AC95" i="6"/>
  <c r="AB95" i="6"/>
  <c r="AA95" i="6"/>
  <c r="Y95" i="6"/>
  <c r="X95" i="6"/>
  <c r="W95" i="6"/>
  <c r="T95" i="6"/>
  <c r="S95" i="6"/>
  <c r="U95" i="6"/>
  <c r="AG94" i="6"/>
  <c r="AF94" i="6"/>
  <c r="AE94" i="6"/>
  <c r="AC94" i="6"/>
  <c r="AB94" i="6"/>
  <c r="AA94" i="6"/>
  <c r="Y94" i="6"/>
  <c r="X94" i="6"/>
  <c r="W94" i="6"/>
  <c r="S94" i="6"/>
  <c r="AG93" i="6"/>
  <c r="AF93" i="6"/>
  <c r="AE93" i="6"/>
  <c r="AC93" i="6"/>
  <c r="AB93" i="6"/>
  <c r="AA93" i="6"/>
  <c r="Y93" i="6"/>
  <c r="X93" i="6"/>
  <c r="W93" i="6"/>
  <c r="T93" i="6"/>
  <c r="S93" i="6"/>
  <c r="U94" i="6"/>
  <c r="AG92" i="6"/>
  <c r="AF92" i="6"/>
  <c r="AE92" i="6"/>
  <c r="AC92" i="6"/>
  <c r="AB92" i="6"/>
  <c r="AA92" i="6"/>
  <c r="Y92" i="6"/>
  <c r="X92" i="6"/>
  <c r="W92" i="6"/>
  <c r="S92" i="6"/>
  <c r="U92" i="6"/>
  <c r="AG91" i="6"/>
  <c r="AF91" i="6"/>
  <c r="AE91" i="6"/>
  <c r="AC91" i="6"/>
  <c r="AB91" i="6"/>
  <c r="AA91" i="6"/>
  <c r="Y91" i="6"/>
  <c r="X91" i="6"/>
  <c r="W91" i="6"/>
  <c r="S91" i="6"/>
  <c r="AG90" i="6"/>
  <c r="AF90" i="6"/>
  <c r="AE90" i="6"/>
  <c r="AC90" i="6"/>
  <c r="AB90" i="6"/>
  <c r="AA90" i="6"/>
  <c r="Y90" i="6"/>
  <c r="X90" i="6"/>
  <c r="W90" i="6"/>
  <c r="S90" i="6"/>
  <c r="T91" i="6"/>
  <c r="AG89" i="6"/>
  <c r="AF89" i="6"/>
  <c r="AE89" i="6"/>
  <c r="AC89" i="6"/>
  <c r="AB89" i="6"/>
  <c r="AA89" i="6"/>
  <c r="Y89" i="6"/>
  <c r="X89" i="6"/>
  <c r="W89" i="6"/>
  <c r="S89" i="6"/>
  <c r="U90" i="6"/>
  <c r="AG88" i="6"/>
  <c r="AF88" i="6"/>
  <c r="AE88" i="6"/>
  <c r="AC88" i="6"/>
  <c r="AB88" i="6"/>
  <c r="AA88" i="6"/>
  <c r="Y88" i="6"/>
  <c r="X88" i="6"/>
  <c r="W88" i="6"/>
  <c r="T88" i="6"/>
  <c r="S88" i="6"/>
  <c r="AG87" i="6"/>
  <c r="AF87" i="6"/>
  <c r="AE87" i="6"/>
  <c r="AC87" i="6"/>
  <c r="AB87" i="6"/>
  <c r="AA87" i="6"/>
  <c r="Y87" i="6"/>
  <c r="X87" i="6"/>
  <c r="W87" i="6"/>
  <c r="T87" i="6"/>
  <c r="S87" i="6"/>
  <c r="U87" i="6"/>
  <c r="AG86" i="6"/>
  <c r="AF86" i="6"/>
  <c r="AE86" i="6"/>
  <c r="AC86" i="6"/>
  <c r="AB86" i="6"/>
  <c r="AA86" i="6"/>
  <c r="Y86" i="6"/>
  <c r="X86" i="6"/>
  <c r="W86" i="6"/>
  <c r="S86" i="6"/>
  <c r="AG85" i="6"/>
  <c r="AF85" i="6"/>
  <c r="AE85" i="6"/>
  <c r="AC85" i="6"/>
  <c r="AB85" i="6"/>
  <c r="AA85" i="6"/>
  <c r="Y85" i="6"/>
  <c r="X85" i="6"/>
  <c r="W85" i="6"/>
  <c r="T85" i="6"/>
  <c r="S85" i="6"/>
  <c r="U86" i="6"/>
  <c r="AG84" i="6"/>
  <c r="AF84" i="6"/>
  <c r="AE84" i="6"/>
  <c r="AC84" i="6"/>
  <c r="AB84" i="6"/>
  <c r="AA84" i="6"/>
  <c r="Y84" i="6"/>
  <c r="X84" i="6"/>
  <c r="W84" i="6"/>
  <c r="S84" i="6"/>
  <c r="U84" i="6"/>
  <c r="AG83" i="6"/>
  <c r="AF83" i="6"/>
  <c r="AE83" i="6"/>
  <c r="AC83" i="6"/>
  <c r="AB83" i="6"/>
  <c r="AA83" i="6"/>
  <c r="Y83" i="6"/>
  <c r="X83" i="6"/>
  <c r="W83" i="6"/>
  <c r="S83" i="6"/>
  <c r="AG82" i="6"/>
  <c r="AF82" i="6"/>
  <c r="AE82" i="6"/>
  <c r="AC82" i="6"/>
  <c r="AB82" i="6"/>
  <c r="AA82" i="6"/>
  <c r="Y82" i="6"/>
  <c r="X82" i="6"/>
  <c r="W82" i="6"/>
  <c r="S82" i="6"/>
  <c r="T83" i="6"/>
  <c r="AG81" i="6"/>
  <c r="AF81" i="6"/>
  <c r="AE81" i="6"/>
  <c r="AC81" i="6"/>
  <c r="AB81" i="6"/>
  <c r="AA81" i="6"/>
  <c r="Y81" i="6"/>
  <c r="X81" i="6"/>
  <c r="W81" i="6"/>
  <c r="S81" i="6"/>
  <c r="U81" i="6"/>
  <c r="AG80" i="6"/>
  <c r="AF80" i="6"/>
  <c r="AE80" i="6"/>
  <c r="AC80" i="6"/>
  <c r="AB80" i="6"/>
  <c r="AA80" i="6"/>
  <c r="Y80" i="6"/>
  <c r="X80" i="6"/>
  <c r="W80" i="6"/>
  <c r="T80" i="6"/>
  <c r="S80" i="6"/>
  <c r="AG79" i="6"/>
  <c r="AF79" i="6"/>
  <c r="AE79" i="6"/>
  <c r="AC79" i="6"/>
  <c r="AB79" i="6"/>
  <c r="AA79" i="6"/>
  <c r="Y79" i="6"/>
  <c r="X79" i="6"/>
  <c r="W79" i="6"/>
  <c r="T79" i="6"/>
  <c r="S79" i="6"/>
  <c r="U79" i="6"/>
  <c r="AG78" i="6"/>
  <c r="AF78" i="6"/>
  <c r="AE78" i="6"/>
  <c r="AC78" i="6"/>
  <c r="AB78" i="6"/>
  <c r="AA78" i="6"/>
  <c r="Y78" i="6"/>
  <c r="X78" i="6"/>
  <c r="W78" i="6"/>
  <c r="S78" i="6"/>
  <c r="AG77" i="6"/>
  <c r="AF77" i="6"/>
  <c r="AE77" i="6"/>
  <c r="AC77" i="6"/>
  <c r="AB77" i="6"/>
  <c r="AA77" i="6"/>
  <c r="Y77" i="6"/>
  <c r="X77" i="6"/>
  <c r="W77" i="6"/>
  <c r="T77" i="6"/>
  <c r="S77" i="6"/>
  <c r="U78" i="6"/>
  <c r="AG76" i="6"/>
  <c r="AF76" i="6"/>
  <c r="AE76" i="6"/>
  <c r="AC76" i="6"/>
  <c r="AB76" i="6"/>
  <c r="AA76" i="6"/>
  <c r="Y76" i="6"/>
  <c r="X76" i="6"/>
  <c r="W76" i="6"/>
  <c r="S76" i="6"/>
  <c r="U76" i="6"/>
  <c r="AG75" i="6"/>
  <c r="AF75" i="6"/>
  <c r="AE75" i="6"/>
  <c r="AC75" i="6"/>
  <c r="AB75" i="6"/>
  <c r="AA75" i="6"/>
  <c r="Y75" i="6"/>
  <c r="X75" i="6"/>
  <c r="W75" i="6"/>
  <c r="S75" i="6"/>
  <c r="AG74" i="6"/>
  <c r="AF74" i="6"/>
  <c r="AE74" i="6"/>
  <c r="AC74" i="6"/>
  <c r="AB74" i="6"/>
  <c r="AA74" i="6"/>
  <c r="Y74" i="6"/>
  <c r="X74" i="6"/>
  <c r="W74" i="6"/>
  <c r="S74" i="6"/>
  <c r="T75" i="6"/>
  <c r="AG73" i="6"/>
  <c r="AF73" i="6"/>
  <c r="AE73" i="6"/>
  <c r="AC73" i="6"/>
  <c r="AB73" i="6"/>
  <c r="AA73" i="6"/>
  <c r="Y73" i="6"/>
  <c r="X73" i="6"/>
  <c r="W73" i="6"/>
  <c r="S73" i="6"/>
  <c r="U73" i="6"/>
  <c r="AG72" i="6"/>
  <c r="AF72" i="6"/>
  <c r="AE72" i="6"/>
  <c r="AC72" i="6"/>
  <c r="AB72" i="6"/>
  <c r="AA72" i="6"/>
  <c r="Y72" i="6"/>
  <c r="X72" i="6"/>
  <c r="W72" i="6"/>
  <c r="T72" i="6"/>
  <c r="S72" i="6"/>
  <c r="AG71" i="6"/>
  <c r="AF71" i="6"/>
  <c r="AE71" i="6"/>
  <c r="AC71" i="6"/>
  <c r="AB71" i="6"/>
  <c r="AA71" i="6"/>
  <c r="Y71" i="6"/>
  <c r="X71" i="6"/>
  <c r="W71" i="6"/>
  <c r="T71" i="6"/>
  <c r="S71" i="6"/>
  <c r="U71" i="6"/>
  <c r="AG70" i="6"/>
  <c r="AF70" i="6"/>
  <c r="AE70" i="6"/>
  <c r="AC70" i="6"/>
  <c r="AB70" i="6"/>
  <c r="AA70" i="6"/>
  <c r="Y70" i="6"/>
  <c r="X70" i="6"/>
  <c r="W70" i="6"/>
  <c r="S70" i="6"/>
  <c r="T70" i="6"/>
  <c r="AG69" i="6"/>
  <c r="AF69" i="6"/>
  <c r="AE69" i="6"/>
  <c r="AC69" i="6"/>
  <c r="AB69" i="6"/>
  <c r="AA69" i="6"/>
  <c r="Y69" i="6"/>
  <c r="X69" i="6"/>
  <c r="W69" i="6"/>
  <c r="T69" i="6"/>
  <c r="S69" i="6"/>
  <c r="U70" i="6"/>
  <c r="AG68" i="6"/>
  <c r="AF68" i="6"/>
  <c r="AE68" i="6"/>
  <c r="AC68" i="6"/>
  <c r="AB68" i="6"/>
  <c r="AA68" i="6"/>
  <c r="Y68" i="6"/>
  <c r="X68" i="6"/>
  <c r="W68" i="6"/>
  <c r="S68" i="6"/>
  <c r="U68" i="6"/>
  <c r="AG67" i="6"/>
  <c r="AF67" i="6"/>
  <c r="AE67" i="6"/>
  <c r="AC67" i="6"/>
  <c r="AB67" i="6"/>
  <c r="AA67" i="6"/>
  <c r="Y67" i="6"/>
  <c r="X67" i="6"/>
  <c r="W67" i="6"/>
  <c r="S67" i="6"/>
  <c r="AG66" i="6"/>
  <c r="AF66" i="6"/>
  <c r="AE66" i="6"/>
  <c r="AC66" i="6"/>
  <c r="AB66" i="6"/>
  <c r="AA66" i="6"/>
  <c r="Y66" i="6"/>
  <c r="X66" i="6"/>
  <c r="W66" i="6"/>
  <c r="S66" i="6"/>
  <c r="T67" i="6"/>
  <c r="AG65" i="6"/>
  <c r="AF65" i="6"/>
  <c r="AE65" i="6"/>
  <c r="AC65" i="6"/>
  <c r="AB65" i="6"/>
  <c r="AA65" i="6"/>
  <c r="Y65" i="6"/>
  <c r="X65" i="6"/>
  <c r="W65" i="6"/>
  <c r="S65" i="6"/>
  <c r="U65" i="6"/>
  <c r="AG64" i="6"/>
  <c r="AF64" i="6"/>
  <c r="AE64" i="6"/>
  <c r="AC64" i="6"/>
  <c r="AB64" i="6"/>
  <c r="AA64" i="6"/>
  <c r="Y64" i="6"/>
  <c r="X64" i="6"/>
  <c r="W64" i="6"/>
  <c r="T64" i="6"/>
  <c r="S64" i="6"/>
  <c r="AG63" i="6"/>
  <c r="AF63" i="6"/>
  <c r="AE63" i="6"/>
  <c r="AC63" i="6"/>
  <c r="AB63" i="6"/>
  <c r="AA63" i="6"/>
  <c r="Y63" i="6"/>
  <c r="X63" i="6"/>
  <c r="W63" i="6"/>
  <c r="T63" i="6"/>
  <c r="S63" i="6"/>
  <c r="U63" i="6"/>
  <c r="AG62" i="6"/>
  <c r="AF62" i="6"/>
  <c r="AE62" i="6"/>
  <c r="AC62" i="6"/>
  <c r="AB62" i="6"/>
  <c r="AA62" i="6"/>
  <c r="Y62" i="6"/>
  <c r="X62" i="6"/>
  <c r="W62" i="6"/>
  <c r="S62" i="6"/>
  <c r="AG61" i="6"/>
  <c r="AF61" i="6"/>
  <c r="AE61" i="6"/>
  <c r="AC61" i="6"/>
  <c r="AB61" i="6"/>
  <c r="AA61" i="6"/>
  <c r="Y61" i="6"/>
  <c r="X61" i="6"/>
  <c r="W61" i="6"/>
  <c r="S61" i="6"/>
  <c r="U62" i="6"/>
  <c r="AG60" i="6"/>
  <c r="AF60" i="6"/>
  <c r="AE60" i="6"/>
  <c r="AC60" i="6"/>
  <c r="AB60" i="6"/>
  <c r="AA60" i="6"/>
  <c r="Y60" i="6"/>
  <c r="X60" i="6"/>
  <c r="W60" i="6"/>
  <c r="S60" i="6"/>
  <c r="U60" i="6"/>
  <c r="AG59" i="6"/>
  <c r="AF59" i="6"/>
  <c r="AE59" i="6"/>
  <c r="AC59" i="6"/>
  <c r="AB59" i="6"/>
  <c r="AA59" i="6"/>
  <c r="Y59" i="6"/>
  <c r="X59" i="6"/>
  <c r="W59" i="6"/>
  <c r="S59" i="6"/>
  <c r="AG58" i="6"/>
  <c r="AF58" i="6"/>
  <c r="AE58" i="6"/>
  <c r="AC58" i="6"/>
  <c r="AB58" i="6"/>
  <c r="AA58" i="6"/>
  <c r="Y58" i="6"/>
  <c r="X58" i="6"/>
  <c r="W58" i="6"/>
  <c r="S58" i="6"/>
  <c r="T59" i="6"/>
  <c r="AG57" i="6"/>
  <c r="AF57" i="6"/>
  <c r="AE57" i="6"/>
  <c r="AC57" i="6"/>
  <c r="AB57" i="6"/>
  <c r="AA57" i="6"/>
  <c r="Y57" i="6"/>
  <c r="X57" i="6"/>
  <c r="W57" i="6"/>
  <c r="S57" i="6"/>
  <c r="U57" i="6"/>
  <c r="AG56" i="6"/>
  <c r="AF56" i="6"/>
  <c r="AE56" i="6"/>
  <c r="AC56" i="6"/>
  <c r="AB56" i="6"/>
  <c r="AA56" i="6"/>
  <c r="Y56" i="6"/>
  <c r="X56" i="6"/>
  <c r="W56" i="6"/>
  <c r="T56" i="6"/>
  <c r="S56" i="6"/>
  <c r="AG55" i="6"/>
  <c r="AF55" i="6"/>
  <c r="AE55" i="6"/>
  <c r="AC55" i="6"/>
  <c r="AB55" i="6"/>
  <c r="AA55" i="6"/>
  <c r="Y55" i="6"/>
  <c r="X55" i="6"/>
  <c r="W55" i="6"/>
  <c r="T55" i="6"/>
  <c r="S55" i="6"/>
  <c r="U55" i="6"/>
  <c r="AG54" i="6"/>
  <c r="AF54" i="6"/>
  <c r="AE54" i="6"/>
  <c r="AC54" i="6"/>
  <c r="AB54" i="6"/>
  <c r="AA54" i="6"/>
  <c r="Y54" i="6"/>
  <c r="X54" i="6"/>
  <c r="W54" i="6"/>
  <c r="S54" i="6"/>
  <c r="AG53" i="6"/>
  <c r="AF53" i="6"/>
  <c r="AE53" i="6"/>
  <c r="AC53" i="6"/>
  <c r="AB53" i="6"/>
  <c r="AA53" i="6"/>
  <c r="Y53" i="6"/>
  <c r="X53" i="6"/>
  <c r="W53" i="6"/>
  <c r="S53" i="6"/>
  <c r="U54" i="6"/>
  <c r="AG52" i="6"/>
  <c r="AF52" i="6"/>
  <c r="AE52" i="6"/>
  <c r="AC52" i="6"/>
  <c r="AB52" i="6"/>
  <c r="AA52" i="6"/>
  <c r="Y52" i="6"/>
  <c r="X52" i="6"/>
  <c r="W52" i="6"/>
  <c r="S52" i="6"/>
  <c r="U52" i="6"/>
  <c r="AG51" i="6"/>
  <c r="AF51" i="6"/>
  <c r="AE51" i="6"/>
  <c r="AC51" i="6"/>
  <c r="AB51" i="6"/>
  <c r="AA51" i="6"/>
  <c r="Y51" i="6"/>
  <c r="X51" i="6"/>
  <c r="W51" i="6"/>
  <c r="S51" i="6"/>
  <c r="AG50" i="6"/>
  <c r="AF50" i="6"/>
  <c r="AE50" i="6"/>
  <c r="AC50" i="6"/>
  <c r="AB50" i="6"/>
  <c r="AA50" i="6"/>
  <c r="Y50" i="6"/>
  <c r="X50" i="6"/>
  <c r="W50" i="6"/>
  <c r="S50" i="6"/>
  <c r="T51" i="6"/>
  <c r="AG49" i="6"/>
  <c r="AF49" i="6"/>
  <c r="AE49" i="6"/>
  <c r="AC49" i="6"/>
  <c r="AB49" i="6"/>
  <c r="AA49" i="6"/>
  <c r="Y49" i="6"/>
  <c r="X49" i="6"/>
  <c r="W49" i="6"/>
  <c r="S49" i="6"/>
  <c r="U49" i="6"/>
  <c r="AG48" i="6"/>
  <c r="AF48" i="6"/>
  <c r="AE48" i="6"/>
  <c r="AC48" i="6"/>
  <c r="AB48" i="6"/>
  <c r="AA48" i="6"/>
  <c r="Y48" i="6"/>
  <c r="X48" i="6"/>
  <c r="W48" i="6"/>
  <c r="T48" i="6"/>
  <c r="S48" i="6"/>
  <c r="AG47" i="6"/>
  <c r="AF47" i="6"/>
  <c r="AE47" i="6"/>
  <c r="AC47" i="6"/>
  <c r="AB47" i="6"/>
  <c r="AA47" i="6"/>
  <c r="Y47" i="6"/>
  <c r="X47" i="6"/>
  <c r="W47" i="6"/>
  <c r="T47" i="6"/>
  <c r="S47" i="6"/>
  <c r="U47" i="6"/>
  <c r="AG46" i="6"/>
  <c r="AF46" i="6"/>
  <c r="AE46" i="6"/>
  <c r="AC46" i="6"/>
  <c r="AB46" i="6"/>
  <c r="AA46" i="6"/>
  <c r="Y46" i="6"/>
  <c r="X46" i="6"/>
  <c r="W46" i="6"/>
  <c r="S46" i="6"/>
  <c r="AG45" i="6"/>
  <c r="AF45" i="6"/>
  <c r="AE45" i="6"/>
  <c r="AC45" i="6"/>
  <c r="AB45" i="6"/>
  <c r="AA45" i="6"/>
  <c r="Y45" i="6"/>
  <c r="X45" i="6"/>
  <c r="W45" i="6"/>
  <c r="S45" i="6"/>
  <c r="U46" i="6"/>
  <c r="AG44" i="6"/>
  <c r="AF44" i="6"/>
  <c r="AE44" i="6"/>
  <c r="AC44" i="6"/>
  <c r="AB44" i="6"/>
  <c r="AA44" i="6"/>
  <c r="Y44" i="6"/>
  <c r="X44" i="6"/>
  <c r="W44" i="6"/>
  <c r="S44" i="6"/>
  <c r="U44" i="6"/>
  <c r="AG43" i="6"/>
  <c r="AF43" i="6"/>
  <c r="AE43" i="6"/>
  <c r="AC43" i="6"/>
  <c r="AB43" i="6"/>
  <c r="AA43" i="6"/>
  <c r="Y43" i="6"/>
  <c r="X43" i="6"/>
  <c r="W43" i="6"/>
  <c r="S43" i="6"/>
  <c r="AG42" i="6"/>
  <c r="AF42" i="6"/>
  <c r="AE42" i="6"/>
  <c r="AC42" i="6"/>
  <c r="AB42" i="6"/>
  <c r="AA42" i="6"/>
  <c r="Y42" i="6"/>
  <c r="X42" i="6"/>
  <c r="W42" i="6"/>
  <c r="S42" i="6"/>
  <c r="T43" i="6"/>
  <c r="AG41" i="6"/>
  <c r="AF41" i="6"/>
  <c r="AE41" i="6"/>
  <c r="AC41" i="6"/>
  <c r="AB41" i="6"/>
  <c r="AA41" i="6"/>
  <c r="Y41" i="6"/>
  <c r="X41" i="6"/>
  <c r="W41" i="6"/>
  <c r="S41" i="6"/>
  <c r="U41" i="6"/>
  <c r="AG40" i="6"/>
  <c r="AF40" i="6"/>
  <c r="AE40" i="6"/>
  <c r="AC40" i="6"/>
  <c r="AB40" i="6"/>
  <c r="AA40" i="6"/>
  <c r="Y40" i="6"/>
  <c r="X40" i="6"/>
  <c r="W40" i="6"/>
  <c r="T40" i="6"/>
  <c r="S40" i="6"/>
  <c r="U40" i="6"/>
  <c r="AG39" i="6"/>
  <c r="AF39" i="6"/>
  <c r="AE39" i="6"/>
  <c r="AC39" i="6"/>
  <c r="AB39" i="6"/>
  <c r="AA39" i="6"/>
  <c r="Y39" i="6"/>
  <c r="X39" i="6"/>
  <c r="W39" i="6"/>
  <c r="T39" i="6"/>
  <c r="S39" i="6"/>
  <c r="U39" i="6"/>
  <c r="AG38" i="6"/>
  <c r="AF38" i="6"/>
  <c r="AE38" i="6"/>
  <c r="AC38" i="6"/>
  <c r="AB38" i="6"/>
  <c r="AA38" i="6"/>
  <c r="Y38" i="6"/>
  <c r="X38" i="6"/>
  <c r="W38" i="6"/>
  <c r="S38" i="6"/>
  <c r="AG37" i="6"/>
  <c r="AF37" i="6"/>
  <c r="AE37" i="6"/>
  <c r="AC37" i="6"/>
  <c r="AB37" i="6"/>
  <c r="AA37" i="6"/>
  <c r="Y37" i="6"/>
  <c r="X37" i="6"/>
  <c r="W37" i="6"/>
  <c r="S37" i="6"/>
  <c r="U38" i="6"/>
  <c r="AG36" i="6"/>
  <c r="AF36" i="6"/>
  <c r="AE36" i="6"/>
  <c r="AC36" i="6"/>
  <c r="AB36" i="6"/>
  <c r="AA36" i="6"/>
  <c r="Y36" i="6"/>
  <c r="X36" i="6"/>
  <c r="W36" i="6"/>
  <c r="S36" i="6"/>
  <c r="U36" i="6"/>
  <c r="AG35" i="6"/>
  <c r="AF35" i="6"/>
  <c r="AE35" i="6"/>
  <c r="AC35" i="6"/>
  <c r="AB35" i="6"/>
  <c r="AA35" i="6"/>
  <c r="Y35" i="6"/>
  <c r="X35" i="6"/>
  <c r="W35" i="6"/>
  <c r="S35" i="6"/>
  <c r="AG34" i="6"/>
  <c r="AF34" i="6"/>
  <c r="AE34" i="6"/>
  <c r="AC34" i="6"/>
  <c r="AB34" i="6"/>
  <c r="AA34" i="6"/>
  <c r="Y34" i="6"/>
  <c r="X34" i="6"/>
  <c r="W34" i="6"/>
  <c r="S34" i="6"/>
  <c r="T35" i="6"/>
  <c r="AG33" i="6"/>
  <c r="AF33" i="6"/>
  <c r="AE33" i="6"/>
  <c r="AC33" i="6"/>
  <c r="AB33" i="6"/>
  <c r="AA33" i="6"/>
  <c r="Y33" i="6"/>
  <c r="X33" i="6"/>
  <c r="W33" i="6"/>
  <c r="S33" i="6"/>
  <c r="U33" i="6"/>
  <c r="AG32" i="6"/>
  <c r="AF32" i="6"/>
  <c r="AE32" i="6"/>
  <c r="AC32" i="6"/>
  <c r="AB32" i="6"/>
  <c r="AA32" i="6"/>
  <c r="Y32" i="6"/>
  <c r="X32" i="6"/>
  <c r="W32" i="6"/>
  <c r="T32" i="6"/>
  <c r="S32" i="6"/>
  <c r="U32" i="6"/>
  <c r="AG31" i="6"/>
  <c r="AF31" i="6"/>
  <c r="AE31" i="6"/>
  <c r="AC31" i="6"/>
  <c r="AB31" i="6"/>
  <c r="AA31" i="6"/>
  <c r="Y31" i="6"/>
  <c r="X31" i="6"/>
  <c r="W31" i="6"/>
  <c r="T31" i="6"/>
  <c r="S31" i="6"/>
  <c r="U31" i="6"/>
  <c r="AG30" i="6"/>
  <c r="AF30" i="6"/>
  <c r="AE30" i="6"/>
  <c r="AC30" i="6"/>
  <c r="AB30" i="6"/>
  <c r="AA30" i="6"/>
  <c r="Y30" i="6"/>
  <c r="X30" i="6"/>
  <c r="W30" i="6"/>
  <c r="S30" i="6"/>
  <c r="AG29" i="6"/>
  <c r="AF29" i="6"/>
  <c r="AE29" i="6"/>
  <c r="AC29" i="6"/>
  <c r="AB29" i="6"/>
  <c r="AA29" i="6"/>
  <c r="Y29" i="6"/>
  <c r="X29" i="6"/>
  <c r="W29" i="6"/>
  <c r="S29" i="6"/>
  <c r="U30" i="6"/>
  <c r="AG28" i="6"/>
  <c r="AF28" i="6"/>
  <c r="AE28" i="6"/>
  <c r="AC28" i="6"/>
  <c r="AB28" i="6"/>
  <c r="AA28" i="6"/>
  <c r="Y28" i="6"/>
  <c r="X28" i="6"/>
  <c r="W28" i="6"/>
  <c r="S28" i="6"/>
  <c r="U28" i="6"/>
  <c r="AG27" i="6"/>
  <c r="AF27" i="6"/>
  <c r="AE27" i="6"/>
  <c r="AC27" i="6"/>
  <c r="AB27" i="6"/>
  <c r="AA27" i="6"/>
  <c r="Y27" i="6"/>
  <c r="X27" i="6"/>
  <c r="W27" i="6"/>
  <c r="S27" i="6"/>
  <c r="AG26" i="6"/>
  <c r="AF26" i="6"/>
  <c r="AE26" i="6"/>
  <c r="AC26" i="6"/>
  <c r="AB26" i="6"/>
  <c r="AA26" i="6"/>
  <c r="Y26" i="6"/>
  <c r="X26" i="6"/>
  <c r="W26" i="6"/>
  <c r="S26" i="6"/>
  <c r="T27" i="6"/>
  <c r="AG25" i="6"/>
  <c r="AF25" i="6"/>
  <c r="AE25" i="6"/>
  <c r="AC25" i="6"/>
  <c r="AB25" i="6"/>
  <c r="AA25" i="6"/>
  <c r="Y25" i="6"/>
  <c r="X25" i="6"/>
  <c r="W25" i="6"/>
  <c r="S25" i="6"/>
  <c r="U25" i="6"/>
  <c r="AG24" i="6"/>
  <c r="AF24" i="6"/>
  <c r="AE24" i="6"/>
  <c r="AC24" i="6"/>
  <c r="AB24" i="6"/>
  <c r="AA24" i="6"/>
  <c r="Y24" i="6"/>
  <c r="X24" i="6"/>
  <c r="W24" i="6"/>
  <c r="T24" i="6"/>
  <c r="S24" i="6"/>
  <c r="U24" i="6"/>
  <c r="AG23" i="6"/>
  <c r="AF23" i="6"/>
  <c r="AE23" i="6"/>
  <c r="AC23" i="6"/>
  <c r="AB23" i="6"/>
  <c r="AA23" i="6"/>
  <c r="Y23" i="6"/>
  <c r="X23" i="6"/>
  <c r="W23" i="6"/>
  <c r="T23" i="6"/>
  <c r="S23" i="6"/>
  <c r="U23" i="6"/>
  <c r="AG22" i="6"/>
  <c r="AF22" i="6"/>
  <c r="AE22" i="6"/>
  <c r="AC22" i="6"/>
  <c r="AB22" i="6"/>
  <c r="AA22" i="6"/>
  <c r="Y22" i="6"/>
  <c r="X22" i="6"/>
  <c r="W22" i="6"/>
  <c r="S22" i="6"/>
  <c r="AG21" i="6"/>
  <c r="AF21" i="6"/>
  <c r="AE21" i="6"/>
  <c r="AC21" i="6"/>
  <c r="AB21" i="6"/>
  <c r="AA21" i="6"/>
  <c r="Y21" i="6"/>
  <c r="X21" i="6"/>
  <c r="W21" i="6"/>
  <c r="S21" i="6"/>
  <c r="U22" i="6"/>
  <c r="AG20" i="6"/>
  <c r="AF20" i="6"/>
  <c r="AE20" i="6"/>
  <c r="AC20" i="6"/>
  <c r="AB20" i="6"/>
  <c r="AA20" i="6"/>
  <c r="Y20" i="6"/>
  <c r="X20" i="6"/>
  <c r="W20" i="6"/>
  <c r="S20" i="6"/>
  <c r="U20" i="6"/>
  <c r="AG19" i="6"/>
  <c r="AF19" i="6"/>
  <c r="AE19" i="6"/>
  <c r="AC19" i="6"/>
  <c r="AB19" i="6"/>
  <c r="AA19" i="6"/>
  <c r="Y19" i="6"/>
  <c r="X19" i="6"/>
  <c r="W19" i="6"/>
  <c r="S19" i="6"/>
  <c r="AG18" i="6"/>
  <c r="AF18" i="6"/>
  <c r="AE18" i="6"/>
  <c r="AC18" i="6"/>
  <c r="AB18" i="6"/>
  <c r="AA18" i="6"/>
  <c r="Y18" i="6"/>
  <c r="X18" i="6"/>
  <c r="W18" i="6"/>
  <c r="S18" i="6"/>
  <c r="T19" i="6"/>
  <c r="AG17" i="6"/>
  <c r="AF17" i="6"/>
  <c r="AE17" i="6"/>
  <c r="AC17" i="6"/>
  <c r="AB17" i="6"/>
  <c r="AA17" i="6"/>
  <c r="Y17" i="6"/>
  <c r="X17" i="6"/>
  <c r="W17" i="6"/>
  <c r="S17" i="6"/>
  <c r="U17" i="6"/>
  <c r="AG16" i="6"/>
  <c r="AF16" i="6"/>
  <c r="AE16" i="6"/>
  <c r="AC16" i="6"/>
  <c r="AB16" i="6"/>
  <c r="AA16" i="6"/>
  <c r="Y16" i="6"/>
  <c r="X16" i="6"/>
  <c r="W16" i="6"/>
  <c r="T16" i="6"/>
  <c r="S16" i="6"/>
  <c r="U16" i="6"/>
  <c r="AG15" i="6"/>
  <c r="AF15" i="6"/>
  <c r="AE15" i="6"/>
  <c r="AC15" i="6"/>
  <c r="AB15" i="6"/>
  <c r="AA15" i="6"/>
  <c r="Y15" i="6"/>
  <c r="X15" i="6"/>
  <c r="W15" i="6"/>
  <c r="T15" i="6"/>
  <c r="S15" i="6"/>
  <c r="U15" i="6"/>
  <c r="AG14" i="6"/>
  <c r="AF14" i="6"/>
  <c r="AE14" i="6"/>
  <c r="AC14" i="6"/>
  <c r="AB14" i="6"/>
  <c r="AA14" i="6"/>
  <c r="Y14" i="6"/>
  <c r="X14" i="6"/>
  <c r="W14" i="6"/>
  <c r="S14" i="6"/>
  <c r="U14" i="6"/>
  <c r="AG13" i="6"/>
  <c r="AF13" i="6"/>
  <c r="AE13" i="6"/>
  <c r="AC13" i="6"/>
  <c r="AB13" i="6"/>
  <c r="AA13" i="6"/>
  <c r="Y13" i="6"/>
  <c r="X13" i="6"/>
  <c r="W13" i="6"/>
  <c r="S13" i="6"/>
  <c r="T14" i="6"/>
  <c r="AG12" i="6"/>
  <c r="AF12" i="6"/>
  <c r="AE12" i="6"/>
  <c r="AC12" i="6"/>
  <c r="AB12" i="6"/>
  <c r="AA12" i="6"/>
  <c r="Y12" i="6"/>
  <c r="X12" i="6"/>
  <c r="W12" i="6"/>
  <c r="S12" i="6"/>
  <c r="U12" i="6"/>
  <c r="AG11" i="6"/>
  <c r="AF11" i="6"/>
  <c r="AE11" i="6"/>
  <c r="AC11" i="6"/>
  <c r="AB11" i="6"/>
  <c r="AA11" i="6"/>
  <c r="Y11" i="6"/>
  <c r="X11" i="6"/>
  <c r="W11" i="6"/>
  <c r="S11" i="6"/>
  <c r="T11" i="6"/>
  <c r="AG10" i="6"/>
  <c r="AF10" i="6"/>
  <c r="AE10" i="6"/>
  <c r="AC10" i="6"/>
  <c r="AB10" i="6"/>
  <c r="AA10" i="6"/>
  <c r="Y10" i="6"/>
  <c r="X10" i="6"/>
  <c r="W10" i="6"/>
  <c r="S10" i="6"/>
  <c r="T10" i="6"/>
  <c r="AG9" i="6"/>
  <c r="AF9" i="6"/>
  <c r="AE9" i="6"/>
  <c r="AC9" i="6"/>
  <c r="AB9" i="6"/>
  <c r="AA9" i="6"/>
  <c r="Y9" i="6"/>
  <c r="X9" i="6"/>
  <c r="W9" i="6"/>
  <c r="S9" i="6"/>
  <c r="U9" i="6"/>
  <c r="AG8" i="6"/>
  <c r="AF8" i="6"/>
  <c r="AE8" i="6"/>
  <c r="AC8" i="6"/>
  <c r="AB8" i="6"/>
  <c r="AA8" i="6"/>
  <c r="Y8" i="6"/>
  <c r="X8" i="6"/>
  <c r="W8" i="6"/>
  <c r="T8" i="6"/>
  <c r="S8" i="6"/>
  <c r="U8" i="6"/>
  <c r="AG7" i="6"/>
  <c r="AF7" i="6"/>
  <c r="AE7" i="6"/>
  <c r="AC7" i="6"/>
  <c r="AB7" i="6"/>
  <c r="AA7" i="6"/>
  <c r="Y7" i="6"/>
  <c r="X7" i="6"/>
  <c r="W7" i="6"/>
  <c r="T7" i="6"/>
  <c r="S7" i="6"/>
  <c r="U7" i="6"/>
  <c r="AG6" i="6"/>
  <c r="AF6" i="6"/>
  <c r="AE6" i="6"/>
  <c r="AC6" i="6"/>
  <c r="AB6" i="6"/>
  <c r="AA6" i="6"/>
  <c r="Y6" i="6"/>
  <c r="X6" i="6"/>
  <c r="W6" i="6"/>
  <c r="S6" i="6"/>
  <c r="U6" i="6"/>
  <c r="AG5" i="6"/>
  <c r="AF5" i="6"/>
  <c r="AE5" i="6"/>
  <c r="AC5" i="6"/>
  <c r="AB5" i="6"/>
  <c r="AA5" i="6"/>
  <c r="Y5" i="6"/>
  <c r="X5" i="6"/>
  <c r="W5" i="6"/>
  <c r="S5" i="6"/>
  <c r="T6" i="6"/>
  <c r="AG4" i="6"/>
  <c r="AC4" i="6"/>
  <c r="Y4" i="6"/>
  <c r="S4" i="6"/>
  <c r="C224" i="1"/>
  <c r="O173" i="1"/>
  <c r="N173" i="1"/>
  <c r="J173" i="1"/>
  <c r="M173" i="1"/>
  <c r="L173" i="1"/>
  <c r="N172" i="1"/>
  <c r="J172" i="1"/>
  <c r="O171" i="1"/>
  <c r="J171" i="1"/>
  <c r="K171" i="1"/>
  <c r="K170" i="1"/>
  <c r="J170" i="1"/>
  <c r="O170" i="1"/>
  <c r="M169" i="1"/>
  <c r="J169" i="1"/>
  <c r="O169" i="1"/>
  <c r="O168" i="1"/>
  <c r="N168" i="1"/>
  <c r="K168" i="1"/>
  <c r="J168" i="1"/>
  <c r="C239" i="1"/>
  <c r="K167" i="1"/>
  <c r="J167" i="1"/>
  <c r="M166" i="1"/>
  <c r="L166" i="1"/>
  <c r="J166" i="1"/>
  <c r="O166" i="1"/>
  <c r="K166" i="1"/>
  <c r="M165" i="1"/>
  <c r="L165" i="1"/>
  <c r="J165" i="1"/>
  <c r="O165" i="1"/>
  <c r="K165" i="1"/>
  <c r="N164" i="1"/>
  <c r="J164" i="1"/>
  <c r="O164" i="1"/>
  <c r="K164" i="1"/>
  <c r="M163" i="1"/>
  <c r="L163" i="1"/>
  <c r="J163" i="1"/>
  <c r="O163" i="1"/>
  <c r="N163" i="1"/>
  <c r="N162" i="1"/>
  <c r="L162" i="1"/>
  <c r="J162" i="1"/>
  <c r="O162" i="1"/>
  <c r="C233" i="1"/>
  <c r="M161" i="1"/>
  <c r="J161" i="1"/>
  <c r="O161" i="1"/>
  <c r="J160" i="1"/>
  <c r="O159" i="1"/>
  <c r="L159" i="1"/>
  <c r="J159" i="1"/>
  <c r="N158" i="1"/>
  <c r="M158" i="1"/>
  <c r="L158" i="1"/>
  <c r="J158" i="1"/>
  <c r="O158" i="1"/>
  <c r="N157" i="1"/>
  <c r="L157" i="1"/>
  <c r="J157" i="1"/>
  <c r="O157" i="1"/>
  <c r="O156" i="1"/>
  <c r="N156" i="1"/>
  <c r="L156" i="1"/>
  <c r="J156" i="1"/>
  <c r="B227" i="1"/>
  <c r="N155" i="1"/>
  <c r="M155" i="1"/>
  <c r="L155" i="1"/>
  <c r="J155" i="1"/>
  <c r="O155" i="1"/>
  <c r="H155" i="1"/>
  <c r="M154" i="1"/>
  <c r="J154" i="1"/>
  <c r="O154" i="1"/>
  <c r="C225" i="1"/>
  <c r="J153" i="1"/>
  <c r="M153" i="1"/>
  <c r="J152" i="1"/>
  <c r="M151" i="1"/>
  <c r="L151" i="1"/>
  <c r="J151" i="1"/>
  <c r="O151" i="1"/>
  <c r="N151" i="1"/>
  <c r="K151" i="1"/>
  <c r="N150" i="1"/>
  <c r="L150" i="1"/>
  <c r="J150" i="1"/>
  <c r="O150" i="1"/>
  <c r="M150" i="1"/>
  <c r="J149" i="1"/>
  <c r="M148" i="1"/>
  <c r="L148" i="1"/>
  <c r="J148" i="1"/>
  <c r="H148" i="1"/>
  <c r="O148" i="1"/>
  <c r="K147" i="1"/>
  <c r="J147" i="1"/>
  <c r="O147" i="1"/>
  <c r="C218" i="1"/>
  <c r="O146" i="1"/>
  <c r="N146" i="1"/>
  <c r="J146" i="1"/>
  <c r="H146" i="1"/>
  <c r="M146" i="1"/>
  <c r="M145" i="1"/>
  <c r="J145" i="1"/>
  <c r="O145" i="1"/>
  <c r="L144" i="1"/>
  <c r="J144" i="1"/>
  <c r="N144" i="1"/>
  <c r="M144" i="1"/>
  <c r="K143" i="1"/>
  <c r="J143" i="1"/>
  <c r="O143" i="1"/>
  <c r="N143" i="1"/>
  <c r="M143" i="1"/>
  <c r="J142" i="1"/>
  <c r="O142" i="1"/>
  <c r="N142" i="1"/>
  <c r="M142" i="1"/>
  <c r="H142" i="1"/>
  <c r="N141" i="1"/>
  <c r="M141" i="1"/>
  <c r="J141" i="1"/>
  <c r="O141" i="1"/>
  <c r="L141" i="1"/>
  <c r="N140" i="1"/>
  <c r="J140" i="1"/>
  <c r="O140" i="1"/>
  <c r="M140" i="1"/>
  <c r="M139" i="1"/>
  <c r="J139" i="1"/>
  <c r="N139" i="1"/>
  <c r="L139" i="1"/>
  <c r="N138" i="1"/>
  <c r="M138" i="1"/>
  <c r="L138" i="1"/>
  <c r="V139" i="1" s="1"/>
  <c r="J138" i="1"/>
  <c r="K138" i="1"/>
  <c r="O137" i="1"/>
  <c r="J137" i="1"/>
  <c r="H137" i="1"/>
  <c r="N137" i="1"/>
  <c r="AF138" i="1" s="1"/>
  <c r="M137" i="1"/>
  <c r="L137" i="1"/>
  <c r="N136" i="1"/>
  <c r="L136" i="1"/>
  <c r="J136" i="1"/>
  <c r="O136" i="1"/>
  <c r="M135" i="1"/>
  <c r="L135" i="1"/>
  <c r="J135" i="1"/>
  <c r="N135" i="1"/>
  <c r="K135" i="1"/>
  <c r="N134" i="1"/>
  <c r="J134" i="1"/>
  <c r="M134" i="1"/>
  <c r="L134" i="1"/>
  <c r="M133" i="1"/>
  <c r="J133" i="1"/>
  <c r="H133" i="1"/>
  <c r="O133" i="1"/>
  <c r="N133" i="1"/>
  <c r="L133" i="1"/>
  <c r="J132" i="1"/>
  <c r="N132" i="1"/>
  <c r="M132" i="1"/>
  <c r="H132" i="1"/>
  <c r="O131" i="1"/>
  <c r="M131" i="1"/>
  <c r="K131" i="1"/>
  <c r="J131" i="1"/>
  <c r="N131" i="1"/>
  <c r="AF132" i="1" s="1"/>
  <c r="O130" i="1"/>
  <c r="N130" i="1"/>
  <c r="L130" i="1"/>
  <c r="J130" i="1"/>
  <c r="M130" i="1"/>
  <c r="AB131" i="1" s="1"/>
  <c r="M129" i="1"/>
  <c r="L129" i="1"/>
  <c r="J129" i="1"/>
  <c r="O129" i="1"/>
  <c r="K129" i="1"/>
  <c r="N128" i="1"/>
  <c r="L128" i="1"/>
  <c r="J128" i="1"/>
  <c r="M128" i="1"/>
  <c r="K128" i="1"/>
  <c r="J127" i="1"/>
  <c r="H127" i="1"/>
  <c r="O127" i="1"/>
  <c r="N127" i="1"/>
  <c r="M127" i="1"/>
  <c r="L127" i="1"/>
  <c r="N126" i="1"/>
  <c r="AF126" i="1" s="1"/>
  <c r="J126" i="1"/>
  <c r="O126" i="1"/>
  <c r="M126" i="1"/>
  <c r="AB126" i="1" s="1"/>
  <c r="N125" i="1"/>
  <c r="M125" i="1"/>
  <c r="J125" i="1"/>
  <c r="O125" i="1"/>
  <c r="L125" i="1"/>
  <c r="N124" i="1"/>
  <c r="J124" i="1"/>
  <c r="O124" i="1"/>
  <c r="M124" i="1"/>
  <c r="M123" i="1"/>
  <c r="J123" i="1"/>
  <c r="N123" i="1"/>
  <c r="L123" i="1"/>
  <c r="V123" i="1" s="1"/>
  <c r="N122" i="1"/>
  <c r="M122" i="1"/>
  <c r="AB123" i="1" s="1"/>
  <c r="L122" i="1"/>
  <c r="J122" i="1"/>
  <c r="K122" i="1"/>
  <c r="O121" i="1"/>
  <c r="J121" i="1"/>
  <c r="H121" i="1"/>
  <c r="N121" i="1"/>
  <c r="M121" i="1"/>
  <c r="AB122" i="1" s="1"/>
  <c r="L121" i="1"/>
  <c r="V122" i="1" s="1"/>
  <c r="O120" i="1"/>
  <c r="N120" i="1"/>
  <c r="L120" i="1"/>
  <c r="J120" i="1"/>
  <c r="O119" i="1"/>
  <c r="N119" i="1"/>
  <c r="J119" i="1"/>
  <c r="M119" i="1"/>
  <c r="N118" i="1"/>
  <c r="M118" i="1"/>
  <c r="J118" i="1"/>
  <c r="O118" i="1"/>
  <c r="K118" i="1"/>
  <c r="M117" i="1"/>
  <c r="L117" i="1"/>
  <c r="V117" i="1" s="1"/>
  <c r="J117" i="1"/>
  <c r="O117" i="1"/>
  <c r="N117" i="1"/>
  <c r="M116" i="1"/>
  <c r="J116" i="1"/>
  <c r="H116" i="1"/>
  <c r="O116" i="1"/>
  <c r="N116" i="1"/>
  <c r="L116" i="1"/>
  <c r="L115" i="1"/>
  <c r="J115" i="1"/>
  <c r="O115" i="1"/>
  <c r="N115" i="1"/>
  <c r="AF115" i="1" s="1"/>
  <c r="M115" i="1"/>
  <c r="O114" i="1"/>
  <c r="M114" i="1"/>
  <c r="L114" i="1"/>
  <c r="J114" i="1"/>
  <c r="N114" i="1"/>
  <c r="H114" i="1"/>
  <c r="K114" i="1"/>
  <c r="L113" i="1"/>
  <c r="V113" i="1" s="1"/>
  <c r="J113" i="1"/>
  <c r="H113" i="1"/>
  <c r="N113" i="1"/>
  <c r="M113" i="1"/>
  <c r="K113" i="1"/>
  <c r="L112" i="1"/>
  <c r="J112" i="1"/>
  <c r="O112" i="1"/>
  <c r="N112" i="1"/>
  <c r="M112" i="1"/>
  <c r="N111" i="1"/>
  <c r="L111" i="1"/>
  <c r="J111" i="1"/>
  <c r="H111" i="1"/>
  <c r="M111" i="1"/>
  <c r="K111" i="1"/>
  <c r="K110" i="1"/>
  <c r="J110" i="1"/>
  <c r="O110" i="1"/>
  <c r="N110" i="1"/>
  <c r="M110" i="1"/>
  <c r="H110" i="1"/>
  <c r="N109" i="1"/>
  <c r="M109" i="1"/>
  <c r="AB109" i="1" s="1"/>
  <c r="J109" i="1"/>
  <c r="H109" i="1"/>
  <c r="L109" i="1"/>
  <c r="M108" i="1"/>
  <c r="J108" i="1"/>
  <c r="H108" i="1"/>
  <c r="O108" i="1"/>
  <c r="N108" i="1"/>
  <c r="L108" i="1"/>
  <c r="N107" i="1"/>
  <c r="M107" i="1"/>
  <c r="J107" i="1"/>
  <c r="O107" i="1"/>
  <c r="K107" i="1"/>
  <c r="L106" i="1"/>
  <c r="J106" i="1"/>
  <c r="N106" i="1"/>
  <c r="M106" i="1"/>
  <c r="K106" i="1"/>
  <c r="J105" i="1"/>
  <c r="O105" i="1"/>
  <c r="N105" i="1"/>
  <c r="M105" i="1"/>
  <c r="L105" i="1"/>
  <c r="N104" i="1"/>
  <c r="L104" i="1"/>
  <c r="J104" i="1"/>
  <c r="H104" i="1"/>
  <c r="M104" i="1"/>
  <c r="K104" i="1"/>
  <c r="N103" i="1"/>
  <c r="M103" i="1"/>
  <c r="AA103" i="1" s="1"/>
  <c r="L103" i="1"/>
  <c r="J103" i="1"/>
  <c r="O103" i="1"/>
  <c r="K103" i="1"/>
  <c r="N102" i="1"/>
  <c r="K102" i="1"/>
  <c r="J102" i="1"/>
  <c r="O102" i="1"/>
  <c r="M102" i="1"/>
  <c r="O101" i="1"/>
  <c r="N101" i="1"/>
  <c r="M101" i="1"/>
  <c r="J101" i="1"/>
  <c r="H101" i="1"/>
  <c r="L101" i="1"/>
  <c r="M100" i="1"/>
  <c r="J100" i="1"/>
  <c r="O100" i="1"/>
  <c r="N100" i="1"/>
  <c r="K100" i="1"/>
  <c r="M99" i="1"/>
  <c r="J99" i="1"/>
  <c r="O99" i="1"/>
  <c r="N99" i="1"/>
  <c r="L99" i="1"/>
  <c r="M98" i="1"/>
  <c r="L98" i="1"/>
  <c r="J98" i="1"/>
  <c r="O98" i="1"/>
  <c r="N98" i="1"/>
  <c r="M97" i="1"/>
  <c r="AB97" i="1" s="1"/>
  <c r="L97" i="1"/>
  <c r="J97" i="1"/>
  <c r="O97" i="1"/>
  <c r="N97" i="1"/>
  <c r="N96" i="1"/>
  <c r="L96" i="1"/>
  <c r="J96" i="1"/>
  <c r="H96" i="1"/>
  <c r="O96" i="1"/>
  <c r="M96" i="1"/>
  <c r="K96" i="1"/>
  <c r="O95" i="1"/>
  <c r="M95" i="1"/>
  <c r="L95" i="1"/>
  <c r="J95" i="1"/>
  <c r="N95" i="1"/>
  <c r="N94" i="1"/>
  <c r="L94" i="1"/>
  <c r="J94" i="1"/>
  <c r="O94" i="1"/>
  <c r="N93" i="1"/>
  <c r="M93" i="1"/>
  <c r="J93" i="1"/>
  <c r="L93" i="1"/>
  <c r="K92" i="1"/>
  <c r="J92" i="1"/>
  <c r="O92" i="1"/>
  <c r="N92" i="1"/>
  <c r="M92" i="1"/>
  <c r="M91" i="1"/>
  <c r="J91" i="1"/>
  <c r="N91" i="1"/>
  <c r="L91" i="1"/>
  <c r="W91" i="1" s="1"/>
  <c r="N90" i="1"/>
  <c r="M90" i="1"/>
  <c r="L90" i="1"/>
  <c r="J90" i="1"/>
  <c r="O90" i="1"/>
  <c r="K90" i="1"/>
  <c r="M89" i="1"/>
  <c r="L89" i="1"/>
  <c r="J89" i="1"/>
  <c r="O89" i="1"/>
  <c r="N89" i="1"/>
  <c r="N88" i="1"/>
  <c r="L88" i="1"/>
  <c r="J88" i="1"/>
  <c r="O88" i="1"/>
  <c r="K88" i="1"/>
  <c r="N87" i="1"/>
  <c r="L87" i="1"/>
  <c r="J87" i="1"/>
  <c r="O87" i="1"/>
  <c r="H87" i="1"/>
  <c r="N86" i="1"/>
  <c r="L86" i="1"/>
  <c r="J86" i="1"/>
  <c r="O86" i="1"/>
  <c r="M86" i="1"/>
  <c r="O85" i="1"/>
  <c r="N85" i="1"/>
  <c r="M85" i="1"/>
  <c r="J85" i="1"/>
  <c r="H85" i="1"/>
  <c r="L85" i="1"/>
  <c r="N84" i="1"/>
  <c r="J84" i="1"/>
  <c r="O84" i="1"/>
  <c r="M84" i="1"/>
  <c r="K84" i="1"/>
  <c r="M83" i="1"/>
  <c r="J83" i="1"/>
  <c r="N83" i="1"/>
  <c r="L83" i="1"/>
  <c r="O82" i="1"/>
  <c r="N82" i="1"/>
  <c r="M82" i="1"/>
  <c r="L82" i="1"/>
  <c r="J82" i="1"/>
  <c r="H82" i="1"/>
  <c r="N81" i="1"/>
  <c r="L81" i="1"/>
  <c r="J81" i="1"/>
  <c r="H81" i="1"/>
  <c r="O81" i="1"/>
  <c r="M81" i="1"/>
  <c r="AB82" i="1" s="1"/>
  <c r="K81" i="1"/>
  <c r="N80" i="1"/>
  <c r="J80" i="1"/>
  <c r="O80" i="1"/>
  <c r="M80" i="1"/>
  <c r="K80" i="1"/>
  <c r="O79" i="1"/>
  <c r="N79" i="1"/>
  <c r="AG79" i="1" s="1"/>
  <c r="M79" i="1"/>
  <c r="AA80" i="1" s="1"/>
  <c r="J79" i="1"/>
  <c r="N78" i="1"/>
  <c r="J78" i="1"/>
  <c r="O78" i="1"/>
  <c r="M78" i="1"/>
  <c r="K78" i="1"/>
  <c r="O77" i="1"/>
  <c r="N77" i="1"/>
  <c r="M77" i="1"/>
  <c r="J77" i="1"/>
  <c r="H77" i="1"/>
  <c r="L77" i="1"/>
  <c r="J76" i="1"/>
  <c r="O76" i="1"/>
  <c r="N76" i="1"/>
  <c r="K76" i="1"/>
  <c r="K75" i="1"/>
  <c r="J75" i="1"/>
  <c r="O75" i="1"/>
  <c r="N75" i="1"/>
  <c r="M75" i="1"/>
  <c r="H75" i="1"/>
  <c r="N74" i="1"/>
  <c r="L74" i="1"/>
  <c r="J74" i="1"/>
  <c r="H74" i="1"/>
  <c r="O74" i="1"/>
  <c r="M74" i="1"/>
  <c r="M73" i="1"/>
  <c r="L73" i="1"/>
  <c r="J73" i="1"/>
  <c r="O73" i="1"/>
  <c r="H73" i="1"/>
  <c r="N72" i="1"/>
  <c r="K72" i="1"/>
  <c r="J72" i="1"/>
  <c r="O72" i="1"/>
  <c r="M72" i="1"/>
  <c r="N71" i="1"/>
  <c r="AG71" i="1" s="1"/>
  <c r="M71" i="1"/>
  <c r="K71" i="1"/>
  <c r="J71" i="1"/>
  <c r="O71" i="1"/>
  <c r="K70" i="1"/>
  <c r="J70" i="1"/>
  <c r="N70" i="1"/>
  <c r="M70" i="1"/>
  <c r="M69" i="1"/>
  <c r="J69" i="1"/>
  <c r="O69" i="1"/>
  <c r="L69" i="1"/>
  <c r="O68" i="1"/>
  <c r="N68" i="1"/>
  <c r="M68" i="1"/>
  <c r="L68" i="1"/>
  <c r="J68" i="1"/>
  <c r="O67" i="1"/>
  <c r="K67" i="1"/>
  <c r="J67" i="1"/>
  <c r="N67" i="1"/>
  <c r="M67" i="1"/>
  <c r="H67" i="1"/>
  <c r="N66" i="1"/>
  <c r="AG66" i="1" s="1"/>
  <c r="L66" i="1"/>
  <c r="J66" i="1"/>
  <c r="H66" i="1"/>
  <c r="O66" i="1"/>
  <c r="M66" i="1"/>
  <c r="K66" i="1"/>
  <c r="L65" i="1"/>
  <c r="J65" i="1"/>
  <c r="H65" i="1"/>
  <c r="O65" i="1"/>
  <c r="N65" i="1"/>
  <c r="M65" i="1"/>
  <c r="N64" i="1"/>
  <c r="AF64" i="1" s="1"/>
  <c r="J64" i="1"/>
  <c r="O64" i="1"/>
  <c r="M64" i="1"/>
  <c r="L64" i="1"/>
  <c r="O63" i="1"/>
  <c r="N63" i="1"/>
  <c r="M63" i="1"/>
  <c r="J63" i="1"/>
  <c r="K63" i="1"/>
  <c r="M62" i="1"/>
  <c r="J62" i="1"/>
  <c r="O62" i="1"/>
  <c r="N62" i="1"/>
  <c r="K62" i="1"/>
  <c r="O61" i="1"/>
  <c r="M61" i="1"/>
  <c r="J61" i="1"/>
  <c r="N61" i="1"/>
  <c r="L61" i="1"/>
  <c r="O60" i="1"/>
  <c r="N60" i="1"/>
  <c r="M60" i="1"/>
  <c r="L60" i="1"/>
  <c r="J60" i="1"/>
  <c r="K60" i="1"/>
  <c r="O59" i="1"/>
  <c r="K59" i="1"/>
  <c r="J59" i="1"/>
  <c r="N59" i="1"/>
  <c r="M59" i="1"/>
  <c r="O58" i="1"/>
  <c r="N58" i="1"/>
  <c r="L58" i="1"/>
  <c r="J58" i="1"/>
  <c r="M57" i="1"/>
  <c r="L57" i="1"/>
  <c r="J57" i="1"/>
  <c r="H57" i="1"/>
  <c r="N57" i="1"/>
  <c r="K57" i="1"/>
  <c r="N56" i="1"/>
  <c r="J56" i="1"/>
  <c r="M56" i="1"/>
  <c r="H56" i="1"/>
  <c r="M55" i="1"/>
  <c r="L55" i="1"/>
  <c r="J55" i="1"/>
  <c r="H55" i="1"/>
  <c r="N55" i="1"/>
  <c r="K55" i="1"/>
  <c r="L54" i="1"/>
  <c r="J54" i="1"/>
  <c r="O54" i="1"/>
  <c r="N54" i="1"/>
  <c r="K54" i="1"/>
  <c r="N53" i="1"/>
  <c r="M53" i="1"/>
  <c r="J53" i="1"/>
  <c r="H53" i="1"/>
  <c r="O53" i="1"/>
  <c r="K53" i="1"/>
  <c r="N52" i="1"/>
  <c r="L52" i="1"/>
  <c r="J52" i="1"/>
  <c r="O52" i="1"/>
  <c r="M52" i="1"/>
  <c r="K52" i="1"/>
  <c r="K51" i="1"/>
  <c r="J51" i="1"/>
  <c r="O51" i="1"/>
  <c r="N51" i="1"/>
  <c r="M51" i="1"/>
  <c r="N50" i="1"/>
  <c r="M50" i="1"/>
  <c r="L50" i="1"/>
  <c r="J50" i="1"/>
  <c r="H50" i="1"/>
  <c r="O50" i="1"/>
  <c r="K50" i="1"/>
  <c r="M49" i="1"/>
  <c r="J49" i="1"/>
  <c r="O49" i="1"/>
  <c r="N49" i="1"/>
  <c r="L49" i="1"/>
  <c r="N48" i="1"/>
  <c r="J48" i="1"/>
  <c r="O48" i="1"/>
  <c r="M48" i="1"/>
  <c r="H48" i="1"/>
  <c r="M47" i="1"/>
  <c r="L47" i="1"/>
  <c r="J47" i="1"/>
  <c r="H47" i="1"/>
  <c r="N47" i="1"/>
  <c r="K47" i="1"/>
  <c r="L46" i="1"/>
  <c r="J46" i="1"/>
  <c r="O46" i="1"/>
  <c r="N46" i="1"/>
  <c r="K46" i="1"/>
  <c r="N45" i="1"/>
  <c r="M45" i="1"/>
  <c r="J45" i="1"/>
  <c r="H45" i="1"/>
  <c r="O45" i="1"/>
  <c r="L45" i="1"/>
  <c r="N44" i="1"/>
  <c r="L44" i="1"/>
  <c r="J44" i="1"/>
  <c r="O44" i="1"/>
  <c r="M44" i="1"/>
  <c r="K44" i="1"/>
  <c r="K43" i="1"/>
  <c r="J43" i="1"/>
  <c r="O43" i="1"/>
  <c r="N43" i="1"/>
  <c r="M43" i="1"/>
  <c r="N42" i="1"/>
  <c r="M42" i="1"/>
  <c r="J42" i="1"/>
  <c r="H42" i="1"/>
  <c r="L42" i="1"/>
  <c r="M41" i="1"/>
  <c r="J41" i="1"/>
  <c r="O41" i="1"/>
  <c r="N41" i="1"/>
  <c r="L41" i="1"/>
  <c r="J40" i="1"/>
  <c r="O40" i="1"/>
  <c r="N40" i="1"/>
  <c r="M40" i="1"/>
  <c r="H40" i="1"/>
  <c r="M39" i="1"/>
  <c r="L39" i="1"/>
  <c r="J39" i="1"/>
  <c r="H39" i="1"/>
  <c r="N39" i="1"/>
  <c r="AF39" i="1" s="1"/>
  <c r="K39" i="1"/>
  <c r="M38" i="1"/>
  <c r="L38" i="1"/>
  <c r="J38" i="1"/>
  <c r="O38" i="1"/>
  <c r="N38" i="1"/>
  <c r="H38" i="1"/>
  <c r="K38" i="1"/>
  <c r="N37" i="1"/>
  <c r="J37" i="1"/>
  <c r="H37" i="1"/>
  <c r="O37" i="1"/>
  <c r="M37" i="1"/>
  <c r="L37" i="1"/>
  <c r="N36" i="1"/>
  <c r="L36" i="1"/>
  <c r="V37" i="1" s="1"/>
  <c r="J36" i="1"/>
  <c r="O36" i="1"/>
  <c r="M36" i="1"/>
  <c r="K36" i="1"/>
  <c r="J35" i="1"/>
  <c r="O35" i="1"/>
  <c r="N35" i="1"/>
  <c r="M35" i="1"/>
  <c r="AB35" i="1" s="1"/>
  <c r="H35" i="1"/>
  <c r="N34" i="1"/>
  <c r="M34" i="1"/>
  <c r="J34" i="1"/>
  <c r="H34" i="1"/>
  <c r="L34" i="1"/>
  <c r="N33" i="1"/>
  <c r="M33" i="1"/>
  <c r="J33" i="1"/>
  <c r="O33" i="1"/>
  <c r="L33" i="1"/>
  <c r="K32" i="1"/>
  <c r="J32" i="1"/>
  <c r="O32" i="1"/>
  <c r="N32" i="1"/>
  <c r="M32" i="1"/>
  <c r="M31" i="1"/>
  <c r="L31" i="1"/>
  <c r="J31" i="1"/>
  <c r="O31" i="1"/>
  <c r="N31" i="1"/>
  <c r="K31" i="1"/>
  <c r="M30" i="1"/>
  <c r="L30" i="1"/>
  <c r="J30" i="1"/>
  <c r="O30" i="1"/>
  <c r="N30" i="1"/>
  <c r="H30" i="1"/>
  <c r="K30" i="1"/>
  <c r="N29" i="1"/>
  <c r="J29" i="1"/>
  <c r="H29" i="1"/>
  <c r="O29" i="1"/>
  <c r="M29" i="1"/>
  <c r="K29" i="1"/>
  <c r="N28" i="1"/>
  <c r="L28" i="1"/>
  <c r="J28" i="1"/>
  <c r="O28" i="1"/>
  <c r="M28" i="1"/>
  <c r="K28" i="1"/>
  <c r="K27" i="1"/>
  <c r="J27" i="1"/>
  <c r="O27" i="1"/>
  <c r="N27" i="1"/>
  <c r="M27" i="1"/>
  <c r="H27" i="1"/>
  <c r="N26" i="1"/>
  <c r="M26" i="1"/>
  <c r="J26" i="1"/>
  <c r="H26" i="1"/>
  <c r="O26" i="1"/>
  <c r="L26" i="1"/>
  <c r="M25" i="1"/>
  <c r="J25" i="1"/>
  <c r="O25" i="1"/>
  <c r="N25" i="1"/>
  <c r="L25" i="1"/>
  <c r="J24" i="1"/>
  <c r="O24" i="1"/>
  <c r="N24" i="1"/>
  <c r="M24" i="1"/>
  <c r="K24" i="1"/>
  <c r="M23" i="1"/>
  <c r="L23" i="1"/>
  <c r="J23" i="1"/>
  <c r="H23" i="1"/>
  <c r="N23" i="1"/>
  <c r="K23" i="1"/>
  <c r="L22" i="1"/>
  <c r="J22" i="1"/>
  <c r="O22" i="1"/>
  <c r="N22" i="1"/>
  <c r="M22" i="1"/>
  <c r="N21" i="1"/>
  <c r="J21" i="1"/>
  <c r="H21" i="1"/>
  <c r="O21" i="1"/>
  <c r="M21" i="1"/>
  <c r="K21" i="1"/>
  <c r="O20" i="1"/>
  <c r="N20" i="1"/>
  <c r="L20" i="1"/>
  <c r="J20" i="1"/>
  <c r="M20" i="1"/>
  <c r="K20" i="1"/>
  <c r="J19" i="1"/>
  <c r="O19" i="1"/>
  <c r="N19" i="1"/>
  <c r="AG20" i="1" s="1"/>
  <c r="M19" i="1"/>
  <c r="N18" i="1"/>
  <c r="M18" i="1"/>
  <c r="J18" i="1"/>
  <c r="H18" i="1"/>
  <c r="L18" i="1"/>
  <c r="N17" i="1"/>
  <c r="M17" i="1"/>
  <c r="J17" i="1"/>
  <c r="O17" i="1"/>
  <c r="L17" i="1"/>
  <c r="K16" i="1"/>
  <c r="J16" i="1"/>
  <c r="O16" i="1"/>
  <c r="N16" i="1"/>
  <c r="M16" i="1"/>
  <c r="O15" i="1"/>
  <c r="M15" i="1"/>
  <c r="L15" i="1"/>
  <c r="J15" i="1"/>
  <c r="H15" i="1"/>
  <c r="N15" i="1"/>
  <c r="AF15" i="1" s="1"/>
  <c r="K15" i="1"/>
  <c r="L14" i="1"/>
  <c r="J14" i="1"/>
  <c r="O14" i="1"/>
  <c r="N14" i="1"/>
  <c r="H14" i="1"/>
  <c r="N13" i="1"/>
  <c r="J13" i="1"/>
  <c r="H13" i="1"/>
  <c r="O13" i="1"/>
  <c r="M13" i="1"/>
  <c r="L13" i="1"/>
  <c r="N12" i="1"/>
  <c r="L12" i="1"/>
  <c r="J12" i="1"/>
  <c r="O12" i="1"/>
  <c r="M12" i="1"/>
  <c r="K12" i="1"/>
  <c r="K11" i="1"/>
  <c r="J11" i="1"/>
  <c r="O11" i="1"/>
  <c r="N11" i="1"/>
  <c r="M11" i="1"/>
  <c r="H11" i="1"/>
  <c r="N10" i="1"/>
  <c r="M10" i="1"/>
  <c r="J10" i="1"/>
  <c r="H10" i="1"/>
  <c r="O10" i="1"/>
  <c r="L10" i="1"/>
  <c r="M9" i="1"/>
  <c r="J9" i="1"/>
  <c r="O9" i="1"/>
  <c r="N9" i="1"/>
  <c r="L9" i="1"/>
  <c r="K8" i="1"/>
  <c r="J8" i="1"/>
  <c r="O8" i="1"/>
  <c r="N8" i="1"/>
  <c r="M8" i="1"/>
  <c r="M7" i="1"/>
  <c r="AB7" i="1" s="1"/>
  <c r="L7" i="1"/>
  <c r="J7" i="1"/>
  <c r="H7" i="1"/>
  <c r="N7" i="1"/>
  <c r="K7" i="1"/>
  <c r="M6" i="1"/>
  <c r="L6" i="1"/>
  <c r="J6" i="1"/>
  <c r="O6" i="1"/>
  <c r="N6" i="1"/>
  <c r="H6" i="1"/>
  <c r="K6" i="1"/>
  <c r="N5" i="1"/>
  <c r="J5" i="1"/>
  <c r="H5" i="1"/>
  <c r="O5" i="1"/>
  <c r="M5" i="1"/>
  <c r="K5" i="1"/>
  <c r="N4" i="1"/>
  <c r="L4" i="1"/>
  <c r="J4" i="1"/>
  <c r="O4" i="1"/>
  <c r="M4" i="1"/>
  <c r="K4" i="1"/>
  <c r="K3" i="1"/>
  <c r="J3" i="1"/>
  <c r="O3" i="1"/>
  <c r="N3" i="1"/>
  <c r="M3" i="1"/>
  <c r="H3" i="1"/>
  <c r="F11" i="24"/>
  <c r="O108" i="11" l="1"/>
  <c r="AB6" i="1"/>
  <c r="AA30" i="1"/>
  <c r="AF88" i="1"/>
  <c r="V128" i="1"/>
  <c r="AF29" i="1"/>
  <c r="AB92" i="1"/>
  <c r="AG131" i="1"/>
  <c r="AB132" i="1"/>
  <c r="AG135" i="1"/>
  <c r="V99" i="1"/>
  <c r="AG101" i="1"/>
  <c r="AA70" i="1"/>
  <c r="AB53" i="1"/>
  <c r="V104" i="1"/>
  <c r="AF104" i="1"/>
  <c r="V129" i="1"/>
  <c r="AB181" i="13"/>
  <c r="F61" i="11"/>
  <c r="N61" i="11"/>
  <c r="H87" i="11"/>
  <c r="H128" i="11"/>
  <c r="I87" i="11"/>
  <c r="I128" i="11"/>
  <c r="B87" i="11"/>
  <c r="B128" i="11"/>
  <c r="J87" i="11"/>
  <c r="J128" i="11"/>
  <c r="C87" i="11"/>
  <c r="C128" i="11"/>
  <c r="K87" i="11"/>
  <c r="K128" i="11"/>
  <c r="D87" i="11"/>
  <c r="D128" i="11"/>
  <c r="L87" i="11"/>
  <c r="L128" i="11"/>
  <c r="E87" i="11"/>
  <c r="E128" i="11"/>
  <c r="M87" i="11"/>
  <c r="M128" i="11"/>
  <c r="F87" i="11"/>
  <c r="F128" i="11"/>
  <c r="N87" i="11"/>
  <c r="N128" i="11"/>
  <c r="G87" i="11"/>
  <c r="G128" i="11"/>
  <c r="O87" i="11"/>
  <c r="O128" i="11"/>
  <c r="V174" i="1"/>
  <c r="W174" i="1"/>
  <c r="AG5" i="1"/>
  <c r="AF7" i="1"/>
  <c r="AB18" i="1"/>
  <c r="AF67" i="1"/>
  <c r="AA74" i="1"/>
  <c r="AF89" i="1"/>
  <c r="AF93" i="1"/>
  <c r="V138" i="1"/>
  <c r="AG142" i="1"/>
  <c r="AB155" i="1"/>
  <c r="AA174" i="1"/>
  <c r="AB174" i="1"/>
  <c r="AB27" i="1"/>
  <c r="AB133" i="1"/>
  <c r="AG4" i="1"/>
  <c r="W13" i="1"/>
  <c r="W69" i="1"/>
  <c r="AF100" i="1"/>
  <c r="W121" i="1"/>
  <c r="AA128" i="1"/>
  <c r="W129" i="1"/>
  <c r="AB25" i="1"/>
  <c r="AD161" i="1"/>
  <c r="AC174" i="1"/>
  <c r="AD174" i="1"/>
  <c r="R5" i="1"/>
  <c r="Q29" i="1"/>
  <c r="V58" i="1"/>
  <c r="W109" i="1"/>
  <c r="V151" i="1"/>
  <c r="AF174" i="1"/>
  <c r="AG174" i="1"/>
  <c r="AB17" i="1"/>
  <c r="AB38" i="1"/>
  <c r="AB41" i="1"/>
  <c r="AG80" i="1"/>
  <c r="V91" i="1"/>
  <c r="W94" i="1"/>
  <c r="AG107" i="1"/>
  <c r="AG151" i="1"/>
  <c r="AF77" i="1"/>
  <c r="V130" i="1"/>
  <c r="AF136" i="1"/>
  <c r="AD146" i="1"/>
  <c r="AC161" i="1"/>
  <c r="AF33" i="1"/>
  <c r="AB69" i="1"/>
  <c r="AA105" i="1"/>
  <c r="AB139" i="1"/>
  <c r="AB145" i="1"/>
  <c r="O194" i="1"/>
  <c r="L196" i="14"/>
  <c r="G66" i="11"/>
  <c r="C75" i="11"/>
  <c r="F54" i="11"/>
  <c r="N54" i="11"/>
  <c r="F58" i="11"/>
  <c r="N58" i="11"/>
  <c r="F103" i="11"/>
  <c r="N103" i="11"/>
  <c r="F66" i="11"/>
  <c r="O77" i="11"/>
  <c r="M53" i="11"/>
  <c r="E57" i="11"/>
  <c r="B74" i="11"/>
  <c r="F65" i="11"/>
  <c r="P12" i="11"/>
  <c r="L62" i="11"/>
  <c r="O110" i="11"/>
  <c r="F53" i="11"/>
  <c r="N53" i="11"/>
  <c r="F57" i="11"/>
  <c r="N57" i="11"/>
  <c r="O76" i="11"/>
  <c r="A86" i="11"/>
  <c r="G65" i="11"/>
  <c r="O65" i="11"/>
  <c r="L55" i="11"/>
  <c r="F56" i="11"/>
  <c r="N56" i="11"/>
  <c r="F60" i="11"/>
  <c r="N60" i="11"/>
  <c r="L63" i="11"/>
  <c r="F64" i="11"/>
  <c r="N64" i="11"/>
  <c r="D108" i="11"/>
  <c r="C73" i="11"/>
  <c r="H86" i="11"/>
  <c r="P4" i="11"/>
  <c r="P8" i="11"/>
  <c r="G64" i="11"/>
  <c r="O64" i="11"/>
  <c r="O109" i="11"/>
  <c r="B80" i="11"/>
  <c r="W3" i="11" s="1"/>
  <c r="D67" i="11"/>
  <c r="F52" i="11"/>
  <c r="N52" i="11"/>
  <c r="N55" i="11"/>
  <c r="D66" i="11"/>
  <c r="L185" i="14"/>
  <c r="K7" i="14"/>
  <c r="K15" i="14"/>
  <c r="K23" i="14"/>
  <c r="K31" i="14"/>
  <c r="K39" i="14"/>
  <c r="K47" i="14"/>
  <c r="K55" i="14"/>
  <c r="K63" i="14"/>
  <c r="K71" i="14"/>
  <c r="L171" i="14"/>
  <c r="L178" i="14"/>
  <c r="AB195" i="13"/>
  <c r="N217" i="13"/>
  <c r="V217" i="13"/>
  <c r="O217" i="13"/>
  <c r="W217" i="13"/>
  <c r="AB186" i="13"/>
  <c r="AB194" i="13"/>
  <c r="H216" i="13"/>
  <c r="P216" i="13"/>
  <c r="X216" i="13"/>
  <c r="H217" i="13"/>
  <c r="P217" i="13"/>
  <c r="X217" i="13"/>
  <c r="AB189" i="13"/>
  <c r="I216" i="13"/>
  <c r="Q216" i="13"/>
  <c r="Y216" i="13"/>
  <c r="I217" i="13"/>
  <c r="Q217" i="13"/>
  <c r="Y217" i="13"/>
  <c r="AB197" i="13"/>
  <c r="E216" i="13"/>
  <c r="M216" i="13"/>
  <c r="U216" i="13"/>
  <c r="E217" i="13"/>
  <c r="M217" i="13"/>
  <c r="U26" i="6"/>
  <c r="U186" i="6"/>
  <c r="F59" i="11"/>
  <c r="U11" i="6"/>
  <c r="U19" i="6"/>
  <c r="U27" i="6"/>
  <c r="U35" i="6"/>
  <c r="U43" i="6"/>
  <c r="U51" i="6"/>
  <c r="U59" i="6"/>
  <c r="U67" i="6"/>
  <c r="U75" i="6"/>
  <c r="U83" i="6"/>
  <c r="U91" i="6"/>
  <c r="U99" i="6"/>
  <c r="U107" i="6"/>
  <c r="U115" i="6"/>
  <c r="U123" i="6"/>
  <c r="U131" i="6"/>
  <c r="U139" i="6"/>
  <c r="U147" i="6"/>
  <c r="U155" i="6"/>
  <c r="U163" i="6"/>
  <c r="U171" i="6"/>
  <c r="U179" i="6"/>
  <c r="U187" i="6"/>
  <c r="U195" i="6"/>
  <c r="U203" i="6"/>
  <c r="P14" i="11"/>
  <c r="P32" i="11"/>
  <c r="P33" i="11"/>
  <c r="P36" i="11"/>
  <c r="A83" i="11"/>
  <c r="U10" i="6"/>
  <c r="U130" i="6"/>
  <c r="U154" i="6"/>
  <c r="U162" i="6"/>
  <c r="U178" i="6"/>
  <c r="U194" i="6"/>
  <c r="T5" i="6"/>
  <c r="T13" i="6"/>
  <c r="T21" i="6"/>
  <c r="T29" i="6"/>
  <c r="T37" i="6"/>
  <c r="T45" i="6"/>
  <c r="U48" i="6"/>
  <c r="T53" i="6"/>
  <c r="U56" i="6"/>
  <c r="T61" i="6"/>
  <c r="U64" i="6"/>
  <c r="U72" i="6"/>
  <c r="U80" i="6"/>
  <c r="U88" i="6"/>
  <c r="U96" i="6"/>
  <c r="U104" i="6"/>
  <c r="U112" i="6"/>
  <c r="U120" i="6"/>
  <c r="U128" i="6"/>
  <c r="U136" i="6"/>
  <c r="U144" i="6"/>
  <c r="U152" i="6"/>
  <c r="U160" i="6"/>
  <c r="U168" i="6"/>
  <c r="U176" i="6"/>
  <c r="U184" i="6"/>
  <c r="U192" i="6"/>
  <c r="U200" i="6"/>
  <c r="P5" i="11"/>
  <c r="L95" i="11"/>
  <c r="D99" i="11"/>
  <c r="N63" i="11"/>
  <c r="P35" i="11"/>
  <c r="A84" i="11"/>
  <c r="AA183" i="13"/>
  <c r="AB183" i="13" s="1"/>
  <c r="AA193" i="13"/>
  <c r="AB193" i="13" s="1"/>
  <c r="AA196" i="13"/>
  <c r="AB196" i="13" s="1"/>
  <c r="U18" i="6"/>
  <c r="U114" i="6"/>
  <c r="U5" i="6"/>
  <c r="U13" i="6"/>
  <c r="T18" i="6"/>
  <c r="U21" i="6"/>
  <c r="T26" i="6"/>
  <c r="U29" i="6"/>
  <c r="T34" i="6"/>
  <c r="U37" i="6"/>
  <c r="T42" i="6"/>
  <c r="U45" i="6"/>
  <c r="T50" i="6"/>
  <c r="U53" i="6"/>
  <c r="T58" i="6"/>
  <c r="U61" i="6"/>
  <c r="T66" i="6"/>
  <c r="U69" i="6"/>
  <c r="T74" i="6"/>
  <c r="U77" i="6"/>
  <c r="T82" i="6"/>
  <c r="U85" i="6"/>
  <c r="T90" i="6"/>
  <c r="U93" i="6"/>
  <c r="T98" i="6"/>
  <c r="U101" i="6"/>
  <c r="T106" i="6"/>
  <c r="U109" i="6"/>
  <c r="T114" i="6"/>
  <c r="U117" i="6"/>
  <c r="T122" i="6"/>
  <c r="U125" i="6"/>
  <c r="T138" i="6"/>
  <c r="T146" i="6"/>
  <c r="T154" i="6"/>
  <c r="T162" i="6"/>
  <c r="U165" i="6"/>
  <c r="U173" i="6"/>
  <c r="T186" i="6"/>
  <c r="U189" i="6"/>
  <c r="T194" i="6"/>
  <c r="T202" i="6"/>
  <c r="P13" i="11"/>
  <c r="P20" i="11"/>
  <c r="P34" i="11"/>
  <c r="A85" i="11"/>
  <c r="AB184" i="13"/>
  <c r="AA187" i="13"/>
  <c r="AB187" i="13" s="1"/>
  <c r="AA190" i="13"/>
  <c r="AB190" i="13" s="1"/>
  <c r="U82" i="6"/>
  <c r="U138" i="6"/>
  <c r="U170" i="6"/>
  <c r="U202" i="6"/>
  <c r="T12" i="6"/>
  <c r="T20" i="6"/>
  <c r="T28" i="6"/>
  <c r="T36" i="6"/>
  <c r="T44" i="6"/>
  <c r="T52" i="6"/>
  <c r="T60" i="6"/>
  <c r="T68" i="6"/>
  <c r="T76" i="6"/>
  <c r="T84" i="6"/>
  <c r="T92" i="6"/>
  <c r="T100" i="6"/>
  <c r="T108" i="6"/>
  <c r="T116" i="6"/>
  <c r="T124" i="6"/>
  <c r="T132" i="6"/>
  <c r="T140" i="6"/>
  <c r="T148" i="6"/>
  <c r="T156" i="6"/>
  <c r="T164" i="6"/>
  <c r="T172" i="6"/>
  <c r="T180" i="6"/>
  <c r="T188" i="6"/>
  <c r="U191" i="6"/>
  <c r="E106" i="11"/>
  <c r="O67" i="11"/>
  <c r="A123" i="11"/>
  <c r="AB188" i="13"/>
  <c r="AB191" i="13"/>
  <c r="U34" i="6"/>
  <c r="U50" i="6"/>
  <c r="U98" i="6"/>
  <c r="U106" i="6"/>
  <c r="T9" i="6"/>
  <c r="T17" i="6"/>
  <c r="T25" i="6"/>
  <c r="T33" i="6"/>
  <c r="T41" i="6"/>
  <c r="T49" i="6"/>
  <c r="T57" i="6"/>
  <c r="T65" i="6"/>
  <c r="T73" i="6"/>
  <c r="T81" i="6"/>
  <c r="T89" i="6"/>
  <c r="T97" i="6"/>
  <c r="T105" i="6"/>
  <c r="T113" i="6"/>
  <c r="T121" i="6"/>
  <c r="T129" i="6"/>
  <c r="T137" i="6"/>
  <c r="T145" i="6"/>
  <c r="T153" i="6"/>
  <c r="T161" i="6"/>
  <c r="T169" i="6"/>
  <c r="T177" i="6"/>
  <c r="T185" i="6"/>
  <c r="U188" i="6"/>
  <c r="T193" i="6"/>
  <c r="T201" i="6"/>
  <c r="T209" i="6"/>
  <c r="P3" i="11"/>
  <c r="P7" i="11"/>
  <c r="H99" i="11"/>
  <c r="P11" i="11"/>
  <c r="N65" i="11"/>
  <c r="C74" i="11"/>
  <c r="AA185" i="13"/>
  <c r="AB185" i="13" s="1"/>
  <c r="U42" i="6"/>
  <c r="U58" i="6"/>
  <c r="U66" i="6"/>
  <c r="U74" i="6"/>
  <c r="T22" i="6"/>
  <c r="T30" i="6"/>
  <c r="T38" i="6"/>
  <c r="T46" i="6"/>
  <c r="T54" i="6"/>
  <c r="T62" i="6"/>
  <c r="T78" i="6"/>
  <c r="T86" i="6"/>
  <c r="U89" i="6"/>
  <c r="T94" i="6"/>
  <c r="T102" i="6"/>
  <c r="T110" i="6"/>
  <c r="T118" i="6"/>
  <c r="U121" i="6"/>
  <c r="T134" i="6"/>
  <c r="T142" i="6"/>
  <c r="U145" i="6"/>
  <c r="T150" i="6"/>
  <c r="T158" i="6"/>
  <c r="P2" i="11"/>
  <c r="P15" i="11"/>
  <c r="P64" i="11" s="1"/>
  <c r="P22" i="11"/>
  <c r="P26" i="11"/>
  <c r="L78" i="11"/>
  <c r="U13" i="11" s="1"/>
  <c r="H121" i="11"/>
  <c r="O68" i="11"/>
  <c r="A81" i="11"/>
  <c r="A125" i="11"/>
  <c r="AA182" i="13"/>
  <c r="AB182" i="13" s="1"/>
  <c r="AB192" i="13"/>
  <c r="AA198" i="13"/>
  <c r="AB198" i="13" s="1"/>
  <c r="P6" i="11"/>
  <c r="P10" i="11"/>
  <c r="P101" i="11" s="1"/>
  <c r="P37" i="11"/>
  <c r="L93" i="11"/>
  <c r="L52" i="11"/>
  <c r="M105" i="11"/>
  <c r="M64" i="11"/>
  <c r="M107" i="11"/>
  <c r="M66" i="11"/>
  <c r="M111" i="11"/>
  <c r="S31" i="11" s="1"/>
  <c r="M70" i="11"/>
  <c r="M113" i="11"/>
  <c r="U31" i="11" s="1"/>
  <c r="M72" i="11"/>
  <c r="M73" i="11"/>
  <c r="E119" i="11"/>
  <c r="AA23" i="11" s="1"/>
  <c r="E78" i="11"/>
  <c r="U6" i="11" s="1"/>
  <c r="K122" i="11"/>
  <c r="AB29" i="11" s="1"/>
  <c r="K81" i="11"/>
  <c r="M94" i="11"/>
  <c r="E98" i="11"/>
  <c r="M99" i="11"/>
  <c r="M58" i="11"/>
  <c r="M101" i="11"/>
  <c r="M60" i="11"/>
  <c r="N110" i="11"/>
  <c r="N69" i="11"/>
  <c r="F113" i="11"/>
  <c r="U24" i="11" s="1"/>
  <c r="F72" i="11"/>
  <c r="F114" i="11"/>
  <c r="V24" i="11" s="1"/>
  <c r="F73" i="11"/>
  <c r="F115" i="11"/>
  <c r="W24" i="11" s="1"/>
  <c r="F74" i="11"/>
  <c r="N116" i="11"/>
  <c r="X32" i="11" s="1"/>
  <c r="N75" i="11"/>
  <c r="N117" i="11"/>
  <c r="Y32" i="11" s="1"/>
  <c r="N76" i="11"/>
  <c r="S15" i="11" s="1"/>
  <c r="F118" i="11"/>
  <c r="Z24" i="11" s="1"/>
  <c r="F77" i="11"/>
  <c r="T7" i="11" s="1"/>
  <c r="F119" i="11"/>
  <c r="AA24" i="11" s="1"/>
  <c r="F78" i="11"/>
  <c r="U7" i="11" s="1"/>
  <c r="I120" i="11"/>
  <c r="I79" i="11"/>
  <c r="V10" i="11" s="1"/>
  <c r="D122" i="11"/>
  <c r="AB22" i="11" s="1"/>
  <c r="D81" i="11"/>
  <c r="G93" i="11"/>
  <c r="G52" i="11"/>
  <c r="O93" i="11"/>
  <c r="G94" i="11"/>
  <c r="G53" i="11"/>
  <c r="O94" i="11"/>
  <c r="O53" i="11"/>
  <c r="G95" i="11"/>
  <c r="G54" i="11"/>
  <c r="O95" i="11"/>
  <c r="O54" i="11"/>
  <c r="G96" i="11"/>
  <c r="O96" i="11"/>
  <c r="O55" i="11"/>
  <c r="G97" i="11"/>
  <c r="O97" i="11"/>
  <c r="O56" i="11"/>
  <c r="G98" i="11"/>
  <c r="G57" i="11"/>
  <c r="O98" i="11"/>
  <c r="O57" i="11"/>
  <c r="G99" i="11"/>
  <c r="G58" i="11"/>
  <c r="O99" i="11"/>
  <c r="O58" i="11"/>
  <c r="G100" i="11"/>
  <c r="G59" i="11"/>
  <c r="O100" i="11"/>
  <c r="G101" i="11"/>
  <c r="G60" i="11"/>
  <c r="O101" i="11"/>
  <c r="G102" i="11"/>
  <c r="G61" i="11"/>
  <c r="O102" i="11"/>
  <c r="O62" i="11"/>
  <c r="O61" i="11"/>
  <c r="H103" i="11"/>
  <c r="H62" i="11"/>
  <c r="H104" i="11"/>
  <c r="H63" i="11"/>
  <c r="H105" i="11"/>
  <c r="H64" i="11"/>
  <c r="H106" i="11"/>
  <c r="H65" i="11"/>
  <c r="P16" i="11"/>
  <c r="H107" i="11"/>
  <c r="H66" i="11"/>
  <c r="P17" i="11"/>
  <c r="I108" i="11"/>
  <c r="I67" i="11"/>
  <c r="C109" i="11"/>
  <c r="C68" i="11"/>
  <c r="K109" i="11"/>
  <c r="K68" i="11"/>
  <c r="H110" i="11"/>
  <c r="H69" i="11"/>
  <c r="H70" i="11"/>
  <c r="H112" i="11"/>
  <c r="T26" i="11" s="1"/>
  <c r="H71" i="11"/>
  <c r="H72" i="11"/>
  <c r="H114" i="11"/>
  <c r="V26" i="11" s="1"/>
  <c r="H73" i="11"/>
  <c r="P24" i="11"/>
  <c r="H116" i="11"/>
  <c r="X26" i="11" s="1"/>
  <c r="H75" i="11"/>
  <c r="H118" i="11"/>
  <c r="Z26" i="11" s="1"/>
  <c r="H77" i="11"/>
  <c r="T9" i="11" s="1"/>
  <c r="P28" i="11"/>
  <c r="H78" i="11"/>
  <c r="U9" i="11" s="1"/>
  <c r="C120" i="11"/>
  <c r="C79" i="11"/>
  <c r="V4" i="11" s="1"/>
  <c r="K120" i="11"/>
  <c r="K79" i="11"/>
  <c r="V12" i="11" s="1"/>
  <c r="F122" i="11"/>
  <c r="AB24" i="11" s="1"/>
  <c r="F81" i="11"/>
  <c r="N122" i="11"/>
  <c r="AB32" i="11" s="1"/>
  <c r="N81" i="11"/>
  <c r="X15" i="11" s="1"/>
  <c r="G123" i="11"/>
  <c r="AC25" i="11" s="1"/>
  <c r="G82" i="11"/>
  <c r="O123" i="11"/>
  <c r="O82" i="11"/>
  <c r="H124" i="11"/>
  <c r="AD26" i="11" s="1"/>
  <c r="H83" i="11"/>
  <c r="H125" i="11"/>
  <c r="AE26" i="11" s="1"/>
  <c r="H84" i="11"/>
  <c r="H126" i="11"/>
  <c r="H85" i="11"/>
  <c r="H127" i="11"/>
  <c r="O59" i="11"/>
  <c r="M93" i="11"/>
  <c r="M52" i="11"/>
  <c r="E95" i="11"/>
  <c r="E54" i="11"/>
  <c r="E97" i="11"/>
  <c r="E56" i="11"/>
  <c r="E99" i="11"/>
  <c r="M100" i="11"/>
  <c r="M59" i="11"/>
  <c r="E61" i="11"/>
  <c r="F110" i="11"/>
  <c r="F69" i="11"/>
  <c r="F111" i="11"/>
  <c r="S24" i="11" s="1"/>
  <c r="F70" i="11"/>
  <c r="N112" i="11"/>
  <c r="T32" i="11" s="1"/>
  <c r="N71" i="11"/>
  <c r="N113" i="11"/>
  <c r="U32" i="11" s="1"/>
  <c r="N72" i="11"/>
  <c r="N114" i="11"/>
  <c r="V32" i="11" s="1"/>
  <c r="N73" i="11"/>
  <c r="N115" i="11"/>
  <c r="W32" i="11" s="1"/>
  <c r="N74" i="11"/>
  <c r="F116" i="11"/>
  <c r="X24" i="11" s="1"/>
  <c r="F75" i="11"/>
  <c r="F117" i="11"/>
  <c r="Y24" i="11" s="1"/>
  <c r="F76" i="11"/>
  <c r="S7" i="11" s="1"/>
  <c r="N118" i="11"/>
  <c r="Z32" i="11" s="1"/>
  <c r="N77" i="11"/>
  <c r="T15" i="11" s="1"/>
  <c r="N119" i="11"/>
  <c r="AA32" i="11" s="1"/>
  <c r="N78" i="11"/>
  <c r="U15" i="11" s="1"/>
  <c r="L122" i="11"/>
  <c r="AB30" i="11" s="1"/>
  <c r="L81" i="11"/>
  <c r="B109" i="11"/>
  <c r="B68" i="11"/>
  <c r="P19" i="11"/>
  <c r="G110" i="11"/>
  <c r="G69" i="11"/>
  <c r="G111" i="11"/>
  <c r="S25" i="11" s="1"/>
  <c r="G70" i="11"/>
  <c r="O112" i="11"/>
  <c r="O71" i="11"/>
  <c r="O113" i="11"/>
  <c r="O72" i="11"/>
  <c r="O124" i="11"/>
  <c r="O83" i="11"/>
  <c r="G125" i="11"/>
  <c r="AE25" i="11" s="1"/>
  <c r="G84" i="11"/>
  <c r="O126" i="11"/>
  <c r="O85" i="11"/>
  <c r="G127" i="11"/>
  <c r="G86" i="11"/>
  <c r="O127" i="11"/>
  <c r="O86" i="11"/>
  <c r="M61" i="11"/>
  <c r="H52" i="11"/>
  <c r="H93" i="11"/>
  <c r="H94" i="11"/>
  <c r="H53" i="11"/>
  <c r="H95" i="11"/>
  <c r="H54" i="11"/>
  <c r="H55" i="11"/>
  <c r="H96" i="11"/>
  <c r="H97" i="11"/>
  <c r="H56" i="11"/>
  <c r="H57" i="11"/>
  <c r="H98" i="11"/>
  <c r="H58" i="11"/>
  <c r="P9" i="11"/>
  <c r="H100" i="11"/>
  <c r="H59" i="11"/>
  <c r="H60" i="11"/>
  <c r="H101" i="11"/>
  <c r="H102" i="11"/>
  <c r="H61" i="11"/>
  <c r="I103" i="11"/>
  <c r="I62" i="11"/>
  <c r="I104" i="11"/>
  <c r="I63" i="11"/>
  <c r="I105" i="11"/>
  <c r="I64" i="11"/>
  <c r="I106" i="11"/>
  <c r="I65" i="11"/>
  <c r="I107" i="11"/>
  <c r="I66" i="11"/>
  <c r="B108" i="11"/>
  <c r="B67" i="11"/>
  <c r="P18" i="11"/>
  <c r="J108" i="11"/>
  <c r="J67" i="11"/>
  <c r="D109" i="11"/>
  <c r="D68" i="11"/>
  <c r="L109" i="11"/>
  <c r="L68" i="11"/>
  <c r="I110" i="11"/>
  <c r="I69" i="11"/>
  <c r="I112" i="11"/>
  <c r="T27" i="11" s="1"/>
  <c r="I71" i="11"/>
  <c r="I114" i="11"/>
  <c r="V27" i="11" s="1"/>
  <c r="I73" i="11"/>
  <c r="I116" i="11"/>
  <c r="X27" i="11" s="1"/>
  <c r="I75" i="11"/>
  <c r="I118" i="11"/>
  <c r="Z27" i="11" s="1"/>
  <c r="I77" i="11"/>
  <c r="T10" i="11" s="1"/>
  <c r="D120" i="11"/>
  <c r="D79" i="11"/>
  <c r="V5" i="11" s="1"/>
  <c r="L120" i="11"/>
  <c r="L79" i="11"/>
  <c r="V13" i="11" s="1"/>
  <c r="F121" i="11"/>
  <c r="F80" i="11"/>
  <c r="W7" i="11" s="1"/>
  <c r="N121" i="11"/>
  <c r="N80" i="11"/>
  <c r="W15" i="11" s="1"/>
  <c r="H123" i="11"/>
  <c r="AC26" i="11" s="1"/>
  <c r="H82" i="11"/>
  <c r="Y9" i="11" s="1"/>
  <c r="I124" i="11"/>
  <c r="AD27" i="11" s="1"/>
  <c r="I83" i="11"/>
  <c r="I125" i="11"/>
  <c r="AE27" i="11" s="1"/>
  <c r="I84" i="11"/>
  <c r="I126" i="11"/>
  <c r="I85" i="11"/>
  <c r="I127" i="11"/>
  <c r="I86" i="11"/>
  <c r="L54" i="11"/>
  <c r="D58" i="11"/>
  <c r="E96" i="11"/>
  <c r="E55" i="11"/>
  <c r="I93" i="11"/>
  <c r="I52" i="11"/>
  <c r="I94" i="11"/>
  <c r="I53" i="11"/>
  <c r="I95" i="11"/>
  <c r="I54" i="11"/>
  <c r="I96" i="11"/>
  <c r="I55" i="11"/>
  <c r="I97" i="11"/>
  <c r="I56" i="11"/>
  <c r="I98" i="11"/>
  <c r="I57" i="11"/>
  <c r="I99" i="11"/>
  <c r="I58" i="11"/>
  <c r="I100" i="11"/>
  <c r="I59" i="11"/>
  <c r="I101" i="11"/>
  <c r="I60" i="11"/>
  <c r="I102" i="11"/>
  <c r="I61" i="11"/>
  <c r="B103" i="11"/>
  <c r="B62" i="11"/>
  <c r="J103" i="11"/>
  <c r="J62" i="11"/>
  <c r="B104" i="11"/>
  <c r="B63" i="11"/>
  <c r="J104" i="11"/>
  <c r="J63" i="11"/>
  <c r="B105" i="11"/>
  <c r="B64" i="11"/>
  <c r="J105" i="11"/>
  <c r="J64" i="11"/>
  <c r="B106" i="11"/>
  <c r="B65" i="11"/>
  <c r="J106" i="11"/>
  <c r="J65" i="11"/>
  <c r="B107" i="11"/>
  <c r="B66" i="11"/>
  <c r="J107" i="11"/>
  <c r="J66" i="11"/>
  <c r="C108" i="11"/>
  <c r="C67" i="11"/>
  <c r="K108" i="11"/>
  <c r="K67" i="11"/>
  <c r="E109" i="11"/>
  <c r="E69" i="11"/>
  <c r="E68" i="11"/>
  <c r="M109" i="11"/>
  <c r="M68" i="11"/>
  <c r="B110" i="11"/>
  <c r="B69" i="11"/>
  <c r="J110" i="11"/>
  <c r="J69" i="11"/>
  <c r="B111" i="11"/>
  <c r="S20" i="11" s="1"/>
  <c r="B70" i="11"/>
  <c r="P21" i="11"/>
  <c r="J111" i="11"/>
  <c r="S28" i="11" s="1"/>
  <c r="J70" i="11"/>
  <c r="B112" i="11"/>
  <c r="T20" i="11" s="1"/>
  <c r="B71" i="11"/>
  <c r="J112" i="11"/>
  <c r="T28" i="11" s="1"/>
  <c r="J71" i="11"/>
  <c r="B113" i="11"/>
  <c r="U20" i="11" s="1"/>
  <c r="P23" i="11"/>
  <c r="J113" i="11"/>
  <c r="U28" i="11" s="1"/>
  <c r="J72" i="11"/>
  <c r="B114" i="11"/>
  <c r="V20" i="11" s="1"/>
  <c r="J114" i="11"/>
  <c r="V28" i="11" s="1"/>
  <c r="J73" i="11"/>
  <c r="B115" i="11"/>
  <c r="W20" i="11" s="1"/>
  <c r="P25" i="11"/>
  <c r="J115" i="11"/>
  <c r="W28" i="11" s="1"/>
  <c r="J74" i="11"/>
  <c r="B116" i="11"/>
  <c r="X20" i="11" s="1"/>
  <c r="B75" i="11"/>
  <c r="J116" i="11"/>
  <c r="X28" i="11" s="1"/>
  <c r="J75" i="11"/>
  <c r="B117" i="11"/>
  <c r="Y20" i="11" s="1"/>
  <c r="B76" i="11"/>
  <c r="S3" i="11" s="1"/>
  <c r="P27" i="11"/>
  <c r="J117" i="11"/>
  <c r="Y28" i="11" s="1"/>
  <c r="J76" i="11"/>
  <c r="S11" i="11" s="1"/>
  <c r="B118" i="11"/>
  <c r="Z20" i="11" s="1"/>
  <c r="B77" i="11"/>
  <c r="T3" i="11" s="1"/>
  <c r="J118" i="11"/>
  <c r="Z28" i="11" s="1"/>
  <c r="J77" i="11"/>
  <c r="T11" i="11" s="1"/>
  <c r="B119" i="11"/>
  <c r="AA20" i="11" s="1"/>
  <c r="B78" i="11"/>
  <c r="U3" i="11" s="1"/>
  <c r="P29" i="11"/>
  <c r="J119" i="11"/>
  <c r="AA28" i="11" s="1"/>
  <c r="J78" i="11"/>
  <c r="U11" i="11" s="1"/>
  <c r="E120" i="11"/>
  <c r="E79" i="11"/>
  <c r="V6" i="11" s="1"/>
  <c r="M120" i="11"/>
  <c r="M79" i="11"/>
  <c r="V14" i="11" s="1"/>
  <c r="G121" i="11"/>
  <c r="G80" i="11"/>
  <c r="W8" i="11" s="1"/>
  <c r="O121" i="11"/>
  <c r="O80" i="11"/>
  <c r="H122" i="11"/>
  <c r="AB26" i="11" s="1"/>
  <c r="H81" i="11"/>
  <c r="X9" i="11" s="1"/>
  <c r="O52" i="11"/>
  <c r="G56" i="11"/>
  <c r="E58" i="11"/>
  <c r="B72" i="11"/>
  <c r="L94" i="11"/>
  <c r="L53" i="11"/>
  <c r="D96" i="11"/>
  <c r="D55" i="11"/>
  <c r="L97" i="11"/>
  <c r="L56" i="11"/>
  <c r="D100" i="11"/>
  <c r="D101" i="11"/>
  <c r="D60" i="11"/>
  <c r="D102" i="11"/>
  <c r="D61" i="11"/>
  <c r="E103" i="11"/>
  <c r="E62" i="11"/>
  <c r="E104" i="11"/>
  <c r="E63" i="11"/>
  <c r="E105" i="11"/>
  <c r="E64" i="11"/>
  <c r="M106" i="11"/>
  <c r="M65" i="11"/>
  <c r="N108" i="11"/>
  <c r="N67" i="11"/>
  <c r="E111" i="11"/>
  <c r="S23" i="11" s="1"/>
  <c r="E70" i="11"/>
  <c r="E113" i="11"/>
  <c r="U23" i="11" s="1"/>
  <c r="E72" i="11"/>
  <c r="E117" i="11"/>
  <c r="Y23" i="11" s="1"/>
  <c r="E77" i="11"/>
  <c r="T6" i="11" s="1"/>
  <c r="E76" i="11"/>
  <c r="S6" i="11" s="1"/>
  <c r="B121" i="11"/>
  <c r="P31" i="11"/>
  <c r="J121" i="11"/>
  <c r="J80" i="11"/>
  <c r="W11" i="11" s="1"/>
  <c r="C122" i="11"/>
  <c r="AB21" i="11" s="1"/>
  <c r="C81" i="11"/>
  <c r="X4" i="11" s="1"/>
  <c r="D123" i="11"/>
  <c r="AC22" i="11" s="1"/>
  <c r="D82" i="11"/>
  <c r="Y5" i="11" s="1"/>
  <c r="E93" i="11"/>
  <c r="E52" i="11"/>
  <c r="M95" i="11"/>
  <c r="M96" i="11"/>
  <c r="M55" i="11"/>
  <c r="M97" i="11"/>
  <c r="M56" i="11"/>
  <c r="M98" i="11"/>
  <c r="M57" i="11"/>
  <c r="E100" i="11"/>
  <c r="E59" i="11"/>
  <c r="E101" i="11"/>
  <c r="E60" i="11"/>
  <c r="N111" i="11"/>
  <c r="S32" i="11" s="1"/>
  <c r="N70" i="11"/>
  <c r="F112" i="11"/>
  <c r="T24" i="11" s="1"/>
  <c r="F71" i="11"/>
  <c r="C121" i="11"/>
  <c r="C80" i="11"/>
  <c r="W4" i="11" s="1"/>
  <c r="K121" i="11"/>
  <c r="K80" i="11"/>
  <c r="W12" i="11" s="1"/>
  <c r="D59" i="11"/>
  <c r="O111" i="11"/>
  <c r="O70" i="11"/>
  <c r="G112" i="11"/>
  <c r="T25" i="11" s="1"/>
  <c r="G71" i="11"/>
  <c r="G113" i="11"/>
  <c r="U25" i="11" s="1"/>
  <c r="G72" i="11"/>
  <c r="O114" i="11"/>
  <c r="O73" i="11"/>
  <c r="O115" i="11"/>
  <c r="O74" i="11"/>
  <c r="O116" i="11"/>
  <c r="G117" i="11"/>
  <c r="Y25" i="11" s="1"/>
  <c r="G76" i="11"/>
  <c r="S8" i="11" s="1"/>
  <c r="G118" i="11"/>
  <c r="Z25" i="11" s="1"/>
  <c r="G77" i="11"/>
  <c r="T8" i="11" s="1"/>
  <c r="G119" i="11"/>
  <c r="AA25" i="11" s="1"/>
  <c r="G78" i="11"/>
  <c r="U8" i="11" s="1"/>
  <c r="G79" i="11"/>
  <c r="V8" i="11" s="1"/>
  <c r="G126" i="11"/>
  <c r="G85" i="11"/>
  <c r="B93" i="11"/>
  <c r="B52" i="11"/>
  <c r="J93" i="11"/>
  <c r="J52" i="11"/>
  <c r="B94" i="11"/>
  <c r="B53" i="11"/>
  <c r="J94" i="11"/>
  <c r="J53" i="11"/>
  <c r="B95" i="11"/>
  <c r="B54" i="11"/>
  <c r="J95" i="11"/>
  <c r="J54" i="11"/>
  <c r="B96" i="11"/>
  <c r="B55" i="11"/>
  <c r="J96" i="11"/>
  <c r="J55" i="11"/>
  <c r="B97" i="11"/>
  <c r="B56" i="11"/>
  <c r="J97" i="11"/>
  <c r="J56" i="11"/>
  <c r="B98" i="11"/>
  <c r="B57" i="11"/>
  <c r="J98" i="11"/>
  <c r="J57" i="11"/>
  <c r="B99" i="11"/>
  <c r="B58" i="11"/>
  <c r="J99" i="11"/>
  <c r="J58" i="11"/>
  <c r="B100" i="11"/>
  <c r="B59" i="11"/>
  <c r="J100" i="11"/>
  <c r="J59" i="11"/>
  <c r="B101" i="11"/>
  <c r="B60" i="11"/>
  <c r="J101" i="11"/>
  <c r="J60" i="11"/>
  <c r="B102" i="11"/>
  <c r="B61" i="11"/>
  <c r="J102" i="11"/>
  <c r="J61" i="11"/>
  <c r="C103" i="11"/>
  <c r="C62" i="11"/>
  <c r="K103" i="11"/>
  <c r="K62" i="11"/>
  <c r="C104" i="11"/>
  <c r="C63" i="11"/>
  <c r="K104" i="11"/>
  <c r="K63" i="11"/>
  <c r="C105" i="11"/>
  <c r="C64" i="11"/>
  <c r="K105" i="11"/>
  <c r="K64" i="11"/>
  <c r="C106" i="11"/>
  <c r="C65" i="11"/>
  <c r="K106" i="11"/>
  <c r="K65" i="11"/>
  <c r="C107" i="11"/>
  <c r="C66" i="11"/>
  <c r="K107" i="11"/>
  <c r="K66" i="11"/>
  <c r="L108" i="11"/>
  <c r="L67" i="11"/>
  <c r="F109" i="11"/>
  <c r="F68" i="11"/>
  <c r="N109" i="11"/>
  <c r="N68" i="11"/>
  <c r="C110" i="11"/>
  <c r="C69" i="11"/>
  <c r="K110" i="11"/>
  <c r="K69" i="11"/>
  <c r="C111" i="11"/>
  <c r="S21" i="11" s="1"/>
  <c r="C70" i="11"/>
  <c r="K111" i="11"/>
  <c r="S29" i="11" s="1"/>
  <c r="K70" i="11"/>
  <c r="C112" i="11"/>
  <c r="T21" i="11" s="1"/>
  <c r="C71" i="11"/>
  <c r="K112" i="11"/>
  <c r="T29" i="11" s="1"/>
  <c r="K71" i="11"/>
  <c r="C113" i="11"/>
  <c r="U21" i="11" s="1"/>
  <c r="C72" i="11"/>
  <c r="K113" i="11"/>
  <c r="U29" i="11" s="1"/>
  <c r="K72" i="11"/>
  <c r="C114" i="11"/>
  <c r="V21" i="11" s="1"/>
  <c r="K114" i="11"/>
  <c r="V29" i="11" s="1"/>
  <c r="K73" i="11"/>
  <c r="C115" i="11"/>
  <c r="W21" i="11" s="1"/>
  <c r="K115" i="11"/>
  <c r="W29" i="11" s="1"/>
  <c r="K74" i="11"/>
  <c r="C116" i="11"/>
  <c r="X21" i="11" s="1"/>
  <c r="K116" i="11"/>
  <c r="X29" i="11" s="1"/>
  <c r="K75" i="11"/>
  <c r="C117" i="11"/>
  <c r="Y21" i="11" s="1"/>
  <c r="C76" i="11"/>
  <c r="S4" i="11" s="1"/>
  <c r="K117" i="11"/>
  <c r="Y29" i="11" s="1"/>
  <c r="K76" i="11"/>
  <c r="S12" i="11" s="1"/>
  <c r="C118" i="11"/>
  <c r="Z21" i="11" s="1"/>
  <c r="C77" i="11"/>
  <c r="T4" i="11" s="1"/>
  <c r="K118" i="11"/>
  <c r="Z29" i="11" s="1"/>
  <c r="K77" i="11"/>
  <c r="T12" i="11" s="1"/>
  <c r="C119" i="11"/>
  <c r="AA21" i="11" s="1"/>
  <c r="C78" i="11"/>
  <c r="U4" i="11" s="1"/>
  <c r="K119" i="11"/>
  <c r="AA29" i="11" s="1"/>
  <c r="K78" i="11"/>
  <c r="U12" i="11" s="1"/>
  <c r="M62" i="11"/>
  <c r="O75" i="11"/>
  <c r="D93" i="11"/>
  <c r="D52" i="11"/>
  <c r="D94" i="11"/>
  <c r="D53" i="11"/>
  <c r="D95" i="11"/>
  <c r="D54" i="11"/>
  <c r="L96" i="11"/>
  <c r="D97" i="11"/>
  <c r="D56" i="11"/>
  <c r="D98" i="11"/>
  <c r="D57" i="11"/>
  <c r="L98" i="11"/>
  <c r="L57" i="11"/>
  <c r="L99" i="11"/>
  <c r="L58" i="11"/>
  <c r="L100" i="11"/>
  <c r="L59" i="11"/>
  <c r="L101" i="11"/>
  <c r="L60" i="11"/>
  <c r="L102" i="11"/>
  <c r="L61" i="11"/>
  <c r="M104" i="11"/>
  <c r="M63" i="11"/>
  <c r="E107" i="11"/>
  <c r="F108" i="11"/>
  <c r="F67" i="11"/>
  <c r="E115" i="11"/>
  <c r="W23" i="11" s="1"/>
  <c r="E75" i="11"/>
  <c r="E74" i="11"/>
  <c r="M115" i="11"/>
  <c r="W31" i="11" s="1"/>
  <c r="M75" i="11"/>
  <c r="M74" i="11"/>
  <c r="M117" i="11"/>
  <c r="Y31" i="11" s="1"/>
  <c r="M76" i="11"/>
  <c r="S14" i="11" s="1"/>
  <c r="M119" i="11"/>
  <c r="AA31" i="11" s="1"/>
  <c r="M78" i="11"/>
  <c r="U14" i="11" s="1"/>
  <c r="L123" i="11"/>
  <c r="AC30" i="11" s="1"/>
  <c r="L82" i="11"/>
  <c r="E65" i="11"/>
  <c r="E94" i="11"/>
  <c r="E53" i="11"/>
  <c r="J109" i="11"/>
  <c r="J68" i="11"/>
  <c r="G114" i="11"/>
  <c r="V25" i="11" s="1"/>
  <c r="G73" i="11"/>
  <c r="G115" i="11"/>
  <c r="W25" i="11" s="1"/>
  <c r="G74" i="11"/>
  <c r="G116" i="11"/>
  <c r="X25" i="11" s="1"/>
  <c r="G75" i="11"/>
  <c r="O117" i="11"/>
  <c r="O118" i="11"/>
  <c r="O119" i="11"/>
  <c r="O78" i="11"/>
  <c r="G124" i="11"/>
  <c r="AD25" i="11" s="1"/>
  <c r="G83" i="11"/>
  <c r="O125" i="11"/>
  <c r="O84" i="11"/>
  <c r="C93" i="11"/>
  <c r="C52" i="11"/>
  <c r="K93" i="11"/>
  <c r="K52" i="11"/>
  <c r="C94" i="11"/>
  <c r="C53" i="11"/>
  <c r="K94" i="11"/>
  <c r="K53" i="11"/>
  <c r="C95" i="11"/>
  <c r="C54" i="11"/>
  <c r="K95" i="11"/>
  <c r="K54" i="11"/>
  <c r="C96" i="11"/>
  <c r="C55" i="11"/>
  <c r="K96" i="11"/>
  <c r="K55" i="11"/>
  <c r="C97" i="11"/>
  <c r="C56" i="11"/>
  <c r="K97" i="11"/>
  <c r="K56" i="11"/>
  <c r="C98" i="11"/>
  <c r="C57" i="11"/>
  <c r="K98" i="11"/>
  <c r="K57" i="11"/>
  <c r="C99" i="11"/>
  <c r="C58" i="11"/>
  <c r="K99" i="11"/>
  <c r="K58" i="11"/>
  <c r="C100" i="11"/>
  <c r="C59" i="11"/>
  <c r="K100" i="11"/>
  <c r="K59" i="11"/>
  <c r="C101" i="11"/>
  <c r="C60" i="11"/>
  <c r="K101" i="11"/>
  <c r="K60" i="11"/>
  <c r="C102" i="11"/>
  <c r="C61" i="11"/>
  <c r="K102" i="11"/>
  <c r="K61" i="11"/>
  <c r="D103" i="11"/>
  <c r="D62" i="11"/>
  <c r="L103" i="11"/>
  <c r="D104" i="11"/>
  <c r="D63" i="11"/>
  <c r="L104" i="11"/>
  <c r="D105" i="11"/>
  <c r="D64" i="11"/>
  <c r="L105" i="11"/>
  <c r="L64" i="11"/>
  <c r="D106" i="11"/>
  <c r="D65" i="11"/>
  <c r="L106" i="11"/>
  <c r="L65" i="11"/>
  <c r="D107" i="11"/>
  <c r="L107" i="11"/>
  <c r="L66" i="11"/>
  <c r="E108" i="11"/>
  <c r="E67" i="11"/>
  <c r="M108" i="11"/>
  <c r="M67" i="11"/>
  <c r="G109" i="11"/>
  <c r="G68" i="11"/>
  <c r="D111" i="11"/>
  <c r="S22" i="11" s="1"/>
  <c r="D70" i="11"/>
  <c r="L111" i="11"/>
  <c r="S30" i="11" s="1"/>
  <c r="L70" i="11"/>
  <c r="D113" i="11"/>
  <c r="U22" i="11" s="1"/>
  <c r="D72" i="11"/>
  <c r="L113" i="11"/>
  <c r="U30" i="11" s="1"/>
  <c r="L72" i="11"/>
  <c r="D73" i="11"/>
  <c r="L73" i="11"/>
  <c r="D115" i="11"/>
  <c r="W22" i="11" s="1"/>
  <c r="D74" i="11"/>
  <c r="L115" i="11"/>
  <c r="W30" i="11" s="1"/>
  <c r="L74" i="11"/>
  <c r="D75" i="11"/>
  <c r="L75" i="11"/>
  <c r="D117" i="11"/>
  <c r="Y22" i="11" s="1"/>
  <c r="D76" i="11"/>
  <c r="S5" i="11" s="1"/>
  <c r="L117" i="11"/>
  <c r="Y30" i="11" s="1"/>
  <c r="L76" i="11"/>
  <c r="S13" i="11" s="1"/>
  <c r="I121" i="11"/>
  <c r="I80" i="11"/>
  <c r="W10" i="11" s="1"/>
  <c r="C123" i="11"/>
  <c r="AC21" i="11" s="1"/>
  <c r="C82" i="11"/>
  <c r="K123" i="11"/>
  <c r="AC29" i="11" s="1"/>
  <c r="K82" i="11"/>
  <c r="Y12" i="11" s="1"/>
  <c r="D124" i="11"/>
  <c r="AD22" i="11" s="1"/>
  <c r="D83" i="11"/>
  <c r="L124" i="11"/>
  <c r="AD30" i="11" s="1"/>
  <c r="L83" i="11"/>
  <c r="D125" i="11"/>
  <c r="AE22" i="11" s="1"/>
  <c r="D84" i="11"/>
  <c r="L125" i="11"/>
  <c r="AE30" i="11" s="1"/>
  <c r="L84" i="11"/>
  <c r="D126" i="11"/>
  <c r="D85" i="11"/>
  <c r="L126" i="11"/>
  <c r="L85" i="11"/>
  <c r="D127" i="11"/>
  <c r="D86" i="11"/>
  <c r="L127" i="11"/>
  <c r="L86" i="11"/>
  <c r="O60" i="11"/>
  <c r="O69" i="11"/>
  <c r="B73" i="11"/>
  <c r="D119" i="11"/>
  <c r="AA22" i="11" s="1"/>
  <c r="D78" i="11"/>
  <c r="U5" i="11" s="1"/>
  <c r="B120" i="11"/>
  <c r="P30" i="11"/>
  <c r="J120" i="11"/>
  <c r="E122" i="11"/>
  <c r="AB23" i="11" s="1"/>
  <c r="E81" i="11"/>
  <c r="M122" i="11"/>
  <c r="AB31" i="11" s="1"/>
  <c r="M81" i="11"/>
  <c r="I123" i="11"/>
  <c r="AC27" i="11" s="1"/>
  <c r="I82" i="11"/>
  <c r="Y10" i="11" s="1"/>
  <c r="F124" i="11"/>
  <c r="AD24" i="11" s="1"/>
  <c r="F83" i="11"/>
  <c r="N124" i="11"/>
  <c r="AD32" i="11" s="1"/>
  <c r="N83" i="11"/>
  <c r="F125" i="11"/>
  <c r="AE24" i="11" s="1"/>
  <c r="F84" i="11"/>
  <c r="N125" i="11"/>
  <c r="AE32" i="11" s="1"/>
  <c r="N84" i="11"/>
  <c r="F126" i="11"/>
  <c r="F85" i="11"/>
  <c r="N126" i="11"/>
  <c r="N85" i="11"/>
  <c r="F127" i="11"/>
  <c r="F86" i="11"/>
  <c r="N127" i="11"/>
  <c r="N86" i="11"/>
  <c r="N62" i="11"/>
  <c r="B79" i="11"/>
  <c r="V3" i="11" s="1"/>
  <c r="H80" i="11"/>
  <c r="W9" i="11" s="1"/>
  <c r="G67" i="11"/>
  <c r="H79" i="11"/>
  <c r="V9" i="11" s="1"/>
  <c r="J79" i="11"/>
  <c r="V11" i="11" s="1"/>
  <c r="E102" i="11"/>
  <c r="M102" i="11"/>
  <c r="F104" i="11"/>
  <c r="N104" i="11"/>
  <c r="F105" i="11"/>
  <c r="N105" i="11"/>
  <c r="F106" i="11"/>
  <c r="N106" i="11"/>
  <c r="F107" i="11"/>
  <c r="N107" i="11"/>
  <c r="H109" i="11"/>
  <c r="H68" i="11"/>
  <c r="D110" i="11"/>
  <c r="D69" i="11"/>
  <c r="L110" i="11"/>
  <c r="L69" i="11"/>
  <c r="H111" i="11"/>
  <c r="S26" i="11" s="1"/>
  <c r="D112" i="11"/>
  <c r="D71" i="11"/>
  <c r="L112" i="11"/>
  <c r="T30" i="11" s="1"/>
  <c r="L71" i="11"/>
  <c r="H113" i="11"/>
  <c r="U26" i="11" s="1"/>
  <c r="D114" i="11"/>
  <c r="V22" i="11" s="1"/>
  <c r="L114" i="11"/>
  <c r="V30" i="11" s="1"/>
  <c r="H115" i="11"/>
  <c r="W26" i="11" s="1"/>
  <c r="H74" i="11"/>
  <c r="D116" i="11"/>
  <c r="X22" i="11" s="1"/>
  <c r="L116" i="11"/>
  <c r="X30" i="11" s="1"/>
  <c r="H117" i="11"/>
  <c r="Y26" i="11" s="1"/>
  <c r="H76" i="11"/>
  <c r="S9" i="11" s="1"/>
  <c r="D118" i="11"/>
  <c r="Z22" i="11" s="1"/>
  <c r="D77" i="11"/>
  <c r="T5" i="11" s="1"/>
  <c r="L118" i="11"/>
  <c r="Z30" i="11" s="1"/>
  <c r="L77" i="11"/>
  <c r="T13" i="11" s="1"/>
  <c r="H119" i="11"/>
  <c r="AA26" i="11" s="1"/>
  <c r="F120" i="11"/>
  <c r="F79" i="11"/>
  <c r="V7" i="11" s="1"/>
  <c r="N120" i="11"/>
  <c r="N79" i="11"/>
  <c r="V15" i="11" s="1"/>
  <c r="D80" i="11"/>
  <c r="W5" i="11" s="1"/>
  <c r="I122" i="11"/>
  <c r="AB27" i="11" s="1"/>
  <c r="I81" i="11"/>
  <c r="X10" i="11" s="1"/>
  <c r="E123" i="11"/>
  <c r="AC23" i="11" s="1"/>
  <c r="E82" i="11"/>
  <c r="M123" i="11"/>
  <c r="AC31" i="11" s="1"/>
  <c r="M82" i="11"/>
  <c r="B124" i="11"/>
  <c r="AD20" i="11" s="1"/>
  <c r="B83" i="11"/>
  <c r="J124" i="11"/>
  <c r="AD28" i="11" s="1"/>
  <c r="J83" i="11"/>
  <c r="B125" i="11"/>
  <c r="AE20" i="11" s="1"/>
  <c r="B84" i="11"/>
  <c r="J125" i="11"/>
  <c r="AE28" i="11" s="1"/>
  <c r="J84" i="11"/>
  <c r="B126" i="11"/>
  <c r="B85" i="11"/>
  <c r="J126" i="11"/>
  <c r="J85" i="11"/>
  <c r="B127" i="11"/>
  <c r="B86" i="11"/>
  <c r="J127" i="11"/>
  <c r="J86" i="11"/>
  <c r="F62" i="11"/>
  <c r="N66" i="11"/>
  <c r="F93" i="11"/>
  <c r="N93" i="11"/>
  <c r="F94" i="11"/>
  <c r="N94" i="11"/>
  <c r="F95" i="11"/>
  <c r="N95" i="11"/>
  <c r="F96" i="11"/>
  <c r="N96" i="11"/>
  <c r="F97" i="11"/>
  <c r="N97" i="11"/>
  <c r="F98" i="11"/>
  <c r="N98" i="11"/>
  <c r="F99" i="11"/>
  <c r="N99" i="11"/>
  <c r="F100" i="11"/>
  <c r="N100" i="11"/>
  <c r="F101" i="11"/>
  <c r="N101" i="11"/>
  <c r="F102" i="11"/>
  <c r="N102" i="11"/>
  <c r="G103" i="11"/>
  <c r="O103" i="11"/>
  <c r="G104" i="11"/>
  <c r="O104" i="11"/>
  <c r="G105" i="11"/>
  <c r="O105" i="11"/>
  <c r="G106" i="11"/>
  <c r="O106" i="11"/>
  <c r="G107" i="11"/>
  <c r="O107" i="11"/>
  <c r="H108" i="11"/>
  <c r="H67" i="11"/>
  <c r="I109" i="11"/>
  <c r="I68" i="11"/>
  <c r="E110" i="11"/>
  <c r="M110" i="11"/>
  <c r="M69" i="11"/>
  <c r="I111" i="11"/>
  <c r="S27" i="11" s="1"/>
  <c r="I70" i="11"/>
  <c r="E112" i="11"/>
  <c r="E71" i="11"/>
  <c r="M112" i="11"/>
  <c r="T31" i="11" s="1"/>
  <c r="M71" i="11"/>
  <c r="I113" i="11"/>
  <c r="U27" i="11" s="1"/>
  <c r="I72" i="11"/>
  <c r="E114" i="11"/>
  <c r="V23" i="11" s="1"/>
  <c r="E73" i="11"/>
  <c r="M114" i="11"/>
  <c r="V31" i="11" s="1"/>
  <c r="I115" i="11"/>
  <c r="W27" i="11" s="1"/>
  <c r="I74" i="11"/>
  <c r="E116" i="11"/>
  <c r="X23" i="11" s="1"/>
  <c r="M116" i="11"/>
  <c r="X31" i="11" s="1"/>
  <c r="I117" i="11"/>
  <c r="Y27" i="11" s="1"/>
  <c r="I76" i="11"/>
  <c r="S10" i="11" s="1"/>
  <c r="E118" i="11"/>
  <c r="Z23" i="11" s="1"/>
  <c r="M118" i="11"/>
  <c r="Z31" i="11" s="1"/>
  <c r="M77" i="11"/>
  <c r="T14" i="11" s="1"/>
  <c r="I119" i="11"/>
  <c r="AA27" i="11" s="1"/>
  <c r="I78" i="11"/>
  <c r="U10" i="11" s="1"/>
  <c r="G120" i="11"/>
  <c r="O120" i="11"/>
  <c r="O79" i="11"/>
  <c r="E121" i="11"/>
  <c r="E80" i="11"/>
  <c r="W6" i="11" s="1"/>
  <c r="M121" i="11"/>
  <c r="M80" i="11"/>
  <c r="W14" i="11" s="1"/>
  <c r="B122" i="11"/>
  <c r="AB20" i="11" s="1"/>
  <c r="B81" i="11"/>
  <c r="J122" i="11"/>
  <c r="AB28" i="11" s="1"/>
  <c r="J81" i="11"/>
  <c r="X11" i="11" s="1"/>
  <c r="F123" i="11"/>
  <c r="AC24" i="11" s="1"/>
  <c r="F82" i="11"/>
  <c r="Y7" i="11" s="1"/>
  <c r="N123" i="11"/>
  <c r="AC32" i="11" s="1"/>
  <c r="N82" i="11"/>
  <c r="C124" i="11"/>
  <c r="AD21" i="11" s="1"/>
  <c r="C83" i="11"/>
  <c r="K124" i="11"/>
  <c r="AD29" i="11" s="1"/>
  <c r="K83" i="11"/>
  <c r="C125" i="11"/>
  <c r="AE21" i="11" s="1"/>
  <c r="C84" i="11"/>
  <c r="K125" i="11"/>
  <c r="AE29" i="11" s="1"/>
  <c r="K84" i="11"/>
  <c r="C126" i="11"/>
  <c r="C85" i="11"/>
  <c r="K126" i="11"/>
  <c r="K85" i="11"/>
  <c r="C127" i="11"/>
  <c r="C86" i="11"/>
  <c r="K127" i="11"/>
  <c r="K86" i="11"/>
  <c r="F55" i="11"/>
  <c r="N59" i="11"/>
  <c r="G62" i="11"/>
  <c r="F63" i="11"/>
  <c r="O66" i="11"/>
  <c r="L119" i="11"/>
  <c r="AA30" i="11" s="1"/>
  <c r="H120" i="11"/>
  <c r="D121" i="11"/>
  <c r="L121" i="11"/>
  <c r="L80" i="11"/>
  <c r="W13" i="11" s="1"/>
  <c r="G122" i="11"/>
  <c r="AB25" i="11" s="1"/>
  <c r="G81" i="11"/>
  <c r="X8" i="11" s="1"/>
  <c r="O122" i="11"/>
  <c r="O81" i="11"/>
  <c r="B123" i="11"/>
  <c r="AC20" i="11" s="1"/>
  <c r="B82" i="11"/>
  <c r="J123" i="11"/>
  <c r="AC28" i="11" s="1"/>
  <c r="J82" i="11"/>
  <c r="Y11" i="11" s="1"/>
  <c r="E124" i="11"/>
  <c r="AD23" i="11" s="1"/>
  <c r="E83" i="11"/>
  <c r="M124" i="11"/>
  <c r="AD31" i="11" s="1"/>
  <c r="M83" i="11"/>
  <c r="E125" i="11"/>
  <c r="AE23" i="11" s="1"/>
  <c r="E84" i="11"/>
  <c r="M125" i="11"/>
  <c r="AE31" i="11" s="1"/>
  <c r="M84" i="11"/>
  <c r="E126" i="11"/>
  <c r="E85" i="11"/>
  <c r="M126" i="11"/>
  <c r="M85" i="11"/>
  <c r="E127" i="11"/>
  <c r="E86" i="11"/>
  <c r="M127" i="11"/>
  <c r="M86" i="11"/>
  <c r="AG13" i="1"/>
  <c r="AB26" i="1"/>
  <c r="AB39" i="1"/>
  <c r="W55" i="1"/>
  <c r="V83" i="1"/>
  <c r="AF98" i="1"/>
  <c r="AG12" i="1"/>
  <c r="AF45" i="1"/>
  <c r="Q53" i="1"/>
  <c r="AG60" i="1"/>
  <c r="AG63" i="1"/>
  <c r="AB73" i="1"/>
  <c r="AG76" i="1"/>
  <c r="AF80" i="1"/>
  <c r="AB102" i="1"/>
  <c r="AB105" i="1"/>
  <c r="AB110" i="1"/>
  <c r="Q129" i="1"/>
  <c r="AC146" i="1"/>
  <c r="AD154" i="1"/>
  <c r="AD155" i="1"/>
  <c r="AB74" i="1"/>
  <c r="AB78" i="1"/>
  <c r="V86" i="1"/>
  <c r="AF123" i="1"/>
  <c r="AF134" i="1"/>
  <c r="AG37" i="1"/>
  <c r="AB75" i="1"/>
  <c r="AG7" i="1"/>
  <c r="AB19" i="1"/>
  <c r="AG21" i="1"/>
  <c r="AF36" i="1"/>
  <c r="AG67" i="1"/>
  <c r="AB80" i="1"/>
  <c r="W83" i="1"/>
  <c r="AG89" i="1"/>
  <c r="AF139" i="1"/>
  <c r="AG72" i="1"/>
  <c r="AG98" i="1"/>
  <c r="AF135" i="1"/>
  <c r="AF31" i="1"/>
  <c r="W37" i="1"/>
  <c r="AA69" i="1"/>
  <c r="AF4" i="1"/>
  <c r="R7" i="1"/>
  <c r="AB11" i="1"/>
  <c r="AF20" i="1"/>
  <c r="AG29" i="1"/>
  <c r="AA49" i="1"/>
  <c r="AG64" i="1"/>
  <c r="V69" i="1"/>
  <c r="W99" i="1"/>
  <c r="AA102" i="1"/>
  <c r="W117" i="1"/>
  <c r="AG132" i="1"/>
  <c r="AB42" i="1"/>
  <c r="AB67" i="1"/>
  <c r="V109" i="1"/>
  <c r="W23" i="1"/>
  <c r="AA27" i="1"/>
  <c r="W31" i="1"/>
  <c r="AG34" i="1"/>
  <c r="AG42" i="1"/>
  <c r="AA65" i="1"/>
  <c r="AB79" i="1"/>
  <c r="AG81" i="1"/>
  <c r="AG115" i="1"/>
  <c r="AB146" i="1"/>
  <c r="AG25" i="1"/>
  <c r="AF25" i="1"/>
  <c r="AG9" i="1"/>
  <c r="AF9" i="1"/>
  <c r="AA22" i="1"/>
  <c r="AB22" i="1"/>
  <c r="R24" i="1"/>
  <c r="Q24" i="1"/>
  <c r="AB5" i="1"/>
  <c r="AA5" i="1"/>
  <c r="R8" i="1"/>
  <c r="Q8" i="1"/>
  <c r="AF22" i="1"/>
  <c r="AG22" i="1"/>
  <c r="AG27" i="1"/>
  <c r="AF27" i="1"/>
  <c r="AA33" i="1"/>
  <c r="L35" i="1"/>
  <c r="W36" i="1" s="1"/>
  <c r="AG49" i="1"/>
  <c r="AF49" i="1"/>
  <c r="M58" i="1"/>
  <c r="H58" i="1"/>
  <c r="L79" i="1"/>
  <c r="H79" i="1"/>
  <c r="K79" i="1"/>
  <c r="AF13" i="1"/>
  <c r="AB23" i="1"/>
  <c r="R51" i="1"/>
  <c r="Q51" i="1"/>
  <c r="R55" i="1"/>
  <c r="Q55" i="1"/>
  <c r="M94" i="1"/>
  <c r="AA95" i="1" s="1"/>
  <c r="H94" i="1"/>
  <c r="L3" i="1"/>
  <c r="W4" i="1" s="1"/>
  <c r="R6" i="1"/>
  <c r="Q6" i="1"/>
  <c r="AA8" i="1"/>
  <c r="AB8" i="1"/>
  <c r="AA9" i="1"/>
  <c r="L11" i="1"/>
  <c r="V12" i="1" s="1"/>
  <c r="AB13" i="1"/>
  <c r="AA13" i="1"/>
  <c r="AG15" i="1"/>
  <c r="R16" i="1"/>
  <c r="Q16" i="1"/>
  <c r="O23" i="1"/>
  <c r="V26" i="1"/>
  <c r="W26" i="1"/>
  <c r="AB28" i="1"/>
  <c r="AA28" i="1"/>
  <c r="AF30" i="1"/>
  <c r="AG30" i="1"/>
  <c r="AB30" i="1"/>
  <c r="AB33" i="1"/>
  <c r="AG35" i="1"/>
  <c r="AF35" i="1"/>
  <c r="AA35" i="1"/>
  <c r="AG40" i="1"/>
  <c r="AF40" i="1"/>
  <c r="AF41" i="1"/>
  <c r="AG41" i="1"/>
  <c r="H46" i="1"/>
  <c r="M46" i="1"/>
  <c r="AA47" i="1" s="1"/>
  <c r="R47" i="1"/>
  <c r="Q47" i="1"/>
  <c r="H51" i="1"/>
  <c r="L51" i="1"/>
  <c r="W52" i="1" s="1"/>
  <c r="AG54" i="1"/>
  <c r="AF54" i="1"/>
  <c r="O55" i="1"/>
  <c r="R60" i="1"/>
  <c r="Q60" i="1"/>
  <c r="AB60" i="1"/>
  <c r="AA60" i="1"/>
  <c r="AG68" i="1"/>
  <c r="AF68" i="1"/>
  <c r="L72" i="1"/>
  <c r="W73" i="1" s="1"/>
  <c r="H72" i="1"/>
  <c r="R80" i="1"/>
  <c r="Q80" i="1"/>
  <c r="AA100" i="1"/>
  <c r="AB100" i="1"/>
  <c r="AB20" i="1"/>
  <c r="AA20" i="1"/>
  <c r="R30" i="1"/>
  <c r="Q30" i="1"/>
  <c r="AA32" i="1"/>
  <c r="AB32" i="1"/>
  <c r="AB37" i="1"/>
  <c r="AA37" i="1"/>
  <c r="W46" i="1"/>
  <c r="V46" i="1"/>
  <c r="AG50" i="1"/>
  <c r="R54" i="1"/>
  <c r="Q54" i="1"/>
  <c r="H8" i="1"/>
  <c r="L8" i="1"/>
  <c r="W9" i="1" s="1"/>
  <c r="AG18" i="1"/>
  <c r="Q28" i="1"/>
  <c r="R28" i="1"/>
  <c r="AG32" i="1"/>
  <c r="AF32" i="1"/>
  <c r="W38" i="1"/>
  <c r="V38" i="1"/>
  <c r="AA40" i="1"/>
  <c r="AB40" i="1"/>
  <c r="W42" i="1"/>
  <c r="V42" i="1"/>
  <c r="W47" i="1"/>
  <c r="M54" i="1"/>
  <c r="AB55" i="1" s="1"/>
  <c r="H54" i="1"/>
  <c r="H59" i="1"/>
  <c r="L59" i="1"/>
  <c r="Q72" i="1"/>
  <c r="R72" i="1"/>
  <c r="Q4" i="1"/>
  <c r="R4" i="1"/>
  <c r="AA6" i="1"/>
  <c r="V9" i="1"/>
  <c r="V13" i="1"/>
  <c r="W14" i="1"/>
  <c r="V14" i="1"/>
  <c r="H16" i="1"/>
  <c r="L16" i="1"/>
  <c r="W17" i="1" s="1"/>
  <c r="O18" i="1"/>
  <c r="K19" i="1"/>
  <c r="Q20" i="1" s="1"/>
  <c r="Q21" i="1"/>
  <c r="AF21" i="1"/>
  <c r="AF23" i="1"/>
  <c r="AG26" i="1"/>
  <c r="AF28" i="1"/>
  <c r="R31" i="1"/>
  <c r="AB31" i="1"/>
  <c r="AA38" i="1"/>
  <c r="L43" i="1"/>
  <c r="V44" i="1" s="1"/>
  <c r="H43" i="1"/>
  <c r="AF46" i="1"/>
  <c r="AG46" i="1"/>
  <c r="O47" i="1"/>
  <c r="AB51" i="1"/>
  <c r="AA51" i="1"/>
  <c r="Q52" i="1"/>
  <c r="R52" i="1"/>
  <c r="AG53" i="1"/>
  <c r="AG52" i="1"/>
  <c r="AF55" i="1"/>
  <c r="AG55" i="1"/>
  <c r="AF56" i="1"/>
  <c r="AB65" i="1"/>
  <c r="AG85" i="1"/>
  <c r="AF85" i="1"/>
  <c r="V18" i="1"/>
  <c r="W18" i="1"/>
  <c r="AG33" i="1"/>
  <c r="AG8" i="1"/>
  <c r="AF8" i="1"/>
  <c r="AB4" i="1"/>
  <c r="AA4" i="1"/>
  <c r="AG6" i="1"/>
  <c r="AF6" i="1"/>
  <c r="W7" i="1"/>
  <c r="AB9" i="1"/>
  <c r="AG11" i="1"/>
  <c r="AF11" i="1"/>
  <c r="AA11" i="1"/>
  <c r="K14" i="1"/>
  <c r="R15" i="1" s="1"/>
  <c r="M14" i="1"/>
  <c r="AA15" i="1" s="1"/>
  <c r="AA16" i="1"/>
  <c r="AB16" i="1"/>
  <c r="AA17" i="1"/>
  <c r="H19" i="1"/>
  <c r="L19" i="1"/>
  <c r="W20" i="1" s="1"/>
  <c r="AB21" i="1"/>
  <c r="AA21" i="1"/>
  <c r="R21" i="1"/>
  <c r="AG23" i="1"/>
  <c r="AG28" i="1"/>
  <c r="V34" i="1"/>
  <c r="W34" i="1"/>
  <c r="AB34" i="1"/>
  <c r="AB36" i="1"/>
  <c r="AA36" i="1"/>
  <c r="AF38" i="1"/>
  <c r="AG38" i="1"/>
  <c r="W39" i="1"/>
  <c r="O42" i="1"/>
  <c r="AB43" i="1"/>
  <c r="AA43" i="1"/>
  <c r="Q44" i="1"/>
  <c r="R44" i="1"/>
  <c r="AG45" i="1"/>
  <c r="AG44" i="1"/>
  <c r="AF47" i="1"/>
  <c r="AG48" i="1"/>
  <c r="AG47" i="1"/>
  <c r="AF48" i="1"/>
  <c r="AG51" i="1"/>
  <c r="AF51" i="1"/>
  <c r="AB52" i="1"/>
  <c r="AA52" i="1"/>
  <c r="AF52" i="1"/>
  <c r="AA61" i="1"/>
  <c r="AB61" i="1"/>
  <c r="AG65" i="1"/>
  <c r="AF65" i="1"/>
  <c r="N73" i="1"/>
  <c r="AF74" i="1" s="1"/>
  <c r="L119" i="1"/>
  <c r="W120" i="1" s="1"/>
  <c r="H119" i="1"/>
  <c r="K119" i="1"/>
  <c r="AG16" i="1"/>
  <c r="AF16" i="1"/>
  <c r="AG17" i="1"/>
  <c r="Q39" i="1"/>
  <c r="R39" i="1"/>
  <c r="AB44" i="1"/>
  <c r="AA44" i="1"/>
  <c r="AB114" i="1"/>
  <c r="AA114" i="1"/>
  <c r="O7" i="1"/>
  <c r="V10" i="1"/>
  <c r="W10" i="1"/>
  <c r="AB10" i="1"/>
  <c r="AB12" i="1"/>
  <c r="AA12" i="1"/>
  <c r="AF14" i="1"/>
  <c r="AG14" i="1"/>
  <c r="W15" i="1"/>
  <c r="AG19" i="1"/>
  <c r="AF19" i="1"/>
  <c r="AA19" i="1"/>
  <c r="K22" i="1"/>
  <c r="AA24" i="1"/>
  <c r="AB24" i="1"/>
  <c r="AA25" i="1"/>
  <c r="L27" i="1"/>
  <c r="W28" i="1" s="1"/>
  <c r="AB29" i="1"/>
  <c r="AA29" i="1"/>
  <c r="R29" i="1"/>
  <c r="AG31" i="1"/>
  <c r="R32" i="1"/>
  <c r="Q32" i="1"/>
  <c r="AG36" i="1"/>
  <c r="O39" i="1"/>
  <c r="W45" i="1"/>
  <c r="V45" i="1"/>
  <c r="AB45" i="1"/>
  <c r="AA48" i="1"/>
  <c r="AB48" i="1"/>
  <c r="V50" i="1"/>
  <c r="AB49" i="1"/>
  <c r="W50" i="1"/>
  <c r="AF53" i="1"/>
  <c r="O57" i="1"/>
  <c r="R63" i="1"/>
  <c r="Q63" i="1"/>
  <c r="R67" i="1"/>
  <c r="Q67" i="1"/>
  <c r="N69" i="1"/>
  <c r="AG70" i="1" s="1"/>
  <c r="H69" i="1"/>
  <c r="V98" i="1"/>
  <c r="W97" i="1"/>
  <c r="V97" i="1"/>
  <c r="AB142" i="1"/>
  <c r="AA142" i="1"/>
  <c r="Q12" i="1"/>
  <c r="R12" i="1"/>
  <c r="H24" i="1"/>
  <c r="L24" i="1"/>
  <c r="Q31" i="1"/>
  <c r="AG43" i="1"/>
  <c r="AF43" i="1"/>
  <c r="AF44" i="1"/>
  <c r="AA56" i="1"/>
  <c r="AB56" i="1"/>
  <c r="AB57" i="1"/>
  <c r="W61" i="1"/>
  <c r="V61" i="1"/>
  <c r="AB62" i="1"/>
  <c r="AA62" i="1"/>
  <c r="R114" i="1"/>
  <c r="Q114" i="1"/>
  <c r="Q5" i="1"/>
  <c r="AF5" i="1"/>
  <c r="Q7" i="1"/>
  <c r="AG10" i="1"/>
  <c r="AF12" i="1"/>
  <c r="AB15" i="1"/>
  <c r="AF17" i="1"/>
  <c r="H22" i="1"/>
  <c r="AG24" i="1"/>
  <c r="AF24" i="1"/>
  <c r="H31" i="1"/>
  <c r="H32" i="1"/>
  <c r="L32" i="1"/>
  <c r="O34" i="1"/>
  <c r="K35" i="1"/>
  <c r="Q36" i="1" s="1"/>
  <c r="AF37" i="1"/>
  <c r="AG39" i="1"/>
  <c r="AA41" i="1"/>
  <c r="AB50" i="1"/>
  <c r="R53" i="1"/>
  <c r="AG57" i="1"/>
  <c r="AF57" i="1"/>
  <c r="AG58" i="1"/>
  <c r="AF58" i="1"/>
  <c r="AB70" i="1"/>
  <c r="R71" i="1"/>
  <c r="Q71" i="1"/>
  <c r="AG82" i="1"/>
  <c r="AF82" i="1"/>
  <c r="W105" i="1"/>
  <c r="V105" i="1"/>
  <c r="V106" i="1"/>
  <c r="W106" i="1"/>
  <c r="K40" i="1"/>
  <c r="L71" i="1"/>
  <c r="H71" i="1"/>
  <c r="V90" i="1"/>
  <c r="V89" i="1"/>
  <c r="AB107" i="1"/>
  <c r="AA107" i="1"/>
  <c r="W115" i="1"/>
  <c r="V115" i="1"/>
  <c r="K13" i="1"/>
  <c r="K37" i="1"/>
  <c r="R38" i="1" s="1"/>
  <c r="K45" i="1"/>
  <c r="Q46" i="1" s="1"/>
  <c r="L56" i="1"/>
  <c r="V57" i="1" s="1"/>
  <c r="AF61" i="1"/>
  <c r="H89" i="1"/>
  <c r="K89" i="1"/>
  <c r="AG91" i="1"/>
  <c r="AF91" i="1"/>
  <c r="AG105" i="1"/>
  <c r="AF105" i="1"/>
  <c r="R107" i="1"/>
  <c r="Q107" i="1"/>
  <c r="AA110" i="1"/>
  <c r="M120" i="1"/>
  <c r="H120" i="1"/>
  <c r="D243" i="1"/>
  <c r="D216" i="1"/>
  <c r="D227" i="1"/>
  <c r="D228" i="1"/>
  <c r="D235" i="1"/>
  <c r="D233" i="1"/>
  <c r="H145" i="1"/>
  <c r="D217" i="1"/>
  <c r="N145" i="1"/>
  <c r="N188" i="1" s="1"/>
  <c r="H4" i="1"/>
  <c r="L5" i="1"/>
  <c r="V6" i="1" s="1"/>
  <c r="V7" i="1"/>
  <c r="K10" i="1"/>
  <c r="H12" i="1"/>
  <c r="V15" i="1"/>
  <c r="K18" i="1"/>
  <c r="H20" i="1"/>
  <c r="L21" i="1"/>
  <c r="V23" i="1"/>
  <c r="K26" i="1"/>
  <c r="H28" i="1"/>
  <c r="L29" i="1"/>
  <c r="W30" i="1" s="1"/>
  <c r="V31" i="1"/>
  <c r="K34" i="1"/>
  <c r="H36" i="1"/>
  <c r="V39" i="1"/>
  <c r="K42" i="1"/>
  <c r="H44" i="1"/>
  <c r="AA45" i="1"/>
  <c r="V47" i="1"/>
  <c r="H52" i="1"/>
  <c r="L53" i="1"/>
  <c r="V54" i="1" s="1"/>
  <c r="AA53" i="1"/>
  <c r="V55" i="1"/>
  <c r="AA57" i="1"/>
  <c r="AF63" i="1"/>
  <c r="H64" i="1"/>
  <c r="K65" i="1"/>
  <c r="Q66" i="1" s="1"/>
  <c r="W65" i="1"/>
  <c r="V65" i="1"/>
  <c r="AB66" i="1"/>
  <c r="AF66" i="1"/>
  <c r="AB68" i="1"/>
  <c r="H70" i="1"/>
  <c r="L70" i="1"/>
  <c r="AA75" i="1"/>
  <c r="AA81" i="1"/>
  <c r="K86" i="1"/>
  <c r="AG86" i="1"/>
  <c r="AF86" i="1"/>
  <c r="W89" i="1"/>
  <c r="AA92" i="1"/>
  <c r="AB93" i="1"/>
  <c r="AB98" i="1"/>
  <c r="AG100" i="1"/>
  <c r="AF101" i="1"/>
  <c r="H103" i="1"/>
  <c r="AG103" i="1"/>
  <c r="AG104" i="1"/>
  <c r="AF103" i="1"/>
  <c r="AF107" i="1"/>
  <c r="AF111" i="1"/>
  <c r="AG110" i="1"/>
  <c r="AF110" i="1"/>
  <c r="R111" i="1"/>
  <c r="Q111" i="1"/>
  <c r="AG111" i="1"/>
  <c r="AB116" i="1"/>
  <c r="AB115" i="1"/>
  <c r="AA115" i="1"/>
  <c r="K56" i="1"/>
  <c r="Q57" i="1" s="1"/>
  <c r="L67" i="1"/>
  <c r="W68" i="1" s="1"/>
  <c r="M88" i="1"/>
  <c r="AB89" i="1" s="1"/>
  <c r="H88" i="1"/>
  <c r="Q81" i="1"/>
  <c r="V82" i="1"/>
  <c r="AA83" i="1"/>
  <c r="AB83" i="1"/>
  <c r="V4" i="1"/>
  <c r="H9" i="1"/>
  <c r="AA10" i="1"/>
  <c r="H17" i="1"/>
  <c r="AA18" i="1"/>
  <c r="H25" i="1"/>
  <c r="AA26" i="1"/>
  <c r="H33" i="1"/>
  <c r="AA34" i="1"/>
  <c r="H41" i="1"/>
  <c r="AA42" i="1"/>
  <c r="H49" i="1"/>
  <c r="AA50" i="1"/>
  <c r="V52" i="1"/>
  <c r="O56" i="1"/>
  <c r="AG56" i="1"/>
  <c r="K74" i="1"/>
  <c r="Q75" i="1" s="1"/>
  <c r="W74" i="1"/>
  <c r="V74" i="1"/>
  <c r="M76" i="1"/>
  <c r="AB77" i="1" s="1"/>
  <c r="AG77" i="1"/>
  <c r="AA79" i="1"/>
  <c r="R81" i="1"/>
  <c r="AG84" i="1"/>
  <c r="AF84" i="1"/>
  <c r="AB86" i="1"/>
  <c r="AA86" i="1"/>
  <c r="W86" i="1"/>
  <c r="AG92" i="1"/>
  <c r="AF92" i="1"/>
  <c r="AG93" i="1"/>
  <c r="AB103" i="1"/>
  <c r="AB108" i="1"/>
  <c r="AA111" i="1"/>
  <c r="V116" i="1"/>
  <c r="H126" i="1"/>
  <c r="K126" i="1"/>
  <c r="L126" i="1"/>
  <c r="V127" i="1" s="1"/>
  <c r="L75" i="1"/>
  <c r="H97" i="1"/>
  <c r="K97" i="1"/>
  <c r="L110" i="1"/>
  <c r="O139" i="1"/>
  <c r="H139" i="1"/>
  <c r="L48" i="1"/>
  <c r="V49" i="1" s="1"/>
  <c r="W95" i="1"/>
  <c r="V95" i="1"/>
  <c r="V96" i="1"/>
  <c r="AA97" i="1"/>
  <c r="R103" i="1"/>
  <c r="Q103" i="1"/>
  <c r="H115" i="1"/>
  <c r="K115" i="1"/>
  <c r="AA7" i="1"/>
  <c r="AA23" i="1"/>
  <c r="AA31" i="1"/>
  <c r="AA39" i="1"/>
  <c r="K64" i="1"/>
  <c r="AA67" i="1"/>
  <c r="AF72" i="1"/>
  <c r="H78" i="1"/>
  <c r="L78" i="1"/>
  <c r="AG78" i="1"/>
  <c r="AF78" i="1"/>
  <c r="H80" i="1"/>
  <c r="L80" i="1"/>
  <c r="V81" i="1" s="1"/>
  <c r="AG83" i="1"/>
  <c r="AF83" i="1"/>
  <c r="M87" i="1"/>
  <c r="AA90" i="1"/>
  <c r="AG96" i="1"/>
  <c r="AF95" i="1"/>
  <c r="AG95" i="1"/>
  <c r="R104" i="1"/>
  <c r="O106" i="1"/>
  <c r="H106" i="1"/>
  <c r="AB130" i="1"/>
  <c r="AA130" i="1"/>
  <c r="W136" i="1"/>
  <c r="V136" i="1"/>
  <c r="AG140" i="1"/>
  <c r="AF140" i="1"/>
  <c r="W156" i="1"/>
  <c r="L192" i="1"/>
  <c r="V156" i="1"/>
  <c r="R171" i="1"/>
  <c r="Q171" i="1"/>
  <c r="K48" i="1"/>
  <c r="AB59" i="1"/>
  <c r="L40" i="1"/>
  <c r="W41" i="1" s="1"/>
  <c r="K9" i="1"/>
  <c r="AF10" i="1"/>
  <c r="K17" i="1"/>
  <c r="AF18" i="1"/>
  <c r="K25" i="1"/>
  <c r="AF26" i="1"/>
  <c r="K33" i="1"/>
  <c r="AF34" i="1"/>
  <c r="K41" i="1"/>
  <c r="AF42" i="1"/>
  <c r="K49" i="1"/>
  <c r="R50" i="1" s="1"/>
  <c r="AF50" i="1"/>
  <c r="AA59" i="1"/>
  <c r="AF60" i="1"/>
  <c r="H61" i="1"/>
  <c r="AG61" i="1"/>
  <c r="L63" i="1"/>
  <c r="H63" i="1"/>
  <c r="AB63" i="1"/>
  <c r="AB64" i="1"/>
  <c r="AA64" i="1"/>
  <c r="O70" i="1"/>
  <c r="AF71" i="1"/>
  <c r="K73" i="1"/>
  <c r="R76" i="1"/>
  <c r="Q76" i="1"/>
  <c r="AB81" i="1"/>
  <c r="AA84" i="1"/>
  <c r="AB84" i="1"/>
  <c r="AG88" i="1"/>
  <c r="AG87" i="1"/>
  <c r="AF87" i="1"/>
  <c r="H90" i="1"/>
  <c r="AG90" i="1"/>
  <c r="AF90" i="1"/>
  <c r="W96" i="1"/>
  <c r="AB104" i="1"/>
  <c r="AA104" i="1"/>
  <c r="O104" i="1"/>
  <c r="AG108" i="1"/>
  <c r="AF108" i="1"/>
  <c r="AA112" i="1"/>
  <c r="AA113" i="1"/>
  <c r="AB112" i="1"/>
  <c r="AB118" i="1"/>
  <c r="AA118" i="1"/>
  <c r="AG156" i="1"/>
  <c r="N192" i="1"/>
  <c r="AF156" i="1"/>
  <c r="AG62" i="1"/>
  <c r="AF62" i="1"/>
  <c r="AB71" i="1"/>
  <c r="AB72" i="1"/>
  <c r="AA72" i="1"/>
  <c r="AF59" i="1"/>
  <c r="W66" i="1"/>
  <c r="V66" i="1"/>
  <c r="N180" i="1"/>
  <c r="B6" i="24" s="1"/>
  <c r="N184" i="1"/>
  <c r="N182" i="1"/>
  <c r="K58" i="1"/>
  <c r="W58" i="1"/>
  <c r="AG59" i="1"/>
  <c r="W60" i="1"/>
  <c r="H62" i="1"/>
  <c r="L62" i="1"/>
  <c r="AA66" i="1"/>
  <c r="K68" i="1"/>
  <c r="AA68" i="1"/>
  <c r="AA73" i="1"/>
  <c r="AF76" i="1"/>
  <c r="AA78" i="1"/>
  <c r="W88" i="1"/>
  <c r="V88" i="1"/>
  <c r="AB90" i="1"/>
  <c r="AB91" i="1"/>
  <c r="O93" i="1"/>
  <c r="K94" i="1"/>
  <c r="V94" i="1"/>
  <c r="H102" i="1"/>
  <c r="L102" i="1"/>
  <c r="W103" i="1" s="1"/>
  <c r="AG112" i="1"/>
  <c r="AF112" i="1"/>
  <c r="AF118" i="1"/>
  <c r="AG119" i="1"/>
  <c r="AG118" i="1"/>
  <c r="AF119" i="1"/>
  <c r="K61" i="1"/>
  <c r="Q62" i="1" s="1"/>
  <c r="K69" i="1"/>
  <c r="AF75" i="1"/>
  <c r="AG75" i="1"/>
  <c r="H93" i="1"/>
  <c r="K95" i="1"/>
  <c r="AB96" i="1"/>
  <c r="AA96" i="1"/>
  <c r="AF96" i="1"/>
  <c r="AG97" i="1"/>
  <c r="AF97" i="1"/>
  <c r="AB101" i="1"/>
  <c r="Q104" i="1"/>
  <c r="AF114" i="1"/>
  <c r="AG124" i="1"/>
  <c r="AF124" i="1"/>
  <c r="AG133" i="1"/>
  <c r="AF133" i="1"/>
  <c r="W135" i="1"/>
  <c r="W134" i="1"/>
  <c r="V134" i="1"/>
  <c r="W163" i="1"/>
  <c r="V163" i="1"/>
  <c r="H60" i="1"/>
  <c r="H68" i="1"/>
  <c r="H76" i="1"/>
  <c r="L76" i="1"/>
  <c r="O83" i="1"/>
  <c r="O91" i="1"/>
  <c r="H95" i="1"/>
  <c r="H99" i="1"/>
  <c r="H100" i="1"/>
  <c r="L100" i="1"/>
  <c r="AG102" i="1"/>
  <c r="O111" i="1"/>
  <c r="AG114" i="1"/>
  <c r="AG116" i="1"/>
  <c r="AF116" i="1"/>
  <c r="AF121" i="1"/>
  <c r="AG122" i="1"/>
  <c r="AF122" i="1"/>
  <c r="AG121" i="1"/>
  <c r="AC163" i="1"/>
  <c r="AD163" i="1"/>
  <c r="AA63" i="1"/>
  <c r="AA71" i="1"/>
  <c r="AF81" i="1"/>
  <c r="H83" i="1"/>
  <c r="H86" i="1"/>
  <c r="H91" i="1"/>
  <c r="H92" i="1"/>
  <c r="L92" i="1"/>
  <c r="W93" i="1" s="1"/>
  <c r="AG94" i="1"/>
  <c r="W98" i="1"/>
  <c r="K99" i="1"/>
  <c r="AB106" i="1"/>
  <c r="AA106" i="1"/>
  <c r="AG109" i="1"/>
  <c r="AF109" i="1"/>
  <c r="W112" i="1"/>
  <c r="V112" i="1"/>
  <c r="AB113" i="1"/>
  <c r="K117" i="1"/>
  <c r="AB117" i="1"/>
  <c r="AA117" i="1"/>
  <c r="AB119" i="1"/>
  <c r="AA119" i="1"/>
  <c r="AA126" i="1"/>
  <c r="K132" i="1"/>
  <c r="K136" i="1"/>
  <c r="AG136" i="1"/>
  <c r="O144" i="1"/>
  <c r="O188" i="1" s="1"/>
  <c r="AD150" i="1"/>
  <c r="AC150" i="1"/>
  <c r="K77" i="1"/>
  <c r="AF79" i="1"/>
  <c r="W82" i="1"/>
  <c r="H84" i="1"/>
  <c r="L84" i="1"/>
  <c r="V85" i="1" s="1"/>
  <c r="K85" i="1"/>
  <c r="K98" i="1"/>
  <c r="AA98" i="1"/>
  <c r="AB99" i="1"/>
  <c r="K105" i="1"/>
  <c r="H105" i="1"/>
  <c r="K108" i="1"/>
  <c r="K112" i="1"/>
  <c r="R113" i="1" s="1"/>
  <c r="AG113" i="1"/>
  <c r="AF113" i="1"/>
  <c r="H117" i="1"/>
  <c r="K130" i="1"/>
  <c r="Q131" i="1" s="1"/>
  <c r="L132" i="1"/>
  <c r="V133" i="1" s="1"/>
  <c r="O135" i="1"/>
  <c r="M136" i="1"/>
  <c r="H136" i="1"/>
  <c r="AB140" i="1"/>
  <c r="AA140" i="1"/>
  <c r="AA141" i="1"/>
  <c r="AB141" i="1"/>
  <c r="AA77" i="1"/>
  <c r="K82" i="1"/>
  <c r="AA82" i="1"/>
  <c r="K83" i="1"/>
  <c r="AB85" i="1"/>
  <c r="K87" i="1"/>
  <c r="Q88" i="1" s="1"/>
  <c r="W87" i="1"/>
  <c r="V87" i="1"/>
  <c r="W90" i="1"/>
  <c r="K91" i="1"/>
  <c r="H98" i="1"/>
  <c r="AG99" i="1"/>
  <c r="AF99" i="1"/>
  <c r="W104" i="1"/>
  <c r="AA108" i="1"/>
  <c r="AA109" i="1"/>
  <c r="O109" i="1"/>
  <c r="H112" i="1"/>
  <c r="O113" i="1"/>
  <c r="AG117" i="1"/>
  <c r="AF117" i="1"/>
  <c r="K120" i="1"/>
  <c r="AG120" i="1"/>
  <c r="AF120" i="1"/>
  <c r="D226" i="1"/>
  <c r="C230" i="1"/>
  <c r="M159" i="1"/>
  <c r="R167" i="1"/>
  <c r="Q167" i="1"/>
  <c r="K195" i="1"/>
  <c r="W113" i="1"/>
  <c r="O128" i="1"/>
  <c r="H128" i="1"/>
  <c r="AA132" i="1"/>
  <c r="AG141" i="1"/>
  <c r="AF141" i="1"/>
  <c r="AB143" i="1"/>
  <c r="AA143" i="1"/>
  <c r="O185" i="1"/>
  <c r="O186" i="1"/>
  <c r="AD148" i="1"/>
  <c r="AC148" i="1"/>
  <c r="N159" i="1"/>
  <c r="D230" i="1"/>
  <c r="AA91" i="1"/>
  <c r="AA99" i="1"/>
  <c r="V114" i="1"/>
  <c r="W116" i="1"/>
  <c r="K116" i="1"/>
  <c r="O123" i="1"/>
  <c r="H123" i="1"/>
  <c r="AB124" i="1"/>
  <c r="AA124" i="1"/>
  <c r="AA125" i="1"/>
  <c r="AB125" i="1"/>
  <c r="K127" i="1"/>
  <c r="AB129" i="1"/>
  <c r="AA129" i="1"/>
  <c r="V137" i="1"/>
  <c r="K137" i="1"/>
  <c r="R138" i="1" s="1"/>
  <c r="O138" i="1"/>
  <c r="AA138" i="1"/>
  <c r="K142" i="1"/>
  <c r="S151" i="1" s="1"/>
  <c r="AF143" i="1"/>
  <c r="AG143" i="1"/>
  <c r="O152" i="1"/>
  <c r="O190" i="1" s="1"/>
  <c r="H152" i="1"/>
  <c r="D225" i="1"/>
  <c r="N154" i="1"/>
  <c r="AF155" i="1" s="1"/>
  <c r="K93" i="1"/>
  <c r="AF94" i="1"/>
  <c r="K101" i="1"/>
  <c r="AF102" i="1"/>
  <c r="K109" i="1"/>
  <c r="R110" i="1" s="1"/>
  <c r="AB111" i="1"/>
  <c r="W114" i="1"/>
  <c r="AA116" i="1"/>
  <c r="AF125" i="1"/>
  <c r="R131" i="1"/>
  <c r="O134" i="1"/>
  <c r="H134" i="1"/>
  <c r="AB135" i="1"/>
  <c r="AA135" i="1"/>
  <c r="AB138" i="1"/>
  <c r="L142" i="1"/>
  <c r="X157" i="1" s="1"/>
  <c r="D232" i="1"/>
  <c r="N161" i="1"/>
  <c r="AF162" i="1" s="1"/>
  <c r="W166" i="1"/>
  <c r="AA85" i="1"/>
  <c r="AA93" i="1"/>
  <c r="AA101" i="1"/>
  <c r="AF106" i="1"/>
  <c r="AG106" i="1"/>
  <c r="V121" i="1"/>
  <c r="K121" i="1"/>
  <c r="Q122" i="1" s="1"/>
  <c r="O122" i="1"/>
  <c r="AA122" i="1"/>
  <c r="AG128" i="1"/>
  <c r="AF128" i="1"/>
  <c r="AG127" i="1"/>
  <c r="AF127" i="1"/>
  <c r="AA127" i="1"/>
  <c r="N129" i="1"/>
  <c r="AG130" i="1" s="1"/>
  <c r="H129" i="1"/>
  <c r="R129" i="1"/>
  <c r="L131" i="1"/>
  <c r="H131" i="1"/>
  <c r="AA131" i="1"/>
  <c r="W137" i="1"/>
  <c r="M188" i="1"/>
  <c r="AA144" i="1"/>
  <c r="AB144" i="1"/>
  <c r="K149" i="1"/>
  <c r="AF151" i="1"/>
  <c r="H107" i="1"/>
  <c r="L107" i="1"/>
  <c r="H118" i="1"/>
  <c r="L118" i="1"/>
  <c r="AG125" i="1"/>
  <c r="AB127" i="1"/>
  <c r="H135" i="1"/>
  <c r="AF142" i="1"/>
  <c r="AG144" i="1"/>
  <c r="AF144" i="1"/>
  <c r="C220" i="1"/>
  <c r="M149" i="1"/>
  <c r="AB150" i="1" s="1"/>
  <c r="AD158" i="1"/>
  <c r="AC158" i="1"/>
  <c r="D240" i="1"/>
  <c r="N169" i="1"/>
  <c r="W122" i="1"/>
  <c r="W123" i="1"/>
  <c r="AG126" i="1"/>
  <c r="AF131" i="1"/>
  <c r="K133" i="1"/>
  <c r="AG137" i="1"/>
  <c r="W138" i="1"/>
  <c r="W139" i="1"/>
  <c r="H143" i="1"/>
  <c r="L143" i="1"/>
  <c r="B218" i="1"/>
  <c r="H147" i="1"/>
  <c r="L147" i="1"/>
  <c r="V148" i="1" s="1"/>
  <c r="M156" i="1"/>
  <c r="C227" i="1"/>
  <c r="O192" i="1"/>
  <c r="C229" i="1"/>
  <c r="H158" i="1"/>
  <c r="AG158" i="1"/>
  <c r="AF158" i="1"/>
  <c r="Q165" i="1"/>
  <c r="R165" i="1"/>
  <c r="AD165" i="1"/>
  <c r="AC165" i="1"/>
  <c r="R168" i="1"/>
  <c r="Q168" i="1"/>
  <c r="O172" i="1"/>
  <c r="O182" i="1" s="1"/>
  <c r="H172" i="1"/>
  <c r="AD173" i="1"/>
  <c r="AC173" i="1"/>
  <c r="AA133" i="1"/>
  <c r="AA134" i="1"/>
  <c r="AF137" i="1"/>
  <c r="AG138" i="1"/>
  <c r="M147" i="1"/>
  <c r="AA148" i="1" s="1"/>
  <c r="W151" i="1"/>
  <c r="M191" i="1"/>
  <c r="AD153" i="1"/>
  <c r="AC153" i="1"/>
  <c r="AC155" i="1"/>
  <c r="AA155" i="1"/>
  <c r="D229" i="1"/>
  <c r="AF164" i="1"/>
  <c r="AG163" i="1"/>
  <c r="AF163" i="1"/>
  <c r="C236" i="1"/>
  <c r="H165" i="1"/>
  <c r="H168" i="1"/>
  <c r="B239" i="1"/>
  <c r="L168" i="1"/>
  <c r="C226" i="1"/>
  <c r="K123" i="1"/>
  <c r="AG123" i="1"/>
  <c r="K124" i="1"/>
  <c r="H125" i="1"/>
  <c r="W128" i="1"/>
  <c r="O132" i="1"/>
  <c r="K134" i="1"/>
  <c r="Q135" i="1" s="1"/>
  <c r="H138" i="1"/>
  <c r="K139" i="1"/>
  <c r="AG139" i="1"/>
  <c r="K140" i="1"/>
  <c r="H141" i="1"/>
  <c r="AA145" i="1"/>
  <c r="D218" i="1"/>
  <c r="N147" i="1"/>
  <c r="AD151" i="1"/>
  <c r="AC151" i="1"/>
  <c r="AB151" i="1"/>
  <c r="AA151" i="1"/>
  <c r="B223" i="1"/>
  <c r="L152" i="1"/>
  <c r="L190" i="1" s="1"/>
  <c r="K152" i="1"/>
  <c r="D224" i="1"/>
  <c r="N153" i="1"/>
  <c r="AG155" i="1"/>
  <c r="W157" i="1"/>
  <c r="V157" i="1"/>
  <c r="C231" i="1"/>
  <c r="M160" i="1"/>
  <c r="R166" i="1"/>
  <c r="Q166" i="1"/>
  <c r="AD166" i="1"/>
  <c r="AC166" i="1"/>
  <c r="AB166" i="1"/>
  <c r="AA166" i="1"/>
  <c r="B242" i="1"/>
  <c r="H171" i="1"/>
  <c r="L171" i="1"/>
  <c r="AA123" i="1"/>
  <c r="H124" i="1"/>
  <c r="L124" i="1"/>
  <c r="V125" i="1" s="1"/>
  <c r="AB128" i="1"/>
  <c r="AB134" i="1"/>
  <c r="AA139" i="1"/>
  <c r="H140" i="1"/>
  <c r="L140" i="1"/>
  <c r="V141" i="1" s="1"/>
  <c r="K144" i="1"/>
  <c r="C222" i="1"/>
  <c r="H151" i="1"/>
  <c r="O153" i="1"/>
  <c r="O191" i="1" s="1"/>
  <c r="AC154" i="1"/>
  <c r="AB154" i="1"/>
  <c r="AA154" i="1"/>
  <c r="H157" i="1"/>
  <c r="AG157" i="1"/>
  <c r="AF157" i="1"/>
  <c r="D231" i="1"/>
  <c r="N160" i="1"/>
  <c r="B235" i="1"/>
  <c r="H164" i="1"/>
  <c r="L164" i="1"/>
  <c r="C237" i="1"/>
  <c r="H166" i="1"/>
  <c r="AD180" i="1"/>
  <c r="AD169" i="1"/>
  <c r="AC169" i="1"/>
  <c r="AC180" i="1"/>
  <c r="C242" i="1"/>
  <c r="M171" i="1"/>
  <c r="K125" i="1"/>
  <c r="W130" i="1"/>
  <c r="AG134" i="1"/>
  <c r="V135" i="1"/>
  <c r="Q138" i="1"/>
  <c r="K141" i="1"/>
  <c r="H144" i="1"/>
  <c r="M185" i="1"/>
  <c r="M186" i="1"/>
  <c r="AA146" i="1"/>
  <c r="B220" i="1"/>
  <c r="H149" i="1"/>
  <c r="L149" i="1"/>
  <c r="D222" i="1"/>
  <c r="B225" i="1"/>
  <c r="L154" i="1"/>
  <c r="H154" i="1"/>
  <c r="K154" i="1"/>
  <c r="C228" i="1"/>
  <c r="M157" i="1"/>
  <c r="AB158" i="1" s="1"/>
  <c r="H159" i="1"/>
  <c r="O160" i="1"/>
  <c r="O193" i="1" s="1"/>
  <c r="M164" i="1"/>
  <c r="AB165" i="1" s="1"/>
  <c r="C235" i="1"/>
  <c r="L169" i="1"/>
  <c r="H169" i="1"/>
  <c r="B240" i="1"/>
  <c r="K169" i="1"/>
  <c r="Q170" i="1" s="1"/>
  <c r="D242" i="1"/>
  <c r="H122" i="1"/>
  <c r="H130" i="1"/>
  <c r="D219" i="1"/>
  <c r="N148" i="1"/>
  <c r="O149" i="1"/>
  <c r="O189" i="1" s="1"/>
  <c r="H162" i="1"/>
  <c r="M162" i="1"/>
  <c r="M183" i="1" s="1"/>
  <c r="C234" i="1"/>
  <c r="H163" i="1"/>
  <c r="H167" i="1"/>
  <c r="B238" i="1"/>
  <c r="L167" i="1"/>
  <c r="B241" i="1"/>
  <c r="H170" i="1"/>
  <c r="L170" i="1"/>
  <c r="B237" i="1"/>
  <c r="B216" i="1"/>
  <c r="B222" i="1"/>
  <c r="B229" i="1"/>
  <c r="K145" i="1"/>
  <c r="E242" i="1" s="1"/>
  <c r="B217" i="1"/>
  <c r="K146" i="1"/>
  <c r="Q147" i="1" s="1"/>
  <c r="C221" i="1"/>
  <c r="H150" i="1"/>
  <c r="H161" i="1"/>
  <c r="N194" i="1"/>
  <c r="D234" i="1"/>
  <c r="C238" i="1"/>
  <c r="M167" i="1"/>
  <c r="C241" i="1"/>
  <c r="M170" i="1"/>
  <c r="C232" i="1"/>
  <c r="C216" i="1"/>
  <c r="C240" i="1"/>
  <c r="L145" i="1"/>
  <c r="L146" i="1"/>
  <c r="D221" i="1"/>
  <c r="W158" i="1"/>
  <c r="W159" i="1"/>
  <c r="V159" i="1"/>
  <c r="K160" i="1"/>
  <c r="V166" i="1"/>
  <c r="D241" i="1"/>
  <c r="N170" i="1"/>
  <c r="C217" i="1"/>
  <c r="D236" i="1"/>
  <c r="N165" i="1"/>
  <c r="D237" i="1"/>
  <c r="N166" i="1"/>
  <c r="N167" i="1"/>
  <c r="AG168" i="1" s="1"/>
  <c r="D238" i="1"/>
  <c r="D239" i="1"/>
  <c r="D220" i="1"/>
  <c r="C223" i="1"/>
  <c r="K153" i="1"/>
  <c r="B219" i="1"/>
  <c r="K148" i="1"/>
  <c r="N149" i="1"/>
  <c r="AG150" i="1" s="1"/>
  <c r="D223" i="1"/>
  <c r="N152" i="1"/>
  <c r="N190" i="1" s="1"/>
  <c r="M152" i="1"/>
  <c r="H153" i="1"/>
  <c r="L153" i="1"/>
  <c r="H156" i="1"/>
  <c r="O167" i="1"/>
  <c r="O195" i="1" s="1"/>
  <c r="O202" i="1" s="1"/>
  <c r="B231" i="1"/>
  <c r="C219" i="1"/>
  <c r="B221" i="1"/>
  <c r="K150" i="1"/>
  <c r="B226" i="1"/>
  <c r="K155" i="1"/>
  <c r="K156" i="1"/>
  <c r="B228" i="1"/>
  <c r="K157" i="1"/>
  <c r="K158" i="1"/>
  <c r="V158" i="1"/>
  <c r="B230" i="1"/>
  <c r="K159" i="1"/>
  <c r="H160" i="1"/>
  <c r="L160" i="1"/>
  <c r="L193" i="1" s="1"/>
  <c r="L200" i="1" s="1"/>
  <c r="L161" i="1"/>
  <c r="V162" i="1" s="1"/>
  <c r="B232" i="1"/>
  <c r="K161" i="1"/>
  <c r="B233" i="1"/>
  <c r="K162" i="1"/>
  <c r="B234" i="1"/>
  <c r="K163" i="1"/>
  <c r="Q164" i="1" s="1"/>
  <c r="AG173" i="1"/>
  <c r="AF173" i="1"/>
  <c r="B224" i="1"/>
  <c r="B236" i="1"/>
  <c r="AG164" i="1"/>
  <c r="M168" i="1"/>
  <c r="N171" i="1"/>
  <c r="AF172" i="1" s="1"/>
  <c r="B243" i="1"/>
  <c r="K172" i="1"/>
  <c r="H173" i="1"/>
  <c r="C243" i="1"/>
  <c r="M172" i="1"/>
  <c r="AA173" i="1" s="1"/>
  <c r="L172" i="1"/>
  <c r="L182" i="1" s="1"/>
  <c r="K173" i="1"/>
  <c r="L154" i="14"/>
  <c r="L162" i="14"/>
  <c r="L62" i="14"/>
  <c r="L78" i="14"/>
  <c r="L86" i="14"/>
  <c r="L134" i="14"/>
  <c r="O186" i="14"/>
  <c r="L202" i="14"/>
  <c r="B11" i="24" s="1"/>
  <c r="K95" i="14"/>
  <c r="L155" i="14"/>
  <c r="L190" i="14"/>
  <c r="L61" i="14"/>
  <c r="L77" i="14"/>
  <c r="L85" i="14"/>
  <c r="L117" i="14"/>
  <c r="L124" i="14"/>
  <c r="L133" i="14"/>
  <c r="L140" i="14"/>
  <c r="L152" i="14"/>
  <c r="L96" i="14"/>
  <c r="L25" i="14"/>
  <c r="K41" i="14"/>
  <c r="K73" i="14"/>
  <c r="L81" i="14"/>
  <c r="L89" i="14"/>
  <c r="L97" i="14"/>
  <c r="L113" i="14"/>
  <c r="L129" i="14"/>
  <c r="L137" i="14"/>
  <c r="L145" i="14"/>
  <c r="L197" i="14"/>
  <c r="L24" i="14"/>
  <c r="L104" i="14"/>
  <c r="L26" i="14"/>
  <c r="K34" i="14"/>
  <c r="L42" i="14"/>
  <c r="L66" i="14"/>
  <c r="L106" i="14"/>
  <c r="L114" i="14"/>
  <c r="L122" i="14"/>
  <c r="M204" i="14"/>
  <c r="L11" i="14"/>
  <c r="L19" i="14"/>
  <c r="L75" i="14"/>
  <c r="L91" i="14"/>
  <c r="L108" i="14"/>
  <c r="L131" i="14"/>
  <c r="O183" i="14"/>
  <c r="L200" i="14"/>
  <c r="K13" i="14"/>
  <c r="K21" i="14"/>
  <c r="K29" i="14"/>
  <c r="K37" i="14"/>
  <c r="K45" i="14"/>
  <c r="L146" i="14"/>
  <c r="L170" i="14"/>
  <c r="L160" i="14"/>
  <c r="L176" i="14"/>
  <c r="K5" i="14"/>
  <c r="K129" i="14"/>
  <c r="L73" i="14"/>
  <c r="L32" i="14"/>
  <c r="L102" i="14"/>
  <c r="L150" i="14"/>
  <c r="L166" i="14"/>
  <c r="L174" i="14"/>
  <c r="L179" i="14"/>
  <c r="L9" i="14"/>
  <c r="L17" i="14"/>
  <c r="K202" i="14"/>
  <c r="K79" i="14"/>
  <c r="K87" i="14"/>
  <c r="L105" i="14"/>
  <c r="L120" i="14"/>
  <c r="L153" i="14"/>
  <c r="L161" i="14"/>
  <c r="L169" i="14"/>
  <c r="L177" i="14"/>
  <c r="L198" i="14"/>
  <c r="L30" i="14"/>
  <c r="L38" i="14"/>
  <c r="L43" i="14"/>
  <c r="L51" i="14"/>
  <c r="L74" i="14"/>
  <c r="L82" i="14"/>
  <c r="L90" i="14"/>
  <c r="L101" i="14"/>
  <c r="L115" i="14"/>
  <c r="L130" i="14"/>
  <c r="L138" i="14"/>
  <c r="L149" i="14"/>
  <c r="L165" i="14"/>
  <c r="L173" i="14"/>
  <c r="L194" i="14"/>
  <c r="L201" i="14"/>
  <c r="L33" i="14"/>
  <c r="L67" i="14"/>
  <c r="K103" i="14"/>
  <c r="K113" i="14"/>
  <c r="L118" i="14"/>
  <c r="L29" i="14"/>
  <c r="L37" i="14"/>
  <c r="L50" i="14"/>
  <c r="K65" i="14"/>
  <c r="L80" i="14"/>
  <c r="L98" i="14"/>
  <c r="L121" i="14"/>
  <c r="L136" i="14"/>
  <c r="L192" i="14"/>
  <c r="L199" i="14"/>
  <c r="B22" i="24" s="1"/>
  <c r="K17" i="14"/>
  <c r="L36" i="14"/>
  <c r="K49" i="14"/>
  <c r="L84" i="14"/>
  <c r="L164" i="14"/>
  <c r="N205" i="14"/>
  <c r="K9" i="14"/>
  <c r="L34" i="14"/>
  <c r="L49" i="14"/>
  <c r="K58" i="14"/>
  <c r="L60" i="14"/>
  <c r="K89" i="14"/>
  <c r="K203" i="14"/>
  <c r="K16" i="14"/>
  <c r="L21" i="14"/>
  <c r="L22" i="14"/>
  <c r="L41" i="14"/>
  <c r="L53" i="14"/>
  <c r="L65" i="14"/>
  <c r="L72" i="14"/>
  <c r="L76" i="14"/>
  <c r="L94" i="14"/>
  <c r="K105" i="14"/>
  <c r="L107" i="14"/>
  <c r="L112" i="14"/>
  <c r="L116" i="14"/>
  <c r="K121" i="14"/>
  <c r="L123" i="14"/>
  <c r="L128" i="14"/>
  <c r="L132" i="14"/>
  <c r="K137" i="14"/>
  <c r="L139" i="14"/>
  <c r="L144" i="14"/>
  <c r="L158" i="14"/>
  <c r="L172" i="14"/>
  <c r="O187" i="14"/>
  <c r="N206" i="14"/>
  <c r="K8" i="14"/>
  <c r="L13" i="14"/>
  <c r="L14" i="14"/>
  <c r="L16" i="14"/>
  <c r="K18" i="14"/>
  <c r="L20" i="14"/>
  <c r="K33" i="14"/>
  <c r="L35" i="14"/>
  <c r="L48" i="14"/>
  <c r="K50" i="14"/>
  <c r="L52" i="14"/>
  <c r="L70" i="14"/>
  <c r="K81" i="14"/>
  <c r="L83" i="14"/>
  <c r="L93" i="14"/>
  <c r="L157" i="14"/>
  <c r="L163" i="14"/>
  <c r="L168" i="14"/>
  <c r="M209" i="14"/>
  <c r="L28" i="14"/>
  <c r="L54" i="14"/>
  <c r="L100" i="14"/>
  <c r="L189" i="14"/>
  <c r="L193" i="14"/>
  <c r="L203" i="14"/>
  <c r="L5" i="14"/>
  <c r="L6" i="14"/>
  <c r="L8" i="14"/>
  <c r="K10" i="14"/>
  <c r="L12" i="14"/>
  <c r="L18" i="14"/>
  <c r="L45" i="14"/>
  <c r="L46" i="14"/>
  <c r="K57" i="14"/>
  <c r="L59" i="14"/>
  <c r="L69" i="14"/>
  <c r="L88" i="14"/>
  <c r="L92" i="14"/>
  <c r="L110" i="14"/>
  <c r="L126" i="14"/>
  <c r="L142" i="14"/>
  <c r="L156" i="14"/>
  <c r="L181" i="14"/>
  <c r="K185" i="14"/>
  <c r="L204" i="14"/>
  <c r="K26" i="14"/>
  <c r="L58" i="14"/>
  <c r="L148" i="14"/>
  <c r="L191" i="14"/>
  <c r="L195" i="14"/>
  <c r="K4" i="14"/>
  <c r="L10" i="14"/>
  <c r="K25" i="14"/>
  <c r="L27" i="14"/>
  <c r="L40" i="14"/>
  <c r="K42" i="14"/>
  <c r="L44" i="14"/>
  <c r="L57" i="14"/>
  <c r="L64" i="14"/>
  <c r="L68" i="14"/>
  <c r="K97" i="14"/>
  <c r="L99" i="14"/>
  <c r="L109" i="14"/>
  <c r="L125" i="14"/>
  <c r="L141" i="14"/>
  <c r="L147" i="14"/>
  <c r="L180" i="14"/>
  <c r="N207" i="14"/>
  <c r="K111" i="14"/>
  <c r="K119" i="14"/>
  <c r="K127" i="14"/>
  <c r="K135" i="14"/>
  <c r="K143" i="14"/>
  <c r="K151" i="14"/>
  <c r="K159" i="14"/>
  <c r="K167" i="14"/>
  <c r="K175" i="14"/>
  <c r="L184" i="14"/>
  <c r="L188" i="14"/>
  <c r="M203" i="14"/>
  <c r="N204" i="14"/>
  <c r="K209" i="14"/>
  <c r="L7" i="14"/>
  <c r="K12" i="14"/>
  <c r="L15" i="14"/>
  <c r="K20" i="14"/>
  <c r="L23" i="14"/>
  <c r="K28" i="14"/>
  <c r="L31" i="14"/>
  <c r="K36" i="14"/>
  <c r="L39" i="14"/>
  <c r="K44" i="14"/>
  <c r="L47" i="14"/>
  <c r="K52" i="14"/>
  <c r="L55" i="14"/>
  <c r="K60" i="14"/>
  <c r="L63" i="14"/>
  <c r="K68" i="14"/>
  <c r="L71" i="14"/>
  <c r="K76" i="14"/>
  <c r="L79" i="14"/>
  <c r="K84" i="14"/>
  <c r="L87" i="14"/>
  <c r="K92" i="14"/>
  <c r="L95" i="14"/>
  <c r="K100" i="14"/>
  <c r="L103" i="14"/>
  <c r="K108" i="14"/>
  <c r="L111" i="14"/>
  <c r="K116" i="14"/>
  <c r="L119" i="14"/>
  <c r="K124" i="14"/>
  <c r="L127" i="14"/>
  <c r="K132" i="14"/>
  <c r="L135" i="14"/>
  <c r="K140" i="14"/>
  <c r="L143" i="14"/>
  <c r="K148" i="14"/>
  <c r="L151" i="14"/>
  <c r="K156" i="14"/>
  <c r="L159" i="14"/>
  <c r="K164" i="14"/>
  <c r="L167" i="14"/>
  <c r="K172" i="14"/>
  <c r="L175" i="14"/>
  <c r="K180" i="14"/>
  <c r="K183" i="14"/>
  <c r="O184" i="14"/>
  <c r="K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N203" i="14"/>
  <c r="K208" i="14"/>
  <c r="L209" i="14"/>
  <c r="K145" i="14"/>
  <c r="K153" i="14"/>
  <c r="K161" i="14"/>
  <c r="K169" i="14"/>
  <c r="K177" i="14"/>
  <c r="L183" i="14"/>
  <c r="L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K207" i="14"/>
  <c r="L208" i="14"/>
  <c r="K6" i="14"/>
  <c r="K14" i="14"/>
  <c r="K22" i="14"/>
  <c r="K30" i="14"/>
  <c r="K38" i="14"/>
  <c r="K46" i="14"/>
  <c r="K54" i="14"/>
  <c r="K62" i="14"/>
  <c r="K70" i="14"/>
  <c r="K78" i="14"/>
  <c r="K86" i="14"/>
  <c r="K94" i="14"/>
  <c r="K102" i="14"/>
  <c r="K110" i="14"/>
  <c r="K118" i="14"/>
  <c r="K126" i="14"/>
  <c r="K134" i="14"/>
  <c r="K142" i="14"/>
  <c r="K150" i="14"/>
  <c r="K158" i="14"/>
  <c r="K166" i="14"/>
  <c r="K174" i="14"/>
  <c r="K182" i="14"/>
  <c r="K186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K206" i="14"/>
  <c r="L207" i="14"/>
  <c r="M208" i="14"/>
  <c r="N209" i="14"/>
  <c r="K11" i="14"/>
  <c r="K19" i="14"/>
  <c r="K27" i="14"/>
  <c r="K35" i="14"/>
  <c r="K43" i="14"/>
  <c r="K51" i="14"/>
  <c r="K59" i="14"/>
  <c r="K67" i="14"/>
  <c r="K75" i="14"/>
  <c r="K83" i="14"/>
  <c r="K91" i="14"/>
  <c r="K99" i="14"/>
  <c r="K107" i="14"/>
  <c r="K115" i="14"/>
  <c r="K123" i="14"/>
  <c r="K131" i="14"/>
  <c r="K139" i="14"/>
  <c r="K147" i="14"/>
  <c r="K155" i="14"/>
  <c r="K163" i="14"/>
  <c r="K171" i="14"/>
  <c r="K179" i="14"/>
  <c r="L182" i="14"/>
  <c r="L186" i="14"/>
  <c r="K205" i="14"/>
  <c r="L206" i="14"/>
  <c r="M207" i="14"/>
  <c r="N208" i="14"/>
  <c r="K24" i="14"/>
  <c r="K32" i="14"/>
  <c r="K40" i="14"/>
  <c r="K48" i="14"/>
  <c r="K56" i="14"/>
  <c r="K64" i="14"/>
  <c r="K72" i="14"/>
  <c r="K80" i="14"/>
  <c r="K88" i="14"/>
  <c r="K96" i="14"/>
  <c r="K104" i="14"/>
  <c r="K112" i="14"/>
  <c r="K120" i="14"/>
  <c r="K128" i="14"/>
  <c r="K136" i="14"/>
  <c r="K144" i="14"/>
  <c r="K152" i="14"/>
  <c r="K160" i="14"/>
  <c r="K168" i="14"/>
  <c r="K176" i="14"/>
  <c r="O182" i="14"/>
  <c r="K204" i="14"/>
  <c r="L205" i="14"/>
  <c r="M206" i="14"/>
  <c r="K53" i="14"/>
  <c r="L56" i="14"/>
  <c r="K61" i="14"/>
  <c r="K69" i="14"/>
  <c r="K77" i="14"/>
  <c r="K85" i="14"/>
  <c r="K93" i="14"/>
  <c r="K101" i="14"/>
  <c r="K109" i="14"/>
  <c r="K117" i="14"/>
  <c r="K125" i="14"/>
  <c r="K133" i="14"/>
  <c r="K141" i="14"/>
  <c r="K149" i="14"/>
  <c r="K157" i="14"/>
  <c r="K165" i="14"/>
  <c r="K173" i="14"/>
  <c r="K181" i="14"/>
  <c r="M205" i="14"/>
  <c r="K66" i="14"/>
  <c r="K74" i="14"/>
  <c r="K82" i="14"/>
  <c r="K90" i="14"/>
  <c r="K98" i="14"/>
  <c r="K106" i="14"/>
  <c r="K114" i="14"/>
  <c r="K122" i="14"/>
  <c r="K130" i="14"/>
  <c r="K138" i="14"/>
  <c r="K146" i="14"/>
  <c r="K154" i="14"/>
  <c r="K162" i="14"/>
  <c r="K170" i="14"/>
  <c r="K178" i="14"/>
  <c r="K184" i="14"/>
  <c r="O185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Z221" i="13"/>
  <c r="Z216" i="13"/>
  <c r="Z218" i="13" s="1"/>
  <c r="AC14" i="11" l="1"/>
  <c r="AC12" i="11"/>
  <c r="M184" i="1"/>
  <c r="O177" i="1"/>
  <c r="W125" i="1"/>
  <c r="R20" i="1"/>
  <c r="K189" i="1"/>
  <c r="AF150" i="1"/>
  <c r="V73" i="1"/>
  <c r="AD15" i="11"/>
  <c r="AD13" i="11"/>
  <c r="AD11" i="11"/>
  <c r="AD7" i="11"/>
  <c r="AD5" i="11"/>
  <c r="AD3" i="11"/>
  <c r="P87" i="11"/>
  <c r="AD16" i="11" s="1"/>
  <c r="P128" i="11"/>
  <c r="B43" i="11"/>
  <c r="AD14" i="11"/>
  <c r="AD12" i="11"/>
  <c r="AD10" i="11"/>
  <c r="AD8" i="11"/>
  <c r="AD6" i="11"/>
  <c r="AD4" i="11"/>
  <c r="AD9" i="11"/>
  <c r="N177" i="1"/>
  <c r="N178" i="1" s="1"/>
  <c r="K183" i="1"/>
  <c r="Q174" i="1"/>
  <c r="R174" i="1"/>
  <c r="Y162" i="1"/>
  <c r="X151" i="1"/>
  <c r="R122" i="1"/>
  <c r="S170" i="1"/>
  <c r="Y151" i="1"/>
  <c r="AA150" i="1"/>
  <c r="AG162" i="1"/>
  <c r="S165" i="1"/>
  <c r="AF70" i="1"/>
  <c r="W6" i="1"/>
  <c r="AA89" i="1"/>
  <c r="V28" i="1"/>
  <c r="V30" i="1"/>
  <c r="Y155" i="1"/>
  <c r="X174" i="1"/>
  <c r="Y174" i="1"/>
  <c r="T164" i="1"/>
  <c r="T174" i="1"/>
  <c r="S174" i="1"/>
  <c r="T151" i="1"/>
  <c r="AA55" i="1"/>
  <c r="R66" i="1"/>
  <c r="L177" i="1"/>
  <c r="M177" i="1"/>
  <c r="T147" i="1"/>
  <c r="V20" i="1"/>
  <c r="R75" i="1"/>
  <c r="P102" i="11"/>
  <c r="P85" i="11"/>
  <c r="AA13" i="11"/>
  <c r="AC8" i="11"/>
  <c r="P61" i="11"/>
  <c r="P110" i="11"/>
  <c r="P57" i="11"/>
  <c r="P62" i="11"/>
  <c r="P82" i="11"/>
  <c r="Y16" i="11" s="1"/>
  <c r="B47" i="11"/>
  <c r="Z6" i="11"/>
  <c r="Z7" i="11"/>
  <c r="Z5" i="11"/>
  <c r="Z12" i="11"/>
  <c r="AC11" i="11"/>
  <c r="AA11" i="11"/>
  <c r="Z3" i="11"/>
  <c r="AC7" i="11"/>
  <c r="AC5" i="11"/>
  <c r="P93" i="11"/>
  <c r="AA6" i="11"/>
  <c r="AA7" i="11"/>
  <c r="AA5" i="11"/>
  <c r="P125" i="11"/>
  <c r="AE33" i="11" s="1"/>
  <c r="M44" i="11"/>
  <c r="AA14" i="11"/>
  <c r="AB12" i="11"/>
  <c r="AB3" i="11"/>
  <c r="Z11" i="11"/>
  <c r="AC15" i="11"/>
  <c r="AC6" i="11"/>
  <c r="N44" i="11"/>
  <c r="AA15" i="11"/>
  <c r="AC13" i="11"/>
  <c r="Z10" i="11"/>
  <c r="AA9" i="11"/>
  <c r="AB4" i="11"/>
  <c r="P127" i="11"/>
  <c r="P104" i="11"/>
  <c r="P98" i="11"/>
  <c r="P95" i="11"/>
  <c r="P123" i="11"/>
  <c r="AC33" i="11" s="1"/>
  <c r="P112" i="11"/>
  <c r="T33" i="11" s="1"/>
  <c r="P103" i="11"/>
  <c r="P60" i="11"/>
  <c r="C47" i="11"/>
  <c r="P83" i="11"/>
  <c r="Z16" i="11" s="1"/>
  <c r="P105" i="11"/>
  <c r="P84" i="11"/>
  <c r="AA16" i="11" s="1"/>
  <c r="P126" i="11"/>
  <c r="AA8" i="11"/>
  <c r="X13" i="11"/>
  <c r="AC3" i="11"/>
  <c r="AA10" i="11"/>
  <c r="P52" i="11"/>
  <c r="F43" i="11"/>
  <c r="AB14" i="11"/>
  <c r="Z4" i="11"/>
  <c r="X14" i="11"/>
  <c r="AB13" i="11"/>
  <c r="Y4" i="11"/>
  <c r="AB6" i="11"/>
  <c r="Y6" i="11"/>
  <c r="AB7" i="11"/>
  <c r="X6" i="11"/>
  <c r="AB5" i="11"/>
  <c r="Z13" i="11"/>
  <c r="Z8" i="11"/>
  <c r="AB8" i="11"/>
  <c r="P122" i="11"/>
  <c r="AB33" i="11" s="1"/>
  <c r="AB9" i="11"/>
  <c r="X5" i="11"/>
  <c r="P54" i="11"/>
  <c r="P96" i="11"/>
  <c r="Y3" i="11"/>
  <c r="AA12" i="11"/>
  <c r="X3" i="11"/>
  <c r="Y14" i="11"/>
  <c r="AB15" i="11"/>
  <c r="AA3" i="11"/>
  <c r="Z14" i="11"/>
  <c r="AC4" i="11"/>
  <c r="Y15" i="11"/>
  <c r="AB11" i="11"/>
  <c r="Z15" i="11"/>
  <c r="AA4" i="11"/>
  <c r="Y13" i="11"/>
  <c r="P59" i="11"/>
  <c r="Y8" i="11"/>
  <c r="P86" i="11"/>
  <c r="AC16" i="11" s="1"/>
  <c r="AB16" i="11"/>
  <c r="X12" i="11"/>
  <c r="P124" i="11"/>
  <c r="AD33" i="11" s="1"/>
  <c r="P63" i="11"/>
  <c r="AA217" i="13"/>
  <c r="AB217" i="13"/>
  <c r="L43" i="11"/>
  <c r="F47" i="11"/>
  <c r="M48" i="11"/>
  <c r="P55" i="11"/>
  <c r="M43" i="11"/>
  <c r="N47" i="11"/>
  <c r="N43" i="11"/>
  <c r="D47" i="11"/>
  <c r="O43" i="11"/>
  <c r="E43" i="11"/>
  <c r="J43" i="11"/>
  <c r="K48" i="11"/>
  <c r="I43" i="11"/>
  <c r="O47" i="11"/>
  <c r="P48" i="11"/>
  <c r="H47" i="11"/>
  <c r="E48" i="11"/>
  <c r="J48" i="11"/>
  <c r="J47" i="11"/>
  <c r="L47" i="11"/>
  <c r="G47" i="11"/>
  <c r="K47" i="11"/>
  <c r="I48" i="11"/>
  <c r="D43" i="11"/>
  <c r="I47" i="11"/>
  <c r="L48" i="11"/>
  <c r="AC10" i="11"/>
  <c r="P43" i="11"/>
  <c r="P56" i="11"/>
  <c r="P53" i="11"/>
  <c r="O48" i="11"/>
  <c r="K43" i="11"/>
  <c r="D48" i="11"/>
  <c r="C48" i="11"/>
  <c r="F48" i="11"/>
  <c r="E47" i="11"/>
  <c r="G48" i="11"/>
  <c r="H48" i="11"/>
  <c r="Z9" i="11"/>
  <c r="X7" i="11"/>
  <c r="P97" i="11"/>
  <c r="P94" i="11"/>
  <c r="AC9" i="11"/>
  <c r="N48" i="11"/>
  <c r="C43" i="11"/>
  <c r="B48" i="11"/>
  <c r="M47" i="11"/>
  <c r="AB10" i="11"/>
  <c r="G43" i="11"/>
  <c r="H43" i="11"/>
  <c r="P119" i="11"/>
  <c r="AA33" i="11" s="1"/>
  <c r="P78" i="11"/>
  <c r="U16" i="11" s="1"/>
  <c r="P113" i="11"/>
  <c r="U33" i="11" s="1"/>
  <c r="P72" i="11"/>
  <c r="P120" i="11"/>
  <c r="P79" i="11"/>
  <c r="V16" i="11" s="1"/>
  <c r="P71" i="11"/>
  <c r="P81" i="11"/>
  <c r="X16" i="11" s="1"/>
  <c r="P108" i="11"/>
  <c r="P67" i="11"/>
  <c r="P115" i="11"/>
  <c r="W33" i="11" s="1"/>
  <c r="P74" i="11"/>
  <c r="P118" i="11"/>
  <c r="Z33" i="11" s="1"/>
  <c r="P77" i="11"/>
  <c r="T16" i="11" s="1"/>
  <c r="P75" i="11"/>
  <c r="P47" i="11"/>
  <c r="T22" i="11"/>
  <c r="T23" i="11"/>
  <c r="P109" i="11"/>
  <c r="P68" i="11"/>
  <c r="P107" i="11"/>
  <c r="P66" i="11"/>
  <c r="P99" i="11"/>
  <c r="P58" i="11"/>
  <c r="P121" i="11"/>
  <c r="P80" i="11"/>
  <c r="W16" i="11" s="1"/>
  <c r="P117" i="11"/>
  <c r="Y33" i="11" s="1"/>
  <c r="P76" i="11"/>
  <c r="S16" i="11" s="1"/>
  <c r="P111" i="11"/>
  <c r="S33" i="11" s="1"/>
  <c r="P70" i="11"/>
  <c r="P106" i="11"/>
  <c r="P65" i="11"/>
  <c r="P116" i="11"/>
  <c r="X33" i="11" s="1"/>
  <c r="P114" i="11"/>
  <c r="V33" i="11" s="1"/>
  <c r="P73" i="11"/>
  <c r="P100" i="11"/>
  <c r="P69" i="11"/>
  <c r="AA165" i="1"/>
  <c r="V120" i="1"/>
  <c r="X163" i="1"/>
  <c r="L180" i="1"/>
  <c r="L188" i="1"/>
  <c r="R147" i="1"/>
  <c r="S164" i="1"/>
  <c r="S167" i="1"/>
  <c r="W49" i="1"/>
  <c r="AF168" i="1"/>
  <c r="X165" i="1"/>
  <c r="AF146" i="1"/>
  <c r="E238" i="1"/>
  <c r="X173" i="1"/>
  <c r="O180" i="1"/>
  <c r="V36" i="1"/>
  <c r="R57" i="1"/>
  <c r="R36" i="1"/>
  <c r="V41" i="1"/>
  <c r="X159" i="1"/>
  <c r="O196" i="1"/>
  <c r="AB173" i="1"/>
  <c r="S168" i="1"/>
  <c r="X155" i="1"/>
  <c r="Y165" i="1"/>
  <c r="AG146" i="1"/>
  <c r="V17" i="1"/>
  <c r="AB148" i="1"/>
  <c r="X158" i="1"/>
  <c r="W162" i="1"/>
  <c r="E239" i="1"/>
  <c r="N179" i="1"/>
  <c r="AH164" i="1"/>
  <c r="AI164" i="1"/>
  <c r="AH146" i="1"/>
  <c r="AH158" i="1"/>
  <c r="AH168" i="1"/>
  <c r="AH173" i="1"/>
  <c r="AH157" i="1"/>
  <c r="AH150" i="1"/>
  <c r="AH163" i="1"/>
  <c r="AI163" i="1"/>
  <c r="AI172" i="1"/>
  <c r="AI156" i="1"/>
  <c r="AI162" i="1"/>
  <c r="AI150" i="1"/>
  <c r="AH156" i="1"/>
  <c r="AI151" i="1"/>
  <c r="AI155" i="1"/>
  <c r="AI146" i="1"/>
  <c r="AH151" i="1"/>
  <c r="AI158" i="1"/>
  <c r="AI168" i="1"/>
  <c r="AH162" i="1"/>
  <c r="AI173" i="1"/>
  <c r="O178" i="1"/>
  <c r="O179" i="1"/>
  <c r="O200" i="1"/>
  <c r="O201" i="1"/>
  <c r="E243" i="1"/>
  <c r="T172" i="1"/>
  <c r="Q172" i="1"/>
  <c r="R172" i="1"/>
  <c r="S172" i="1"/>
  <c r="T158" i="1"/>
  <c r="E229" i="1"/>
  <c r="S158" i="1"/>
  <c r="R158" i="1"/>
  <c r="Q158" i="1"/>
  <c r="X153" i="1"/>
  <c r="W153" i="1"/>
  <c r="V153" i="1"/>
  <c r="L191" i="1"/>
  <c r="L198" i="1" s="1"/>
  <c r="Y153" i="1"/>
  <c r="N195" i="1"/>
  <c r="N202" i="1" s="1"/>
  <c r="AG165" i="1"/>
  <c r="AH165" i="1"/>
  <c r="AF165" i="1"/>
  <c r="AI165" i="1"/>
  <c r="Y154" i="1"/>
  <c r="W154" i="1"/>
  <c r="V154" i="1"/>
  <c r="X154" i="1"/>
  <c r="W164" i="1"/>
  <c r="Y164" i="1"/>
  <c r="X164" i="1"/>
  <c r="V164" i="1"/>
  <c r="M192" i="1"/>
  <c r="M199" i="1" s="1"/>
  <c r="AB156" i="1"/>
  <c r="AC156" i="1"/>
  <c r="AA156" i="1"/>
  <c r="AD156" i="1"/>
  <c r="R83" i="1"/>
  <c r="Q83" i="1"/>
  <c r="R77" i="1"/>
  <c r="Q77" i="1"/>
  <c r="AI171" i="1"/>
  <c r="AH171" i="1"/>
  <c r="AG171" i="1"/>
  <c r="AF171" i="1"/>
  <c r="X160" i="1"/>
  <c r="W160" i="1"/>
  <c r="V160" i="1"/>
  <c r="Y160" i="1"/>
  <c r="R125" i="1"/>
  <c r="Q125" i="1"/>
  <c r="AF147" i="1"/>
  <c r="N189" i="1"/>
  <c r="N196" i="1" s="1"/>
  <c r="AI147" i="1"/>
  <c r="AH147" i="1"/>
  <c r="AG147" i="1"/>
  <c r="K182" i="1"/>
  <c r="T143" i="1"/>
  <c r="AB87" i="1"/>
  <c r="AA87" i="1"/>
  <c r="W126" i="1"/>
  <c r="V126" i="1"/>
  <c r="W127" i="1"/>
  <c r="V93" i="1"/>
  <c r="V70" i="1"/>
  <c r="W70" i="1"/>
  <c r="R10" i="1"/>
  <c r="Q10" i="1"/>
  <c r="R89" i="1"/>
  <c r="Q89" i="1"/>
  <c r="R22" i="1"/>
  <c r="Q22" i="1"/>
  <c r="V19" i="1"/>
  <c r="W19" i="1"/>
  <c r="W59" i="1"/>
  <c r="V59" i="1"/>
  <c r="V60" i="1"/>
  <c r="R78" i="1"/>
  <c r="Y143" i="1"/>
  <c r="W144" i="1"/>
  <c r="X143" i="1"/>
  <c r="W143" i="1"/>
  <c r="V143" i="1"/>
  <c r="AG180" i="1"/>
  <c r="AF169" i="1"/>
  <c r="AI180" i="1"/>
  <c r="AH180" i="1"/>
  <c r="AF180" i="1"/>
  <c r="AG169" i="1"/>
  <c r="AI169" i="1"/>
  <c r="AH169" i="1"/>
  <c r="Q69" i="1"/>
  <c r="R69" i="1"/>
  <c r="Q58" i="1"/>
  <c r="R58" i="1"/>
  <c r="K190" i="1"/>
  <c r="K197" i="1" s="1"/>
  <c r="Q150" i="1"/>
  <c r="E221" i="1"/>
  <c r="T150" i="1"/>
  <c r="S150" i="1"/>
  <c r="R150" i="1"/>
  <c r="AA152" i="1"/>
  <c r="AB152" i="1"/>
  <c r="AD152" i="1"/>
  <c r="AC152" i="1"/>
  <c r="R139" i="1"/>
  <c r="Q139" i="1"/>
  <c r="R123" i="1"/>
  <c r="Q123" i="1"/>
  <c r="AA158" i="1"/>
  <c r="V165" i="1"/>
  <c r="O197" i="1"/>
  <c r="W141" i="1"/>
  <c r="R91" i="1"/>
  <c r="Q91" i="1"/>
  <c r="R82" i="1"/>
  <c r="Q82" i="1"/>
  <c r="AB136" i="1"/>
  <c r="AA136" i="1"/>
  <c r="AB137" i="1"/>
  <c r="R85" i="1"/>
  <c r="Q85" i="1"/>
  <c r="V173" i="1"/>
  <c r="Q173" i="1"/>
  <c r="T173" i="1"/>
  <c r="S173" i="1"/>
  <c r="R173" i="1"/>
  <c r="AB168" i="1"/>
  <c r="AD168" i="1"/>
  <c r="AC168" i="1"/>
  <c r="AA168" i="1"/>
  <c r="AA169" i="1"/>
  <c r="E234" i="1"/>
  <c r="S163" i="1"/>
  <c r="Q163" i="1"/>
  <c r="T163" i="1"/>
  <c r="R163" i="1"/>
  <c r="E227" i="1"/>
  <c r="K192" i="1"/>
  <c r="Q156" i="1"/>
  <c r="T156" i="1"/>
  <c r="S156" i="1"/>
  <c r="R156" i="1"/>
  <c r="AH152" i="1"/>
  <c r="AI152" i="1"/>
  <c r="AG152" i="1"/>
  <c r="AF152" i="1"/>
  <c r="AI170" i="1"/>
  <c r="AH170" i="1"/>
  <c r="AG170" i="1"/>
  <c r="AF170" i="1"/>
  <c r="AC170" i="1"/>
  <c r="AD170" i="1"/>
  <c r="AB170" i="1"/>
  <c r="AA170" i="1"/>
  <c r="AI160" i="1"/>
  <c r="AH160" i="1"/>
  <c r="AG160" i="1"/>
  <c r="AF160" i="1"/>
  <c r="K188" i="1"/>
  <c r="K196" i="1" s="1"/>
  <c r="Q144" i="1"/>
  <c r="T144" i="1"/>
  <c r="S144" i="1"/>
  <c r="R144" i="1"/>
  <c r="T166" i="1"/>
  <c r="T168" i="1"/>
  <c r="V155" i="1"/>
  <c r="W131" i="1"/>
  <c r="V131" i="1"/>
  <c r="AF161" i="1"/>
  <c r="AI161" i="1"/>
  <c r="AH161" i="1"/>
  <c r="AG161" i="1"/>
  <c r="R164" i="1"/>
  <c r="Q127" i="1"/>
  <c r="R127" i="1"/>
  <c r="R128" i="1"/>
  <c r="Q128" i="1"/>
  <c r="R116" i="1"/>
  <c r="Q116" i="1"/>
  <c r="T167" i="1"/>
  <c r="Q112" i="1"/>
  <c r="R112" i="1"/>
  <c r="W173" i="1"/>
  <c r="R117" i="1"/>
  <c r="Q117" i="1"/>
  <c r="Q99" i="1"/>
  <c r="R99" i="1"/>
  <c r="W76" i="1"/>
  <c r="V76" i="1"/>
  <c r="V77" i="1"/>
  <c r="W62" i="1"/>
  <c r="V62" i="1"/>
  <c r="K184" i="1"/>
  <c r="R143" i="1"/>
  <c r="R49" i="1"/>
  <c r="Q49" i="1"/>
  <c r="Q50" i="1"/>
  <c r="R17" i="1"/>
  <c r="Q17" i="1"/>
  <c r="T171" i="1"/>
  <c r="Q84" i="1"/>
  <c r="R126" i="1"/>
  <c r="Q126" i="1"/>
  <c r="R26" i="1"/>
  <c r="Q26" i="1"/>
  <c r="V71" i="1"/>
  <c r="W71" i="1"/>
  <c r="W24" i="1"/>
  <c r="V24" i="1"/>
  <c r="R59" i="1"/>
  <c r="V79" i="1"/>
  <c r="W79" i="1"/>
  <c r="S171" i="1"/>
  <c r="R84" i="1"/>
  <c r="V78" i="1"/>
  <c r="W78" i="1"/>
  <c r="V110" i="1"/>
  <c r="W110" i="1"/>
  <c r="W111" i="1"/>
  <c r="V111" i="1"/>
  <c r="R42" i="1"/>
  <c r="Q42" i="1"/>
  <c r="W5" i="1"/>
  <c r="V5" i="1"/>
  <c r="R40" i="1"/>
  <c r="Q40" i="1"/>
  <c r="R119" i="1"/>
  <c r="Q119" i="1"/>
  <c r="R19" i="1"/>
  <c r="Q19" i="1"/>
  <c r="Q59" i="1"/>
  <c r="W72" i="1"/>
  <c r="V72" i="1"/>
  <c r="AB46" i="1"/>
  <c r="AA46" i="1"/>
  <c r="Q38" i="1"/>
  <c r="Y170" i="1"/>
  <c r="V170" i="1"/>
  <c r="W170" i="1"/>
  <c r="X170" i="1"/>
  <c r="E240" i="1"/>
  <c r="T180" i="1"/>
  <c r="F6" i="24" s="1"/>
  <c r="T169" i="1"/>
  <c r="S180" i="1"/>
  <c r="F5" i="24" s="1"/>
  <c r="Q180" i="1"/>
  <c r="F7" i="24" s="1"/>
  <c r="S169" i="1"/>
  <c r="R169" i="1"/>
  <c r="Q169" i="1"/>
  <c r="R180" i="1"/>
  <c r="F4" i="24" s="1"/>
  <c r="AA157" i="1"/>
  <c r="AD157" i="1"/>
  <c r="AC157" i="1"/>
  <c r="AB157" i="1"/>
  <c r="R141" i="1"/>
  <c r="Q141" i="1"/>
  <c r="W155" i="1"/>
  <c r="E220" i="1"/>
  <c r="T149" i="1"/>
  <c r="S149" i="1"/>
  <c r="R149" i="1"/>
  <c r="Q149" i="1"/>
  <c r="K194" i="1"/>
  <c r="T162" i="1"/>
  <c r="E233" i="1"/>
  <c r="S162" i="1"/>
  <c r="R162" i="1"/>
  <c r="Q162" i="1"/>
  <c r="AG149" i="1"/>
  <c r="AI149" i="1"/>
  <c r="AH149" i="1"/>
  <c r="AF149" i="1"/>
  <c r="AH167" i="1"/>
  <c r="AG167" i="1"/>
  <c r="AF167" i="1"/>
  <c r="AI167" i="1"/>
  <c r="AA167" i="1"/>
  <c r="AD167" i="1"/>
  <c r="AC167" i="1"/>
  <c r="AB167" i="1"/>
  <c r="E217" i="1"/>
  <c r="T146" i="1"/>
  <c r="S146" i="1"/>
  <c r="R146" i="1"/>
  <c r="Q146" i="1"/>
  <c r="AC171" i="1"/>
  <c r="AD171" i="1"/>
  <c r="AB171" i="1"/>
  <c r="AA171" i="1"/>
  <c r="AA180" i="1"/>
  <c r="AA153" i="1"/>
  <c r="N191" i="1"/>
  <c r="N198" i="1" s="1"/>
  <c r="AI153" i="1"/>
  <c r="AH153" i="1"/>
  <c r="AG153" i="1"/>
  <c r="AF153" i="1"/>
  <c r="V144" i="1"/>
  <c r="X168" i="1"/>
  <c r="V168" i="1"/>
  <c r="Y168" i="1"/>
  <c r="W168" i="1"/>
  <c r="AA147" i="1"/>
  <c r="AD147" i="1"/>
  <c r="AC147" i="1"/>
  <c r="M189" i="1"/>
  <c r="M196" i="1" s="1"/>
  <c r="AB147" i="1"/>
  <c r="T165" i="1"/>
  <c r="L189" i="1"/>
  <c r="V147" i="1"/>
  <c r="W148" i="1"/>
  <c r="Y147" i="1"/>
  <c r="X147" i="1"/>
  <c r="W147" i="1"/>
  <c r="Q133" i="1"/>
  <c r="R133" i="1"/>
  <c r="T170" i="1"/>
  <c r="E218" i="1"/>
  <c r="V118" i="1"/>
  <c r="W118" i="1"/>
  <c r="W165" i="1"/>
  <c r="Y142" i="1"/>
  <c r="X166" i="1"/>
  <c r="W142" i="1"/>
  <c r="X162" i="1"/>
  <c r="Y158" i="1"/>
  <c r="V142" i="1"/>
  <c r="Y148" i="1"/>
  <c r="Y144" i="1"/>
  <c r="Y150" i="1"/>
  <c r="X148" i="1"/>
  <c r="X144" i="1"/>
  <c r="X142" i="1"/>
  <c r="Y157" i="1"/>
  <c r="Y159" i="1"/>
  <c r="X150" i="1"/>
  <c r="Y166" i="1"/>
  <c r="AC159" i="1"/>
  <c r="M193" i="1"/>
  <c r="AD159" i="1"/>
  <c r="AB159" i="1"/>
  <c r="AA159" i="1"/>
  <c r="V103" i="1"/>
  <c r="R130" i="1"/>
  <c r="Q130" i="1"/>
  <c r="R132" i="1"/>
  <c r="Q132" i="1"/>
  <c r="V100" i="1"/>
  <c r="W100" i="1"/>
  <c r="V101" i="1"/>
  <c r="Q73" i="1"/>
  <c r="R73" i="1"/>
  <c r="V63" i="1"/>
  <c r="W63" i="1"/>
  <c r="W64" i="1"/>
  <c r="V64" i="1"/>
  <c r="R41" i="1"/>
  <c r="Q41" i="1"/>
  <c r="R9" i="1"/>
  <c r="Q9" i="1"/>
  <c r="Q64" i="1"/>
  <c r="R64" i="1"/>
  <c r="R97" i="1"/>
  <c r="Q97" i="1"/>
  <c r="AB88" i="1"/>
  <c r="AA88" i="1"/>
  <c r="W21" i="1"/>
  <c r="V21" i="1"/>
  <c r="V56" i="1"/>
  <c r="W57" i="1"/>
  <c r="W56" i="1"/>
  <c r="V25" i="1"/>
  <c r="V22" i="1"/>
  <c r="AG69" i="1"/>
  <c r="AF69" i="1"/>
  <c r="Q11" i="1"/>
  <c r="Q110" i="1"/>
  <c r="AB58" i="1"/>
  <c r="AA58" i="1"/>
  <c r="T148" i="1"/>
  <c r="E219" i="1"/>
  <c r="S148" i="1"/>
  <c r="Q148" i="1"/>
  <c r="R148" i="1"/>
  <c r="AH166" i="1"/>
  <c r="AG166" i="1"/>
  <c r="AF166" i="1"/>
  <c r="AI166" i="1"/>
  <c r="R160" i="1"/>
  <c r="E231" i="1"/>
  <c r="T160" i="1"/>
  <c r="S160" i="1"/>
  <c r="Q160" i="1"/>
  <c r="W146" i="1"/>
  <c r="X146" i="1"/>
  <c r="V146" i="1"/>
  <c r="Y146" i="1"/>
  <c r="E225" i="1"/>
  <c r="T154" i="1"/>
  <c r="S154" i="1"/>
  <c r="R154" i="1"/>
  <c r="Q154" i="1"/>
  <c r="O198" i="1"/>
  <c r="Q151" i="1"/>
  <c r="O199" i="1"/>
  <c r="R170" i="1"/>
  <c r="AD149" i="1"/>
  <c r="AC149" i="1"/>
  <c r="AB149" i="1"/>
  <c r="AA149" i="1"/>
  <c r="AF129" i="1"/>
  <c r="AG129" i="1"/>
  <c r="Q121" i="1"/>
  <c r="R121" i="1"/>
  <c r="R101" i="1"/>
  <c r="Q101" i="1"/>
  <c r="R102" i="1"/>
  <c r="AI154" i="1"/>
  <c r="AH154" i="1"/>
  <c r="AG154" i="1"/>
  <c r="AF154" i="1"/>
  <c r="Q87" i="1"/>
  <c r="R87" i="1"/>
  <c r="R105" i="1"/>
  <c r="Q105" i="1"/>
  <c r="V92" i="1"/>
  <c r="W92" i="1"/>
  <c r="W101" i="1"/>
  <c r="Q118" i="1"/>
  <c r="L183" i="1"/>
  <c r="L184" i="1"/>
  <c r="Q102" i="1"/>
  <c r="W40" i="1"/>
  <c r="V40" i="1"/>
  <c r="Y156" i="1"/>
  <c r="R115" i="1"/>
  <c r="Q115" i="1"/>
  <c r="AB76" i="1"/>
  <c r="AA76" i="1"/>
  <c r="W67" i="1"/>
  <c r="V68" i="1"/>
  <c r="V67" i="1"/>
  <c r="N186" i="1"/>
  <c r="N185" i="1"/>
  <c r="AH145" i="1"/>
  <c r="AF145" i="1"/>
  <c r="AG145" i="1"/>
  <c r="Q100" i="1"/>
  <c r="Q45" i="1"/>
  <c r="R45" i="1"/>
  <c r="Q106" i="1"/>
  <c r="R35" i="1"/>
  <c r="Q35" i="1"/>
  <c r="W25" i="1"/>
  <c r="W22" i="1"/>
  <c r="V27" i="1"/>
  <c r="W27" i="1"/>
  <c r="W119" i="1"/>
  <c r="V119" i="1"/>
  <c r="W44" i="1"/>
  <c r="W16" i="1"/>
  <c r="V16" i="1"/>
  <c r="AB54" i="1"/>
  <c r="AA54" i="1"/>
  <c r="R11" i="1"/>
  <c r="Q43" i="1"/>
  <c r="R140" i="1"/>
  <c r="Q140" i="1"/>
  <c r="W172" i="1"/>
  <c r="X172" i="1"/>
  <c r="V172" i="1"/>
  <c r="Y172" i="1"/>
  <c r="E230" i="1"/>
  <c r="R159" i="1"/>
  <c r="K193" i="1"/>
  <c r="T159" i="1"/>
  <c r="S159" i="1"/>
  <c r="Q159" i="1"/>
  <c r="M194" i="1"/>
  <c r="AD162" i="1"/>
  <c r="AA162" i="1"/>
  <c r="AC162" i="1"/>
  <c r="AB162" i="1"/>
  <c r="Y149" i="1"/>
  <c r="X149" i="1"/>
  <c r="W149" i="1"/>
  <c r="V149" i="1"/>
  <c r="W150" i="1"/>
  <c r="W140" i="1"/>
  <c r="V140" i="1"/>
  <c r="Y171" i="1"/>
  <c r="X171" i="1"/>
  <c r="W171" i="1"/>
  <c r="V171" i="1"/>
  <c r="AB160" i="1"/>
  <c r="AA160" i="1"/>
  <c r="AD160" i="1"/>
  <c r="AC160" i="1"/>
  <c r="AB161" i="1"/>
  <c r="AA161" i="1"/>
  <c r="R134" i="1"/>
  <c r="Q134" i="1"/>
  <c r="R109" i="1"/>
  <c r="Q109" i="1"/>
  <c r="S142" i="1"/>
  <c r="Q142" i="1"/>
  <c r="T142" i="1"/>
  <c r="R142" i="1"/>
  <c r="R120" i="1"/>
  <c r="Q120" i="1"/>
  <c r="W132" i="1"/>
  <c r="V132" i="1"/>
  <c r="W133" i="1"/>
  <c r="R108" i="1"/>
  <c r="Q108" i="1"/>
  <c r="V84" i="1"/>
  <c r="W84" i="1"/>
  <c r="W85" i="1"/>
  <c r="R136" i="1"/>
  <c r="Q136" i="1"/>
  <c r="R95" i="1"/>
  <c r="Q95" i="1"/>
  <c r="Q96" i="1"/>
  <c r="W102" i="1"/>
  <c r="V102" i="1"/>
  <c r="B17" i="24"/>
  <c r="AD172" i="1"/>
  <c r="AC172" i="1"/>
  <c r="AB172" i="1"/>
  <c r="AA172" i="1"/>
  <c r="E232" i="1"/>
  <c r="T161" i="1"/>
  <c r="S161" i="1"/>
  <c r="R161" i="1"/>
  <c r="Q161" i="1"/>
  <c r="AG172" i="1"/>
  <c r="L186" i="1"/>
  <c r="L185" i="1"/>
  <c r="Y145" i="1"/>
  <c r="W145" i="1"/>
  <c r="V145" i="1"/>
  <c r="X145" i="1"/>
  <c r="E216" i="1"/>
  <c r="K185" i="1"/>
  <c r="K186" i="1"/>
  <c r="T145" i="1"/>
  <c r="S145" i="1"/>
  <c r="Q145" i="1"/>
  <c r="R145" i="1"/>
  <c r="X167" i="1"/>
  <c r="W167" i="1"/>
  <c r="V167" i="1"/>
  <c r="Y167" i="1"/>
  <c r="AF148" i="1"/>
  <c r="AH148" i="1"/>
  <c r="AG148" i="1"/>
  <c r="AI148" i="1"/>
  <c r="W180" i="1"/>
  <c r="V169" i="1"/>
  <c r="Y180" i="1"/>
  <c r="X180" i="1"/>
  <c r="V180" i="1"/>
  <c r="W169" i="1"/>
  <c r="Y169" i="1"/>
  <c r="X169" i="1"/>
  <c r="AB180" i="1"/>
  <c r="E237" i="1"/>
  <c r="E223" i="1"/>
  <c r="S152" i="1"/>
  <c r="R152" i="1"/>
  <c r="Q152" i="1"/>
  <c r="T152" i="1"/>
  <c r="R151" i="1"/>
  <c r="E236" i="1"/>
  <c r="E241" i="1"/>
  <c r="W107" i="1"/>
  <c r="V107" i="1"/>
  <c r="W108" i="1"/>
  <c r="V108" i="1"/>
  <c r="Q137" i="1"/>
  <c r="R137" i="1"/>
  <c r="K202" i="1"/>
  <c r="AA163" i="1"/>
  <c r="Y163" i="1"/>
  <c r="R118" i="1"/>
  <c r="Q94" i="1"/>
  <c r="R94" i="1"/>
  <c r="M180" i="1"/>
  <c r="R33" i="1"/>
  <c r="Q33" i="1"/>
  <c r="Q92" i="1"/>
  <c r="R56" i="1"/>
  <c r="Q56" i="1"/>
  <c r="Q86" i="1"/>
  <c r="R86" i="1"/>
  <c r="W53" i="1"/>
  <c r="V53" i="1"/>
  <c r="R34" i="1"/>
  <c r="Q34" i="1"/>
  <c r="R18" i="1"/>
  <c r="Q18" i="1"/>
  <c r="R100" i="1"/>
  <c r="Q37" i="1"/>
  <c r="R37" i="1"/>
  <c r="R106" i="1"/>
  <c r="W54" i="1"/>
  <c r="Q27" i="1"/>
  <c r="AG74" i="1"/>
  <c r="AG73" i="1"/>
  <c r="AF73" i="1"/>
  <c r="AA14" i="1"/>
  <c r="AB14" i="1"/>
  <c r="V8" i="1"/>
  <c r="W8" i="1"/>
  <c r="V51" i="1"/>
  <c r="W51" i="1"/>
  <c r="R43" i="1"/>
  <c r="R23" i="1"/>
  <c r="S143" i="1"/>
  <c r="R96" i="1"/>
  <c r="R48" i="1"/>
  <c r="Q48" i="1"/>
  <c r="X156" i="1"/>
  <c r="Q90" i="1"/>
  <c r="W80" i="1"/>
  <c r="V80" i="1"/>
  <c r="Q70" i="1"/>
  <c r="R70" i="1"/>
  <c r="R92" i="1"/>
  <c r="AB120" i="1"/>
  <c r="AA120" i="1"/>
  <c r="AA121" i="1"/>
  <c r="AB121" i="1"/>
  <c r="Q13" i="1"/>
  <c r="R13" i="1"/>
  <c r="V32" i="1"/>
  <c r="W32" i="1"/>
  <c r="R27" i="1"/>
  <c r="R14" i="1"/>
  <c r="Q14" i="1"/>
  <c r="Q15" i="1"/>
  <c r="V33" i="1"/>
  <c r="V43" i="1"/>
  <c r="W43" i="1"/>
  <c r="Q23" i="1"/>
  <c r="V11" i="1"/>
  <c r="W11" i="1"/>
  <c r="V35" i="1"/>
  <c r="W35" i="1"/>
  <c r="E226" i="1"/>
  <c r="S155" i="1"/>
  <c r="T155" i="1"/>
  <c r="R155" i="1"/>
  <c r="Q155" i="1"/>
  <c r="E224" i="1"/>
  <c r="K191" i="1"/>
  <c r="K198" i="1" s="1"/>
  <c r="R153" i="1"/>
  <c r="T153" i="1"/>
  <c r="S153" i="1"/>
  <c r="Q153" i="1"/>
  <c r="X152" i="1"/>
  <c r="Y152" i="1"/>
  <c r="W152" i="1"/>
  <c r="V152" i="1"/>
  <c r="R124" i="1"/>
  <c r="Q124" i="1"/>
  <c r="Q93" i="1"/>
  <c r="R93" i="1"/>
  <c r="V161" i="1"/>
  <c r="X161" i="1"/>
  <c r="W161" i="1"/>
  <c r="Y161" i="1"/>
  <c r="E228" i="1"/>
  <c r="Q157" i="1"/>
  <c r="T157" i="1"/>
  <c r="S157" i="1"/>
  <c r="R157" i="1"/>
  <c r="AD164" i="1"/>
  <c r="AC164" i="1"/>
  <c r="AB164" i="1"/>
  <c r="AA164" i="1"/>
  <c r="AB169" i="1"/>
  <c r="V150" i="1"/>
  <c r="W124" i="1"/>
  <c r="V124" i="1"/>
  <c r="S166" i="1"/>
  <c r="E222" i="1"/>
  <c r="L194" i="1"/>
  <c r="L201" i="1" s="1"/>
  <c r="AB153" i="1"/>
  <c r="M195" i="1"/>
  <c r="M202" i="1" s="1"/>
  <c r="S147" i="1"/>
  <c r="L195" i="1"/>
  <c r="R135" i="1"/>
  <c r="E235" i="1"/>
  <c r="AH159" i="1"/>
  <c r="N193" i="1"/>
  <c r="N200" i="1" s="1"/>
  <c r="AI159" i="1"/>
  <c r="AG159" i="1"/>
  <c r="AF159" i="1"/>
  <c r="AF130" i="1"/>
  <c r="R98" i="1"/>
  <c r="Q98" i="1"/>
  <c r="Y173" i="1"/>
  <c r="M190" i="1"/>
  <c r="AB163" i="1"/>
  <c r="Q61" i="1"/>
  <c r="R61" i="1"/>
  <c r="Q113" i="1"/>
  <c r="R68" i="1"/>
  <c r="Q68" i="1"/>
  <c r="M182" i="1"/>
  <c r="N183" i="1"/>
  <c r="Q143" i="1"/>
  <c r="R25" i="1"/>
  <c r="Q25" i="1"/>
  <c r="R90" i="1"/>
  <c r="W48" i="1"/>
  <c r="V48" i="1"/>
  <c r="W75" i="1"/>
  <c r="V75" i="1"/>
  <c r="R74" i="1"/>
  <c r="Q74" i="1"/>
  <c r="W81" i="1"/>
  <c r="Q65" i="1"/>
  <c r="R65" i="1"/>
  <c r="W29" i="1"/>
  <c r="V29" i="1"/>
  <c r="AA137" i="1"/>
  <c r="R88" i="1"/>
  <c r="R62" i="1"/>
  <c r="W77" i="1"/>
  <c r="W12" i="1"/>
  <c r="W33" i="1"/>
  <c r="R46" i="1"/>
  <c r="Q78" i="1"/>
  <c r="AB47" i="1"/>
  <c r="AB94" i="1"/>
  <c r="AB95" i="1"/>
  <c r="AA94" i="1"/>
  <c r="R79" i="1"/>
  <c r="Q79" i="1"/>
  <c r="M218" i="13"/>
  <c r="O218" i="13"/>
  <c r="H218" i="13"/>
  <c r="I218" i="13"/>
  <c r="C218" i="13"/>
  <c r="J218" i="13"/>
  <c r="E218" i="13"/>
  <c r="G218" i="13"/>
  <c r="Q218" i="13"/>
  <c r="K218" i="13"/>
  <c r="U218" i="13"/>
  <c r="V218" i="13"/>
  <c r="S218" i="13"/>
  <c r="L218" i="13"/>
  <c r="W218" i="13"/>
  <c r="R218" i="13"/>
  <c r="B218" i="13"/>
  <c r="D218" i="13"/>
  <c r="T218" i="13"/>
  <c r="X218" i="13"/>
  <c r="N218" i="13"/>
  <c r="Y218" i="13"/>
  <c r="P218" i="13"/>
  <c r="F218" i="13"/>
  <c r="K200" i="1" l="1"/>
  <c r="AH155" i="1"/>
  <c r="AH172" i="1"/>
  <c r="AI157" i="1"/>
  <c r="L199" i="1"/>
  <c r="L196" i="1"/>
  <c r="B44" i="11"/>
  <c r="H44" i="11"/>
  <c r="L44" i="11"/>
  <c r="M197" i="1"/>
  <c r="AH174" i="1"/>
  <c r="AI174" i="1"/>
  <c r="K44" i="11"/>
  <c r="B49" i="11"/>
  <c r="I44" i="11"/>
  <c r="E44" i="11"/>
  <c r="L181" i="1"/>
  <c r="O181" i="1"/>
  <c r="C44" i="11"/>
  <c r="O44" i="11"/>
  <c r="G44" i="11"/>
  <c r="F44" i="11"/>
  <c r="P44" i="11"/>
  <c r="J44" i="11"/>
  <c r="D44" i="11"/>
  <c r="E49" i="11"/>
  <c r="P49" i="11"/>
  <c r="I49" i="11"/>
  <c r="G49" i="11"/>
  <c r="J49" i="11"/>
  <c r="K49" i="11"/>
  <c r="L49" i="11"/>
  <c r="M49" i="11"/>
  <c r="F49" i="11"/>
  <c r="C49" i="11"/>
  <c r="O49" i="11"/>
  <c r="D49" i="11"/>
  <c r="H49" i="11"/>
  <c r="N49" i="11"/>
  <c r="B4" i="24"/>
  <c r="B15" i="24"/>
  <c r="N197" i="1"/>
  <c r="M178" i="1"/>
  <c r="M179" i="1"/>
  <c r="M200" i="1"/>
  <c r="M201" i="1"/>
  <c r="K199" i="1"/>
  <c r="N181" i="1"/>
  <c r="L197" i="1"/>
  <c r="M198" i="1"/>
  <c r="L202" i="1"/>
  <c r="N201" i="1"/>
  <c r="N199" i="1"/>
  <c r="K201" i="1"/>
  <c r="L178" i="1"/>
  <c r="L179" i="1"/>
  <c r="M181" i="1"/>
  <c r="B5" i="24"/>
  <c r="B16" i="24"/>
  <c r="K181" i="1"/>
  <c r="B18" i="24"/>
  <c r="B7" i="24"/>
  <c r="J210" i="14"/>
  <c r="L211" i="14" s="1"/>
  <c r="L210" i="14" l="1"/>
  <c r="N210" i="14"/>
  <c r="K210" i="14"/>
  <c r="M210" i="14"/>
  <c r="M211" i="14"/>
  <c r="N211" i="14"/>
  <c r="K211" i="14"/>
  <c r="J216" i="14"/>
  <c r="J217" i="14" s="1"/>
  <c r="T176" i="1" l="1"/>
  <c r="S176" i="1"/>
  <c r="K179" i="1"/>
  <c r="K178" i="1" l="1"/>
  <c r="M212" i="14"/>
  <c r="L212" i="14"/>
  <c r="J213" i="14"/>
  <c r="E213" i="14" s="1"/>
</calcChain>
</file>

<file path=xl/sharedStrings.xml><?xml version="1.0" encoding="utf-8"?>
<sst xmlns="http://schemas.openxmlformats.org/spreadsheetml/2006/main" count="241" uniqueCount="141">
  <si>
    <t>Período</t>
  </si>
  <si>
    <t>Empleo asalariado en el sector privado</t>
  </si>
  <si>
    <t>Empleo asalariado en el sector público</t>
  </si>
  <si>
    <t xml:space="preserve">Empleo en casas particulares </t>
  </si>
  <si>
    <t xml:space="preserve">Trabajo Independientes Autónomos </t>
  </si>
  <si>
    <t>Trabajo Independientes Monotributo</t>
  </si>
  <si>
    <t xml:space="preserve">Trabajo Independientes Monotributo
Social </t>
  </si>
  <si>
    <t xml:space="preserve">Total </t>
  </si>
  <si>
    <t>Total asalariados</t>
  </si>
  <si>
    <t>Asalariados privados</t>
  </si>
  <si>
    <t>Asalariados públicos</t>
  </si>
  <si>
    <t>Casas particulares</t>
  </si>
  <si>
    <t>No asalariados</t>
  </si>
  <si>
    <t>Asalariados totales</t>
  </si>
  <si>
    <t>Var. Mensual absoluta</t>
  </si>
  <si>
    <t>Var. Mensual %</t>
  </si>
  <si>
    <t>Var. Mensual respecto max abs ()</t>
  </si>
  <si>
    <t>Var. Mensual respecto max %</t>
  </si>
  <si>
    <t>MAX</t>
  </si>
  <si>
    <t>#ee6261</t>
  </si>
  <si>
    <t>#f3a960</t>
  </si>
  <si>
    <t>#1e5b78</t>
  </si>
  <si>
    <t>#164a60</t>
  </si>
  <si>
    <t>#468a97</t>
  </si>
  <si>
    <t>HEX</t>
  </si>
  <si>
    <t>R</t>
  </si>
  <si>
    <t>G</t>
  </si>
  <si>
    <t>B</t>
  </si>
  <si>
    <t>Color</t>
  </si>
  <si>
    <t>Agricultura, ganaderÍa, 
caza y silvicultura</t>
  </si>
  <si>
    <t>Pesca</t>
  </si>
  <si>
    <t>Explotación de 
minas y canteras</t>
  </si>
  <si>
    <t>Industrias manufactureras</t>
  </si>
  <si>
    <t>Suministro de electricidad, 
gas y agua</t>
  </si>
  <si>
    <t>Construcción</t>
  </si>
  <si>
    <t>Comercio y reparaciones</t>
  </si>
  <si>
    <t>Hoteles y restaurantes</t>
  </si>
  <si>
    <t>Transporte, almacenamiento
 y comunicación</t>
  </si>
  <si>
    <t>Intermediación financiera</t>
  </si>
  <si>
    <t>Actividades inmobiliarias, 
empresariales y de alquiler</t>
  </si>
  <si>
    <t>Enseñanza</t>
  </si>
  <si>
    <t>Servicios sociales 
y de salud</t>
  </si>
  <si>
    <t>Servicios comunitarios, 
sociales y personales</t>
  </si>
  <si>
    <t>Sin especificar</t>
  </si>
  <si>
    <t>Total privados</t>
  </si>
  <si>
    <t>Industria</t>
  </si>
  <si>
    <t>Índice, Oct-2013=100</t>
  </si>
  <si>
    <t>Índice, Mayo-2023=100</t>
  </si>
  <si>
    <t>Agro y Pesca</t>
  </si>
  <si>
    <t>Minería</t>
  </si>
  <si>
    <t>EGA</t>
  </si>
  <si>
    <t>Comercio</t>
  </si>
  <si>
    <t>Transporte</t>
  </si>
  <si>
    <t>Int. Financiera</t>
  </si>
  <si>
    <t>Serv. Inmobiliarios</t>
  </si>
  <si>
    <t>Educación</t>
  </si>
  <si>
    <t>Salud</t>
  </si>
  <si>
    <t>Serv. Personales</t>
  </si>
  <si>
    <t>Total</t>
  </si>
  <si>
    <t>BUENOS AIRES</t>
  </si>
  <si>
    <t>Cdad. Autónoma
de 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</si>
  <si>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</si>
  <si>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</si>
  <si>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</si>
  <si>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</si>
  <si>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</si>
  <si>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</si>
  <si>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</si>
  <si>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</si>
  <si>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</si>
  <si>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</si>
  <si>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</si>
  <si>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</si>
  <si>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</si>
  <si>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</si>
  <si>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</si>
  <si>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</si>
  <si>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</si>
  <si>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</si>
  <si>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</si>
  <si>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
DEL ESTERO</t>
  </si>
  <si>
    <t>TIERRA DEL FUEGO</t>
  </si>
  <si>
    <t>TUCUMÁN</t>
  </si>
  <si>
    <t>TOTAL PAIS</t>
  </si>
  <si>
    <t>Remuneración mediana - 
con estacionalidad</t>
  </si>
  <si>
    <t>Remuneración mediana - 
sin estacionalidad</t>
  </si>
  <si>
    <t>Remuneración promedio -
 con estacionalidad</t>
  </si>
  <si>
    <t>Remuneración promedio - 
sin estacionalidad</t>
  </si>
  <si>
    <t>IPC</t>
  </si>
  <si>
    <t>Remuneración real promedio</t>
  </si>
  <si>
    <t>Índice (Mayo 2013=100)</t>
  </si>
  <si>
    <t>Personas con trabajo registrado según modalidad ocupacional principal. Sin estacionalidad</t>
  </si>
  <si>
    <t>Personas con empleo asalariado registrado del sector privado, según rama de actividad. Sin estacionalidad</t>
  </si>
  <si>
    <t>Personas con empleo asalariado en el según privado, según provincia. Sin estacionalidad</t>
  </si>
  <si>
    <t>Remuneración de las personas con empleo asalariado registrado en el sector privado</t>
  </si>
  <si>
    <t>CONTRIB.</t>
  </si>
  <si>
    <t>VAR ABS.</t>
  </si>
  <si>
    <t>1T 24</t>
  </si>
  <si>
    <t>4T 23</t>
  </si>
  <si>
    <t>VAR %</t>
  </si>
  <si>
    <t>Último mes</t>
  </si>
  <si>
    <t>2T 24</t>
  </si>
  <si>
    <t>3T 24</t>
  </si>
  <si>
    <t>4T 24</t>
  </si>
  <si>
    <t>Intermediación Financiera</t>
  </si>
  <si>
    <t>Servicios Inmobiliarios</t>
  </si>
  <si>
    <t>Servicios Personales</t>
  </si>
  <si>
    <t>Asalariados de casas particulares</t>
  </si>
  <si>
    <t>VAR REL.</t>
  </si>
  <si>
    <t>VAR A vs nov</t>
  </si>
  <si>
    <t>VAR R vs nov</t>
  </si>
  <si>
    <t>Interanual</t>
  </si>
  <si>
    <t>Empleo (abril)</t>
  </si>
  <si>
    <t>Privado</t>
  </si>
  <si>
    <t>Público</t>
  </si>
  <si>
    <t>Salario mínimo (junio)</t>
  </si>
  <si>
    <t>Salario promedio (abril)</t>
  </si>
  <si>
    <t>Variación aboluta en miles</t>
  </si>
  <si>
    <t>Variación mensual en miles</t>
  </si>
  <si>
    <t>Var abs interanual</t>
  </si>
  <si>
    <t>Var rel interanual</t>
  </si>
  <si>
    <t>Índice, Marzo-2025=100</t>
  </si>
  <si>
    <t>Empleo (mes)</t>
  </si>
  <si>
    <t>Salario mínimo (mes)</t>
  </si>
  <si>
    <t>Salario promedio (mes)</t>
  </si>
  <si>
    <t>1T 25</t>
  </si>
  <si>
    <t>2T 25</t>
  </si>
  <si>
    <t>3T 25</t>
  </si>
  <si>
    <t>VAR 4T 23 - 1T 24</t>
  </si>
  <si>
    <t>VAR 1T 24 - 2T 24</t>
  </si>
  <si>
    <t>VAR 2T 24 - 3T 24</t>
  </si>
  <si>
    <t>VAR 3T 24 - 4T 24</t>
  </si>
  <si>
    <t>VAR 4T 24 - 1T 25</t>
  </si>
  <si>
    <t>VAR 1T 25 - 2T 25</t>
  </si>
  <si>
    <t>VAR 2T 25 - 3T 25</t>
  </si>
  <si>
    <t>Último periodo</t>
  </si>
  <si>
    <t>Var. Abs</t>
  </si>
  <si>
    <t>Var. %</t>
  </si>
  <si>
    <t>Contribución a la variación</t>
  </si>
  <si>
    <t>Grafico portada</t>
  </si>
  <si>
    <t>IPC (jun2026=1)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</si>
</sst>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.0"/>
    <numFmt numFmtId="166" formatCode="0.0%"/>
    <numFmt numFmtId="167" formatCode="#,##0.000"/>
    <numFmt numFmtId="168" formatCode="0.00000"/>
    <numFmt numFmtId="169" formatCode="0.0000"/>
    <numFmt numFmtId="170" formatCode="_-* #,##0_-;\-* #,##0_-;_-* &quot;-&quot;??_-;_-@_-"/>
  </numFmts>
  <fonts count="28" x14ac:knownFonts="1">
    <font>
      <sz val="11"/>
      <color theme="1"/>
      <name val="Poppins"/>
      <family val="2"/>
      <scheme val="minor"/>
    </font>
    <font>
      <sz val="11"/>
      <color theme="1"/>
      <name val="Poppins"/>
      <family val="2"/>
      <scheme val="minor"/>
    </font>
    <font>
      <sz val="11"/>
      <color theme="1"/>
      <name val="Poppins"/>
    </font>
    <font>
      <b/>
      <sz val="11"/>
      <color theme="4" tint="-0.499984740745262"/>
      <name val="Poppins"/>
    </font>
    <font>
      <b/>
      <sz val="10"/>
      <color theme="4" tint="-0.499984740745262"/>
      <name val="Poppins"/>
    </font>
    <font>
      <sz val="10"/>
      <color theme="4" tint="-0.499984740745262"/>
      <name val="Poppins"/>
    </font>
    <font>
      <sz val="10"/>
      <color theme="1"/>
      <name val="Poppins"/>
    </font>
    <font>
      <sz val="9"/>
      <color theme="1"/>
      <name val="Poppins"/>
    </font>
    <font>
      <b/>
      <sz val="10"/>
      <color theme="1"/>
      <name val="Poppins"/>
    </font>
    <font>
      <b/>
      <sz val="11"/>
      <color theme="1"/>
      <name val="Poppins"/>
    </font>
    <font>
      <sz val="11"/>
      <color rgb="FFFF0000"/>
      <name val="Poppins"/>
    </font>
    <font>
      <b/>
      <sz val="11"/>
      <color rgb="FFFF0000"/>
      <name val="Poppins"/>
    </font>
    <font>
      <b/>
      <sz val="11"/>
      <color theme="4"/>
      <name val="Poppins"/>
    </font>
    <font>
      <b/>
      <sz val="11"/>
      <color theme="6"/>
      <name val="Poppins"/>
    </font>
    <font>
      <sz val="8"/>
      <color theme="1"/>
      <name val="Poppins"/>
    </font>
    <font>
      <i/>
      <sz val="10"/>
      <color theme="1"/>
      <name val="Poppins"/>
    </font>
    <font>
      <sz val="10"/>
      <color theme="1"/>
      <name val="Poppins SemiBold"/>
    </font>
    <font>
      <b/>
      <sz val="9"/>
      <color theme="1"/>
      <name val="Poppins"/>
    </font>
    <font>
      <sz val="9"/>
      <color theme="1"/>
      <name val="Poppins SemiBold"/>
    </font>
    <font>
      <sz val="9"/>
      <color theme="1"/>
      <name val="Poppins"/>
      <family val="2"/>
      <scheme val="minor"/>
    </font>
    <font>
      <sz val="9"/>
      <color theme="0"/>
      <name val="Poppins SemiBold"/>
    </font>
    <font>
      <sz val="9"/>
      <name val="Poppins"/>
      <family val="2"/>
      <scheme val="minor"/>
    </font>
    <font>
      <b/>
      <sz val="9"/>
      <name val="Poppins"/>
      <family val="2"/>
      <scheme val="minor"/>
    </font>
    <font>
      <sz val="8"/>
      <color theme="0"/>
      <name val="Poppins"/>
    </font>
    <font>
      <sz val="7"/>
      <color theme="1"/>
      <name val="Poppins"/>
    </font>
    <font>
      <b/>
      <sz val="7"/>
      <color theme="1"/>
      <name val="Poppins SemiBold"/>
    </font>
    <font>
      <i/>
      <sz val="11"/>
      <color theme="1"/>
      <name val="Poppins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6261"/>
        <bgColor indexed="64"/>
      </patternFill>
    </fill>
    <fill>
      <patternFill patternType="solid">
        <fgColor rgb="FFF3A960"/>
        <bgColor indexed="64"/>
      </patternFill>
    </fill>
    <fill>
      <patternFill patternType="solid">
        <fgColor rgb="FF1E5B78"/>
        <bgColor indexed="64"/>
      </patternFill>
    </fill>
    <fill>
      <patternFill patternType="solid">
        <fgColor rgb="FF164A60"/>
        <bgColor indexed="64"/>
      </patternFill>
    </fill>
    <fill>
      <patternFill patternType="solid">
        <fgColor rgb="FF468A9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25B7A"/>
        <bgColor indexed="64"/>
      </patternFill>
    </fill>
    <fill>
      <patternFill patternType="solid">
        <fgColor rgb="FF1F5C7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theme="3" tint="-0.249977111117893"/>
      </left>
      <right style="thin">
        <color theme="3" tint="-0.249977111117893"/>
      </right>
      <top style="thin">
        <color indexed="64"/>
      </top>
      <bottom style="hair">
        <color theme="3" tint="-0.249977111117893"/>
      </bottom>
      <diagonal/>
    </border>
    <border>
      <left style="thin">
        <color theme="3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-0.249977111117893"/>
      </left>
      <right style="thin">
        <color indexed="64"/>
      </right>
      <top/>
      <bottom/>
      <diagonal/>
    </border>
    <border>
      <left style="thin">
        <color auto="1"/>
      </left>
      <right/>
      <top style="hair">
        <color theme="3" tint="-0.249977111117893"/>
      </top>
      <bottom style="hair">
        <color theme="3" tint="-0.249977111117893"/>
      </bottom>
      <diagonal/>
    </border>
    <border>
      <left style="thin">
        <color indexed="64"/>
      </left>
      <right style="thin">
        <color indexed="64"/>
      </right>
      <top style="hair">
        <color theme="3" tint="-0.249977111117893"/>
      </top>
      <bottom style="hair">
        <color theme="3" tint="-0.249977111117893"/>
      </bottom>
      <diagonal/>
    </border>
    <border>
      <left/>
      <right style="thin">
        <color theme="3" tint="-0.249977111117893"/>
      </right>
      <top style="hair">
        <color theme="3" tint="-0.249977111117893"/>
      </top>
      <bottom style="hair">
        <color theme="3" tint="-0.249977111117893"/>
      </bottom>
      <diagonal/>
    </border>
    <border>
      <left style="thin">
        <color theme="3" tint="-0.249977111117893"/>
      </left>
      <right style="thin">
        <color theme="3" tint="-0.249977111117893"/>
      </right>
      <top style="hair">
        <color theme="3" tint="-0.249977111117893"/>
      </top>
      <bottom style="hair">
        <color theme="3" tint="-0.249977111117893"/>
      </bottom>
      <diagonal/>
    </border>
    <border>
      <left style="thin">
        <color theme="3" tint="-0.249977111117893"/>
      </left>
      <right style="thin">
        <color indexed="64"/>
      </right>
      <top style="hair">
        <color theme="3" tint="-0.249977111117893"/>
      </top>
      <bottom style="hair">
        <color theme="3" tint="-0.249977111117893"/>
      </bottom>
      <diagonal/>
    </border>
    <border>
      <left style="thin">
        <color indexed="64"/>
      </left>
      <right style="thin">
        <color indexed="64"/>
      </right>
      <top style="hair">
        <color theme="3" tint="-0.249977111117893"/>
      </top>
      <bottom/>
      <diagonal/>
    </border>
    <border>
      <left/>
      <right style="thin">
        <color theme="3" tint="-0.249977111117893"/>
      </right>
      <top style="hair">
        <color theme="3" tint="-0.249977111117893"/>
      </top>
      <bottom/>
      <diagonal/>
    </border>
    <border>
      <left style="thin">
        <color theme="3" tint="-0.249977111117893"/>
      </left>
      <right style="thin">
        <color theme="3" tint="-0.249977111117893"/>
      </right>
      <top style="hair">
        <color theme="3" tint="-0.249977111117893"/>
      </top>
      <bottom/>
      <diagonal/>
    </border>
    <border>
      <left style="thin">
        <color theme="3" tint="-0.249977111117893"/>
      </left>
      <right style="thin">
        <color indexed="64"/>
      </right>
      <top style="hair">
        <color theme="3" tint="-0.249977111117893"/>
      </top>
      <bottom/>
      <diagonal/>
    </border>
    <border>
      <left style="thin">
        <color auto="1"/>
      </left>
      <right style="dotted">
        <color rgb="FF3333CC"/>
      </right>
      <top style="thin">
        <color auto="1"/>
      </top>
      <bottom/>
      <diagonal/>
    </border>
    <border>
      <left style="dotted">
        <color rgb="FF3333CC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theme="3" tint="-0.249977111117893"/>
      </left>
      <right style="dotted">
        <color theme="3" tint="-0.249977111117893"/>
      </right>
      <top style="hair">
        <color theme="3" tint="-0.249977111117893"/>
      </top>
      <bottom style="hair">
        <color theme="3" tint="-0.249977111117893"/>
      </bottom>
      <diagonal/>
    </border>
    <border>
      <left style="dotted">
        <color theme="3" tint="-0.249977111117893"/>
      </left>
      <right/>
      <top style="hair">
        <color theme="3" tint="-0.249977111117893"/>
      </top>
      <bottom style="hair">
        <color theme="3" tint="-0.249977111117893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theme="3" tint="-0.249977111117893"/>
      </right>
      <top style="thin">
        <color indexed="64"/>
      </top>
      <bottom style="hair">
        <color theme="3" tint="-0.249977111117893"/>
      </bottom>
      <diagonal/>
    </border>
    <border>
      <left style="thin">
        <color theme="3" tint="-0.249977111117893"/>
      </left>
      <right style="thin">
        <color indexed="64"/>
      </right>
      <top style="thin">
        <color indexed="64"/>
      </top>
      <bottom style="hair">
        <color theme="3" tint="-0.249977111117893"/>
      </bottom>
      <diagonal/>
    </border>
    <border>
      <left style="thin">
        <color auto="1"/>
      </left>
      <right style="thin">
        <color theme="3" tint="-0.249977111117893"/>
      </right>
      <top style="hair">
        <color theme="3" tint="-0.249977111117893"/>
      </top>
      <bottom style="hair">
        <color theme="3" tint="-0.249977111117893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17" fontId="4" fillId="3" borderId="4" xfId="0" applyNumberFormat="1" applyFont="1" applyFill="1" applyBorder="1" applyAlignment="1">
      <alignment horizontal="center" vertical="center"/>
    </xf>
    <xf numFmtId="165" fontId="5" fillId="3" borderId="5" xfId="0" applyNumberFormat="1" applyFont="1" applyFill="1" applyBorder="1" applyAlignment="1">
      <alignment horizontal="center" vertical="center"/>
    </xf>
    <xf numFmtId="165" fontId="4" fillId="3" borderId="6" xfId="0" applyNumberFormat="1" applyFont="1" applyFill="1" applyBorder="1" applyAlignment="1">
      <alignment horizontal="center" vertical="center"/>
    </xf>
    <xf numFmtId="17" fontId="4" fillId="3" borderId="7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165" fontId="5" fillId="3" borderId="10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65" fontId="5" fillId="3" borderId="13" xfId="0" applyNumberFormat="1" applyFont="1" applyFill="1" applyBorder="1" applyAlignment="1">
      <alignment horizontal="center" vertical="center"/>
    </xf>
    <xf numFmtId="165" fontId="5" fillId="3" borderId="1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6" fontId="2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3" fontId="2" fillId="0" borderId="0" xfId="0" applyNumberFormat="1" applyFont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2" borderId="16" xfId="3" applyFont="1" applyFill="1" applyBorder="1" applyAlignment="1">
      <alignment horizontal="center" vertical="center"/>
    </xf>
    <xf numFmtId="0" fontId="3" fillId="2" borderId="17" xfId="3" applyFont="1" applyFill="1" applyBorder="1" applyAlignment="1">
      <alignment horizontal="center" vertical="center" textRotation="90" wrapText="1"/>
    </xf>
    <xf numFmtId="0" fontId="3" fillId="2" borderId="18" xfId="3" applyFont="1" applyFill="1" applyBorder="1" applyAlignment="1">
      <alignment horizontal="center" vertical="center" textRotation="90" wrapText="1"/>
    </xf>
    <xf numFmtId="0" fontId="3" fillId="2" borderId="19" xfId="3" applyFont="1" applyFill="1" applyBorder="1" applyAlignment="1">
      <alignment horizontal="center" vertical="center" textRotation="90" wrapText="1"/>
    </xf>
    <xf numFmtId="0" fontId="3" fillId="2" borderId="19" xfId="3" applyFont="1" applyFill="1" applyBorder="1" applyAlignment="1">
      <alignment horizontal="center" vertical="center"/>
    </xf>
    <xf numFmtId="17" fontId="4" fillId="3" borderId="20" xfId="0" applyNumberFormat="1" applyFont="1" applyFill="1" applyBorder="1" applyAlignment="1">
      <alignment horizontal="center" vertical="center"/>
    </xf>
    <xf numFmtId="165" fontId="5" fillId="3" borderId="21" xfId="3" applyNumberFormat="1" applyFont="1" applyFill="1" applyBorder="1" applyAlignment="1">
      <alignment horizontal="center" vertical="center"/>
    </xf>
    <xf numFmtId="165" fontId="5" fillId="3" borderId="8" xfId="3" applyNumberFormat="1" applyFont="1" applyFill="1" applyBorder="1" applyAlignment="1">
      <alignment horizontal="center" vertical="center"/>
    </xf>
    <xf numFmtId="165" fontId="5" fillId="3" borderId="22" xfId="3" applyNumberFormat="1" applyFont="1" applyFill="1" applyBorder="1" applyAlignment="1">
      <alignment horizontal="center" vertical="center"/>
    </xf>
    <xf numFmtId="165" fontId="4" fillId="3" borderId="22" xfId="3" applyNumberFormat="1" applyFont="1" applyFill="1" applyBorder="1" applyAlignment="1">
      <alignment horizontal="center" vertical="center"/>
    </xf>
    <xf numFmtId="165" fontId="5" fillId="3" borderId="23" xfId="3" applyNumberFormat="1" applyFont="1" applyFill="1" applyBorder="1" applyAlignment="1">
      <alignment horizontal="center" vertical="center"/>
    </xf>
    <xf numFmtId="165" fontId="4" fillId="3" borderId="23" xfId="3" applyNumberFormat="1" applyFont="1" applyFill="1" applyBorder="1" applyAlignment="1">
      <alignment horizontal="center" vertical="center"/>
    </xf>
    <xf numFmtId="165" fontId="5" fillId="3" borderId="0" xfId="3" applyNumberFormat="1" applyFont="1" applyFill="1" applyAlignment="1">
      <alignment horizontal="center" vertical="center"/>
    </xf>
    <xf numFmtId="165" fontId="5" fillId="3" borderId="5" xfId="3" applyNumberFormat="1" applyFont="1" applyFill="1" applyBorder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7" fontId="2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17" fontId="6" fillId="0" borderId="0" xfId="0" applyNumberFormat="1" applyFont="1"/>
    <xf numFmtId="166" fontId="6" fillId="0" borderId="0" xfId="1" applyNumberFormat="1" applyFont="1" applyAlignment="1">
      <alignment horizontal="center" vertical="center"/>
    </xf>
    <xf numFmtId="10" fontId="6" fillId="0" borderId="0" xfId="1" applyNumberFormat="1" applyFont="1" applyAlignment="1">
      <alignment horizontal="center" vertical="center"/>
    </xf>
    <xf numFmtId="10" fontId="6" fillId="0" borderId="0" xfId="0" applyNumberFormat="1" applyFont="1"/>
    <xf numFmtId="10" fontId="6" fillId="0" borderId="0" xfId="0" applyNumberFormat="1" applyFont="1" applyAlignment="1">
      <alignment horizontal="center" vertical="center"/>
    </xf>
    <xf numFmtId="0" fontId="6" fillId="9" borderId="26" xfId="0" applyFont="1" applyFill="1" applyBorder="1"/>
    <xf numFmtId="0" fontId="3" fillId="2" borderId="30" xfId="4" applyFont="1" applyFill="1" applyBorder="1" applyAlignment="1">
      <alignment horizontal="center" vertical="center"/>
    </xf>
    <xf numFmtId="0" fontId="3" fillId="2" borderId="30" xfId="4" applyFont="1" applyFill="1" applyBorder="1" applyAlignment="1">
      <alignment horizontal="center" vertical="center" textRotation="90" wrapText="1"/>
    </xf>
    <xf numFmtId="17" fontId="4" fillId="3" borderId="19" xfId="0" applyNumberFormat="1" applyFont="1" applyFill="1" applyBorder="1" applyAlignment="1">
      <alignment horizontal="center" vertical="center"/>
    </xf>
    <xf numFmtId="165" fontId="5" fillId="3" borderId="19" xfId="4" applyNumberFormat="1" applyFont="1" applyFill="1" applyBorder="1" applyAlignment="1">
      <alignment horizontal="center"/>
    </xf>
    <xf numFmtId="17" fontId="4" fillId="3" borderId="22" xfId="0" applyNumberFormat="1" applyFont="1" applyFill="1" applyBorder="1" applyAlignment="1">
      <alignment horizontal="center" vertical="center"/>
    </xf>
    <xf numFmtId="165" fontId="5" fillId="3" borderId="22" xfId="4" applyNumberFormat="1" applyFont="1" applyFill="1" applyBorder="1" applyAlignment="1">
      <alignment horizontal="center"/>
    </xf>
    <xf numFmtId="165" fontId="5" fillId="3" borderId="23" xfId="4" applyNumberFormat="1" applyFont="1" applyFill="1" applyBorder="1" applyAlignment="1">
      <alignment horizont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center" vertical="center"/>
    </xf>
    <xf numFmtId="9" fontId="7" fillId="0" borderId="0" xfId="1" applyFont="1" applyAlignment="1">
      <alignment horizontal="center" vertical="center"/>
    </xf>
    <xf numFmtId="166" fontId="7" fillId="0" borderId="0" xfId="1" applyNumberFormat="1" applyFont="1" applyAlignment="1">
      <alignment horizontal="center" vertical="center"/>
    </xf>
    <xf numFmtId="165" fontId="4" fillId="3" borderId="19" xfId="4" applyNumberFormat="1" applyFont="1" applyFill="1" applyBorder="1" applyAlignment="1">
      <alignment horizontal="center"/>
    </xf>
    <xf numFmtId="0" fontId="3" fillId="2" borderId="30" xfId="5" applyFont="1" applyFill="1" applyBorder="1" applyAlignment="1">
      <alignment horizontal="center" vertical="center" wrapText="1"/>
    </xf>
    <xf numFmtId="17" fontId="4" fillId="0" borderId="31" xfId="0" applyNumberFormat="1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3" fontId="5" fillId="3" borderId="32" xfId="0" applyNumberFormat="1" applyFont="1" applyFill="1" applyBorder="1" applyAlignment="1">
      <alignment horizontal="center" vertical="center"/>
    </xf>
    <xf numFmtId="17" fontId="4" fillId="0" borderId="33" xfId="0" applyNumberFormat="1" applyFont="1" applyBorder="1" applyAlignment="1">
      <alignment horizontal="center" vertical="center"/>
    </xf>
    <xf numFmtId="3" fontId="5" fillId="3" borderId="10" xfId="0" applyNumberFormat="1" applyFont="1" applyFill="1" applyBorder="1" applyAlignment="1">
      <alignment horizontal="center" vertical="center"/>
    </xf>
    <xf numFmtId="3" fontId="5" fillId="3" borderId="11" xfId="0" applyNumberFormat="1" applyFont="1" applyFill="1" applyBorder="1" applyAlignment="1">
      <alignment horizontal="center" vertical="center"/>
    </xf>
    <xf numFmtId="3" fontId="5" fillId="3" borderId="14" xfId="0" applyNumberFormat="1" applyFont="1" applyFill="1" applyBorder="1" applyAlignment="1">
      <alignment horizontal="center" vertical="center"/>
    </xf>
    <xf numFmtId="3" fontId="5" fillId="3" borderId="15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169" fontId="14" fillId="0" borderId="0" xfId="0" applyNumberFormat="1" applyFont="1" applyAlignment="1">
      <alignment vertical="center"/>
    </xf>
    <xf numFmtId="10" fontId="2" fillId="0" borderId="0" xfId="1" applyNumberFormat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2" fillId="0" borderId="0" xfId="1" applyFont="1" applyAlignment="1">
      <alignment vertical="center"/>
    </xf>
    <xf numFmtId="0" fontId="15" fillId="0" borderId="0" xfId="0" applyFont="1"/>
    <xf numFmtId="166" fontId="2" fillId="0" borderId="0" xfId="1" applyNumberFormat="1" applyFont="1" applyAlignment="1">
      <alignment vertical="center"/>
    </xf>
    <xf numFmtId="0" fontId="14" fillId="0" borderId="0" xfId="0" applyFont="1" applyAlignment="1">
      <alignment vertical="center"/>
    </xf>
    <xf numFmtId="17" fontId="16" fillId="9" borderId="27" xfId="0" applyNumberFormat="1" applyFont="1" applyFill="1" applyBorder="1" applyAlignment="1">
      <alignment horizontal="center" vertical="center"/>
    </xf>
    <xf numFmtId="0" fontId="16" fillId="9" borderId="24" xfId="0" applyFont="1" applyFill="1" applyBorder="1" applyAlignment="1">
      <alignment horizontal="center"/>
    </xf>
    <xf numFmtId="0" fontId="16" fillId="9" borderId="28" xfId="0" applyFont="1" applyFill="1" applyBorder="1" applyAlignment="1">
      <alignment horizontal="center"/>
    </xf>
    <xf numFmtId="0" fontId="16" fillId="9" borderId="25" xfId="0" applyFont="1" applyFill="1" applyBorder="1" applyAlignment="1">
      <alignment horizontal="center"/>
    </xf>
    <xf numFmtId="165" fontId="5" fillId="4" borderId="13" xfId="0" applyNumberFormat="1" applyFont="1" applyFill="1" applyBorder="1" applyAlignment="1">
      <alignment horizontal="center" vertical="center"/>
    </xf>
    <xf numFmtId="4" fontId="6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7" fontId="16" fillId="9" borderId="34" xfId="0" applyNumberFormat="1" applyFont="1" applyFill="1" applyBorder="1" applyAlignment="1">
      <alignment horizontal="center" vertical="center"/>
    </xf>
    <xf numFmtId="17" fontId="4" fillId="3" borderId="0" xfId="0" applyNumberFormat="1" applyFont="1" applyFill="1" applyAlignment="1">
      <alignment horizontal="center" vertical="center"/>
    </xf>
    <xf numFmtId="165" fontId="4" fillId="3" borderId="0" xfId="3" applyNumberFormat="1" applyFont="1" applyFill="1" applyAlignment="1">
      <alignment horizontal="center" vertical="center"/>
    </xf>
    <xf numFmtId="165" fontId="5" fillId="3" borderId="0" xfId="4" applyNumberFormat="1" applyFont="1" applyFill="1" applyAlignment="1">
      <alignment horizontal="center"/>
    </xf>
    <xf numFmtId="1" fontId="2" fillId="0" borderId="0" xfId="1" applyNumberFormat="1" applyFont="1" applyAlignment="1">
      <alignment vertical="center"/>
    </xf>
    <xf numFmtId="4" fontId="2" fillId="0" borderId="0" xfId="0" applyNumberFormat="1" applyFont="1" applyAlignment="1">
      <alignment horizontal="center" vertical="center"/>
    </xf>
    <xf numFmtId="17" fontId="19" fillId="3" borderId="30" xfId="0" applyNumberFormat="1" applyFont="1" applyFill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166" fontId="0" fillId="0" borderId="30" xfId="1" applyNumberFormat="1" applyFont="1" applyBorder="1" applyAlignment="1">
      <alignment horizontal="center"/>
    </xf>
    <xf numFmtId="0" fontId="18" fillId="10" borderId="30" xfId="0" applyFont="1" applyFill="1" applyBorder="1" applyAlignment="1">
      <alignment horizontal="center"/>
    </xf>
    <xf numFmtId="0" fontId="20" fillId="10" borderId="30" xfId="0" applyFont="1" applyFill="1" applyBorder="1" applyAlignment="1">
      <alignment horizontal="center"/>
    </xf>
    <xf numFmtId="17" fontId="21" fillId="3" borderId="30" xfId="0" applyNumberFormat="1" applyFont="1" applyFill="1" applyBorder="1" applyAlignment="1">
      <alignment horizontal="center"/>
    </xf>
    <xf numFmtId="17" fontId="22" fillId="3" borderId="30" xfId="0" applyNumberFormat="1" applyFont="1" applyFill="1" applyBorder="1" applyAlignment="1">
      <alignment horizontal="center"/>
    </xf>
    <xf numFmtId="17" fontId="23" fillId="10" borderId="30" xfId="0" applyNumberFormat="1" applyFont="1" applyFill="1" applyBorder="1" applyAlignment="1">
      <alignment horizontal="center"/>
    </xf>
    <xf numFmtId="0" fontId="20" fillId="11" borderId="30" xfId="0" applyFont="1" applyFill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0" fontId="20" fillId="5" borderId="30" xfId="0" applyFont="1" applyFill="1" applyBorder="1" applyAlignment="1">
      <alignment horizontal="center"/>
    </xf>
    <xf numFmtId="165" fontId="6" fillId="0" borderId="0" xfId="0" applyNumberFormat="1" applyFont="1" applyAlignment="1">
      <alignment horizontal="center" vertical="center"/>
    </xf>
    <xf numFmtId="2" fontId="6" fillId="0" borderId="0" xfId="1" applyNumberFormat="1" applyFont="1" applyBorder="1" applyAlignment="1">
      <alignment horizontal="center" vertical="center"/>
    </xf>
    <xf numFmtId="2" fontId="6" fillId="0" borderId="35" xfId="1" applyNumberFormat="1" applyFont="1" applyBorder="1" applyAlignment="1">
      <alignment horizontal="center" vertical="center"/>
    </xf>
    <xf numFmtId="2" fontId="6" fillId="0" borderId="29" xfId="1" applyNumberFormat="1" applyFont="1" applyBorder="1" applyAlignment="1">
      <alignment horizontal="center" vertical="center"/>
    </xf>
    <xf numFmtId="2" fontId="6" fillId="0" borderId="36" xfId="1" applyNumberFormat="1" applyFont="1" applyBorder="1" applyAlignment="1">
      <alignment horizontal="center" vertical="center"/>
    </xf>
    <xf numFmtId="2" fontId="6" fillId="0" borderId="37" xfId="1" applyNumberFormat="1" applyFont="1" applyBorder="1" applyAlignment="1">
      <alignment horizontal="center" vertical="center"/>
    </xf>
    <xf numFmtId="2" fontId="6" fillId="0" borderId="38" xfId="1" applyNumberFormat="1" applyFont="1" applyBorder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2" fillId="0" borderId="0" xfId="1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66" fontId="24" fillId="0" borderId="0" xfId="1" applyNumberFormat="1" applyFont="1" applyBorder="1" applyAlignment="1">
      <alignment horizontal="center" vertical="center"/>
    </xf>
    <xf numFmtId="166" fontId="24" fillId="0" borderId="36" xfId="1" applyNumberFormat="1" applyFont="1" applyBorder="1" applyAlignment="1">
      <alignment horizontal="center" vertical="center"/>
    </xf>
    <xf numFmtId="0" fontId="25" fillId="9" borderId="24" xfId="0" applyFont="1" applyFill="1" applyBorder="1" applyAlignment="1">
      <alignment horizontal="center"/>
    </xf>
    <xf numFmtId="0" fontId="25" fillId="9" borderId="28" xfId="0" applyFont="1" applyFill="1" applyBorder="1" applyAlignment="1">
      <alignment horizontal="center"/>
    </xf>
    <xf numFmtId="0" fontId="25" fillId="9" borderId="25" xfId="0" applyFont="1" applyFill="1" applyBorder="1" applyAlignment="1">
      <alignment horizontal="center"/>
    </xf>
    <xf numFmtId="17" fontId="25" fillId="9" borderId="27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6" fillId="9" borderId="0" xfId="0" applyFont="1" applyFill="1" applyAlignment="1">
      <alignment horizontal="center"/>
    </xf>
    <xf numFmtId="10" fontId="7" fillId="0" borderId="0" xfId="1" applyNumberFormat="1" applyFont="1" applyAlignment="1">
      <alignment horizontal="center" vertical="center"/>
    </xf>
    <xf numFmtId="170" fontId="7" fillId="0" borderId="0" xfId="6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17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7" fontId="4" fillId="0" borderId="0" xfId="0" applyNumberFormat="1" applyFont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24" fillId="9" borderId="39" xfId="0" applyFont="1" applyFill="1" applyBorder="1"/>
    <xf numFmtId="165" fontId="5" fillId="3" borderId="0" xfId="0" applyNumberFormat="1" applyFont="1" applyFill="1" applyAlignment="1">
      <alignment horizontal="center" vertical="center"/>
    </xf>
    <xf numFmtId="167" fontId="5" fillId="3" borderId="0" xfId="3" applyNumberFormat="1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7" fontId="25" fillId="9" borderId="40" xfId="0" applyNumberFormat="1" applyFont="1" applyFill="1" applyBorder="1" applyAlignment="1">
      <alignment horizontal="center" vertical="center"/>
    </xf>
    <xf numFmtId="166" fontId="24" fillId="0" borderId="41" xfId="1" applyNumberFormat="1" applyFont="1" applyBorder="1" applyAlignment="1">
      <alignment horizontal="center" vertical="center"/>
    </xf>
    <xf numFmtId="166" fontId="24" fillId="0" borderId="42" xfId="1" applyNumberFormat="1" applyFont="1" applyBorder="1" applyAlignment="1">
      <alignment horizontal="center" vertical="center"/>
    </xf>
  </cellXfs>
  <cellStyles count="7">
    <cellStyle name="Millares" xfId="6" builtinId="3"/>
    <cellStyle name="Normal" xfId="0" builtinId="0"/>
    <cellStyle name="Normal 2 3 3" xfId="3" xr:uid="{00000000-0005-0000-0000-000001000000}"/>
    <cellStyle name="Normal 2 4 2" xfId="4" xr:uid="{00000000-0005-0000-0000-000002000000}"/>
    <cellStyle name="Normal 3 2" xfId="2" xr:uid="{00000000-0005-0000-0000-000003000000}"/>
    <cellStyle name="Normal 3 2 2 2" xfId="5" xr:uid="{00000000-0005-0000-0000-000004000000}"/>
    <cellStyle name="Porcentaje" xfId="1" builtinId="5"/>
  </cellStyles>
  <dxfs count="3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E5B78"/>
      <color rgb="FF164A60"/>
      <color rgb="FFD8EAED"/>
      <color rgb="FF225B7A"/>
      <color rgb="FFF3A960"/>
      <color rgb="FFC7E1EF"/>
      <color rgb="FF1F5C79"/>
      <color rgb="FFC0DEEE"/>
      <color rgb="FF92CDDC"/>
      <color rgb="FFEE62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chartsheet" Target="chartsheets/sheet10.xml"/><Relationship Id="rId18" Type="http://schemas.openxmlformats.org/officeDocument/2006/relationships/chartsheet" Target="chartsheets/sheet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7.xml"/><Relationship Id="rId7" Type="http://schemas.openxmlformats.org/officeDocument/2006/relationships/chartsheet" Target="chartsheets/sheet4.xml"/><Relationship Id="rId12" Type="http://schemas.openxmlformats.org/officeDocument/2006/relationships/chartsheet" Target="chartsheets/sheet9.xml"/><Relationship Id="rId17" Type="http://schemas.openxmlformats.org/officeDocument/2006/relationships/chartsheet" Target="chartsheets/sheet1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1.xml"/><Relationship Id="rId20" Type="http://schemas.openxmlformats.org/officeDocument/2006/relationships/worksheet" Target="worksheets/sheet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8.xml"/><Relationship Id="rId24" Type="http://schemas.openxmlformats.org/officeDocument/2006/relationships/theme" Target="theme/theme1.xml"/><Relationship Id="rId5" Type="http://schemas.openxmlformats.org/officeDocument/2006/relationships/chartsheet" Target="chartsheets/sheet2.xml"/><Relationship Id="rId15" Type="http://schemas.openxmlformats.org/officeDocument/2006/relationships/worksheet" Target="worksheets/sheet5.xml"/><Relationship Id="rId23" Type="http://schemas.openxmlformats.org/officeDocument/2006/relationships/chartsheet" Target="chartsheets/sheet16.xml"/><Relationship Id="rId10" Type="http://schemas.openxmlformats.org/officeDocument/2006/relationships/chartsheet" Target="chartsheets/sheet7.xml"/><Relationship Id="rId19" Type="http://schemas.openxmlformats.org/officeDocument/2006/relationships/chartsheet" Target="chartsheets/sheet14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Relationship Id="rId14" Type="http://schemas.openxmlformats.org/officeDocument/2006/relationships/worksheet" Target="worksheets/sheet4.xml"/><Relationship Id="rId22" Type="http://schemas.openxmlformats.org/officeDocument/2006/relationships/chartsheet" Target="chartsheets/sheet15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7.6469816272965882E-2"/>
          <c:y val="0.17171296296296298"/>
          <c:w val="0.88598140857392826"/>
          <c:h val="0.53946194225721789"/>
        </c:manualLayout>
      </c:layout>
      <c:lineChart>
        <c:grouping val="standard"/>
        <c:varyColors val="0"/>
        <c:ser>
          <c:idx val="0"/>
          <c:order val="0"/>
          <c:tx>
            <c:strRef>
              <c:f>'T.2.2'!$B$215</c:f>
              <c:strCache>
                <c:ptCount val="1"/>
                <c:pt idx="0">
                  <c:v>Privado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'T.2.2'!$A$216:$A$243</c:f>
              <c:numCache>
                <c:formatCode>mmm\-yy</c:formatCode>
                <c:ptCount val="28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  <c:pt idx="12">
                  <c:v>45597</c:v>
                </c:pt>
                <c:pt idx="13">
                  <c:v>45627</c:v>
                </c:pt>
                <c:pt idx="14">
                  <c:v>45658</c:v>
                </c:pt>
                <c:pt idx="15">
                  <c:v>45689</c:v>
                </c:pt>
                <c:pt idx="16">
                  <c:v>45717</c:v>
                </c:pt>
                <c:pt idx="17">
                  <c:v>45748</c:v>
                </c:pt>
                <c:pt idx="18">
                  <c:v>45778</c:v>
                </c:pt>
                <c:pt idx="19">
                  <c:v>45809</c:v>
                </c:pt>
                <c:pt idx="20">
                  <c:v>45839</c:v>
                </c:pt>
                <c:pt idx="21">
                  <c:v>45870</c:v>
                </c:pt>
                <c:pt idx="22">
                  <c:v>45901</c:v>
                </c:pt>
                <c:pt idx="23">
                  <c:v>45931</c:v>
                </c:pt>
                <c:pt idx="24">
                  <c:v>45962</c:v>
                </c:pt>
                <c:pt idx="25">
                  <c:v>45992</c:v>
                </c:pt>
                <c:pt idx="26">
                  <c:v>46023</c:v>
                </c:pt>
                <c:pt idx="27">
                  <c:v>46054</c:v>
                </c:pt>
              </c:numCache>
            </c:numRef>
          </c:cat>
          <c:val>
            <c:numRef>
              <c:f>'T.2.2'!$B$216:$B$243</c:f>
              <c:numCache>
                <c:formatCode>0</c:formatCode>
                <c:ptCount val="28"/>
                <c:pt idx="0" formatCode="General">
                  <c:v>100</c:v>
                </c:pt>
                <c:pt idx="1">
                  <c:v>99.821441377175162</c:v>
                </c:pt>
                <c:pt idx="2">
                  <c:v>99.277464470694269</c:v>
                </c:pt>
                <c:pt idx="3">
                  <c:v>98.870823451985871</c:v>
                </c:pt>
                <c:pt idx="4">
                  <c:v>98.480360826821027</c:v>
                </c:pt>
                <c:pt idx="5">
                  <c:v>98.21267196604515</c:v>
                </c:pt>
                <c:pt idx="6">
                  <c:v>98.05846723922383</c:v>
                </c:pt>
                <c:pt idx="7">
                  <c:v>97.906114161712068</c:v>
                </c:pt>
                <c:pt idx="8">
                  <c:v>97.809734245955838</c:v>
                </c:pt>
                <c:pt idx="9">
                  <c:v>97.87424382486725</c:v>
                </c:pt>
                <c:pt idx="10">
                  <c:v>98.017166044454967</c:v>
                </c:pt>
                <c:pt idx="11">
                  <c:v>98.135514680832941</c:v>
                </c:pt>
                <c:pt idx="12">
                  <c:v>98.155584676315229</c:v>
                </c:pt>
                <c:pt idx="13">
                  <c:v>98.290504004819311</c:v>
                </c:pt>
                <c:pt idx="14">
                  <c:v>98.147911316040918</c:v>
                </c:pt>
                <c:pt idx="15">
                  <c:v>98.315124663858953</c:v>
                </c:pt>
                <c:pt idx="16">
                  <c:v>98.141242240137885</c:v>
                </c:pt>
                <c:pt idx="17">
                  <c:v>98.305552578445202</c:v>
                </c:pt>
                <c:pt idx="18">
                  <c:v>98.340765299213189</c:v>
                </c:pt>
                <c:pt idx="19">
                  <c:v>98.112117993370774</c:v>
                </c:pt>
                <c:pt idx="20">
                  <c:v>97.922041484162818</c:v>
                </c:pt>
                <c:pt idx="21">
                  <c:v>97.752003586550558</c:v>
                </c:pt>
                <c:pt idx="22">
                  <c:v>97.551303631727677</c:v>
                </c:pt>
                <c:pt idx="23">
                  <c:v>97.30456351525892</c:v>
                </c:pt>
                <c:pt idx="24">
                  <c:v>97.04628982046377</c:v>
                </c:pt>
                <c:pt idx="25">
                  <c:v>96.847771045759728</c:v>
                </c:pt>
                <c:pt idx="26">
                  <c:v>96.727005850113386</c:v>
                </c:pt>
                <c:pt idx="27">
                  <c:v>96.695245356871666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8-4F88-93DC-2ACF5A470112}"/>
            </c:ext>
          </c:extLst>
        </c:ser>
        <c:ser>
          <c:idx val="1"/>
          <c:order val="1"/>
          <c:tx>
            <c:strRef>
              <c:f>'T.2.2'!$C$215</c:f>
              <c:strCache>
                <c:ptCount val="1"/>
                <c:pt idx="0">
                  <c:v>Público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'T.2.2'!$A$216:$A$243</c:f>
              <c:numCache>
                <c:formatCode>mmm\-yy</c:formatCode>
                <c:ptCount val="28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  <c:pt idx="12">
                  <c:v>45597</c:v>
                </c:pt>
                <c:pt idx="13">
                  <c:v>45627</c:v>
                </c:pt>
                <c:pt idx="14">
                  <c:v>45658</c:v>
                </c:pt>
                <c:pt idx="15">
                  <c:v>45689</c:v>
                </c:pt>
                <c:pt idx="16">
                  <c:v>45717</c:v>
                </c:pt>
                <c:pt idx="17">
                  <c:v>45748</c:v>
                </c:pt>
                <c:pt idx="18">
                  <c:v>45778</c:v>
                </c:pt>
                <c:pt idx="19">
                  <c:v>45809</c:v>
                </c:pt>
                <c:pt idx="20">
                  <c:v>45839</c:v>
                </c:pt>
                <c:pt idx="21">
                  <c:v>45870</c:v>
                </c:pt>
                <c:pt idx="22">
                  <c:v>45901</c:v>
                </c:pt>
                <c:pt idx="23">
                  <c:v>45931</c:v>
                </c:pt>
                <c:pt idx="24">
                  <c:v>45962</c:v>
                </c:pt>
                <c:pt idx="25">
                  <c:v>45992</c:v>
                </c:pt>
                <c:pt idx="26">
                  <c:v>46023</c:v>
                </c:pt>
                <c:pt idx="27">
                  <c:v>46054</c:v>
                </c:pt>
              </c:numCache>
            </c:numRef>
          </c:cat>
          <c:val>
            <c:numRef>
              <c:f>'T.2.2'!$C$216:$C$243</c:f>
              <c:numCache>
                <c:formatCode>0</c:formatCode>
                <c:ptCount val="28"/>
                <c:pt idx="0" formatCode="General">
                  <c:v>100</c:v>
                </c:pt>
                <c:pt idx="1">
                  <c:v>100.20439098868481</c:v>
                </c:pt>
                <c:pt idx="2">
                  <c:v>99.309015987314893</c:v>
                </c:pt>
                <c:pt idx="3">
                  <c:v>99.311755812900486</c:v>
                </c:pt>
                <c:pt idx="4">
                  <c:v>99.233858245461846</c:v>
                </c:pt>
                <c:pt idx="5">
                  <c:v>99.14041577285866</c:v>
                </c:pt>
                <c:pt idx="6">
                  <c:v>98.948685662406191</c:v>
                </c:pt>
                <c:pt idx="7">
                  <c:v>98.797822213582961</c:v>
                </c:pt>
                <c:pt idx="8">
                  <c:v>98.700342103274693</c:v>
                </c:pt>
                <c:pt idx="9">
                  <c:v>98.626078409770628</c:v>
                </c:pt>
                <c:pt idx="10">
                  <c:v>98.59891087606934</c:v>
                </c:pt>
                <c:pt idx="11">
                  <c:v>98.645978195602794</c:v>
                </c:pt>
                <c:pt idx="12">
                  <c:v>98.570416689979226</c:v>
                </c:pt>
                <c:pt idx="13">
                  <c:v>98.449835523944046</c:v>
                </c:pt>
                <c:pt idx="14">
                  <c:v>98.618724141093523</c:v>
                </c:pt>
                <c:pt idx="15">
                  <c:v>98.289858550015097</c:v>
                </c:pt>
                <c:pt idx="16">
                  <c:v>98.289858550015097</c:v>
                </c:pt>
                <c:pt idx="17">
                  <c:v>98.338108320590749</c:v>
                </c:pt>
                <c:pt idx="18">
                  <c:v>98.178333228547032</c:v>
                </c:pt>
                <c:pt idx="19">
                  <c:v>98.327062497440437</c:v>
                </c:pt>
                <c:pt idx="20">
                  <c:v>98.264652154627683</c:v>
                </c:pt>
                <c:pt idx="21">
                  <c:v>98.18401476160345</c:v>
                </c:pt>
                <c:pt idx="22">
                  <c:v>98.243858320446549</c:v>
                </c:pt>
                <c:pt idx="23">
                  <c:v>98.123853959797827</c:v>
                </c:pt>
                <c:pt idx="24">
                  <c:v>97.950639302250067</c:v>
                </c:pt>
                <c:pt idx="25">
                  <c:v>97.909080474157093</c:v>
                </c:pt>
                <c:pt idx="26">
                  <c:v>97.773242805650625</c:v>
                </c:pt>
                <c:pt idx="27">
                  <c:v>97.881509176685299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8-4F88-93DC-2ACF5A470112}"/>
            </c:ext>
          </c:extLst>
        </c:ser>
        <c:ser>
          <c:idx val="2"/>
          <c:order val="2"/>
          <c:tx>
            <c:strRef>
              <c:f>'T.2.2'!$D$215</c:f>
              <c:strCache>
                <c:ptCount val="1"/>
                <c:pt idx="0">
                  <c:v>Casas particulares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'T.2.2'!$A$216:$A$243</c:f>
              <c:numCache>
                <c:formatCode>mmm\-yy</c:formatCode>
                <c:ptCount val="28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  <c:pt idx="12">
                  <c:v>45597</c:v>
                </c:pt>
                <c:pt idx="13">
                  <c:v>45627</c:v>
                </c:pt>
                <c:pt idx="14">
                  <c:v>45658</c:v>
                </c:pt>
                <c:pt idx="15">
                  <c:v>45689</c:v>
                </c:pt>
                <c:pt idx="16">
                  <c:v>45717</c:v>
                </c:pt>
                <c:pt idx="17">
                  <c:v>45748</c:v>
                </c:pt>
                <c:pt idx="18">
                  <c:v>45778</c:v>
                </c:pt>
                <c:pt idx="19">
                  <c:v>45809</c:v>
                </c:pt>
                <c:pt idx="20">
                  <c:v>45839</c:v>
                </c:pt>
                <c:pt idx="21">
                  <c:v>45870</c:v>
                </c:pt>
                <c:pt idx="22">
                  <c:v>45901</c:v>
                </c:pt>
                <c:pt idx="23">
                  <c:v>45931</c:v>
                </c:pt>
                <c:pt idx="24">
                  <c:v>45962</c:v>
                </c:pt>
                <c:pt idx="25">
                  <c:v>45992</c:v>
                </c:pt>
                <c:pt idx="26">
                  <c:v>46023</c:v>
                </c:pt>
                <c:pt idx="27">
                  <c:v>46054</c:v>
                </c:pt>
              </c:numCache>
            </c:numRef>
          </c:cat>
          <c:val>
            <c:numRef>
              <c:f>'T.2.2'!$D$216:$D$243</c:f>
              <c:numCache>
                <c:formatCode>0</c:formatCode>
                <c:ptCount val="28"/>
                <c:pt idx="0" formatCode="General">
                  <c:v>100</c:v>
                </c:pt>
                <c:pt idx="1">
                  <c:v>99.511285240125019</c:v>
                </c:pt>
                <c:pt idx="2">
                  <c:v>99.017831950185126</c:v>
                </c:pt>
                <c:pt idx="3">
                  <c:v>98.544409719155951</c:v>
                </c:pt>
                <c:pt idx="4">
                  <c:v>98.135819194923741</c:v>
                </c:pt>
                <c:pt idx="5">
                  <c:v>97.632673457123843</c:v>
                </c:pt>
                <c:pt idx="6">
                  <c:v>97.210513505887619</c:v>
                </c:pt>
                <c:pt idx="7">
                  <c:v>97.079557765912313</c:v>
                </c:pt>
                <c:pt idx="8">
                  <c:v>96.812692368166552</c:v>
                </c:pt>
                <c:pt idx="9">
                  <c:v>96.782107310474956</c:v>
                </c:pt>
                <c:pt idx="10">
                  <c:v>96.780168820902944</c:v>
                </c:pt>
                <c:pt idx="11">
                  <c:v>96.582012109098201</c:v>
                </c:pt>
                <c:pt idx="12">
                  <c:v>96.422409801003269</c:v>
                </c:pt>
                <c:pt idx="13">
                  <c:v>96.067450821596495</c:v>
                </c:pt>
                <c:pt idx="14">
                  <c:v>95.728430534226177</c:v>
                </c:pt>
                <c:pt idx="15">
                  <c:v>95.740707634848874</c:v>
                </c:pt>
                <c:pt idx="16">
                  <c:v>95.66704503111275</c:v>
                </c:pt>
                <c:pt idx="17">
                  <c:v>95.365071433340731</c:v>
                </c:pt>
                <c:pt idx="18">
                  <c:v>95.122975624570572</c:v>
                </c:pt>
                <c:pt idx="19">
                  <c:v>94.888418386358211</c:v>
                </c:pt>
                <c:pt idx="20">
                  <c:v>94.780939908977146</c:v>
                </c:pt>
                <c:pt idx="21">
                  <c:v>94.641368659792917</c:v>
                </c:pt>
                <c:pt idx="22">
                  <c:v>94.415642318519673</c:v>
                </c:pt>
                <c:pt idx="23">
                  <c:v>94.286840455846601</c:v>
                </c:pt>
                <c:pt idx="24">
                  <c:v>94.550905813099448</c:v>
                </c:pt>
                <c:pt idx="25">
                  <c:v>95.485473174535144</c:v>
                </c:pt>
                <c:pt idx="26">
                  <c:v>95.70258400659948</c:v>
                </c:pt>
                <c:pt idx="27">
                  <c:v>95.864770967457076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B8-4F88-93DC-2ACF5A470112}"/>
            </c:ext>
          </c:extLst>
        </c:ser>
        <c:ser>
          <c:idx val="3"/>
          <c:order val="3"/>
          <c:tx>
            <c:strRef>
              <c:f>'T.2.2'!$E$215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'T.2.2'!$A$216:$A$243</c:f>
              <c:numCache>
                <c:formatCode>mmm\-yy</c:formatCode>
                <c:ptCount val="28"/>
                <c:pt idx="0">
                  <c:v>45231</c:v>
                </c:pt>
                <c:pt idx="1">
                  <c:v>45261</c:v>
                </c:pt>
                <c:pt idx="2">
                  <c:v>45292</c:v>
                </c:pt>
                <c:pt idx="3">
                  <c:v>45323</c:v>
                </c:pt>
                <c:pt idx="4">
                  <c:v>45352</c:v>
                </c:pt>
                <c:pt idx="5">
                  <c:v>45383</c:v>
                </c:pt>
                <c:pt idx="6">
                  <c:v>45413</c:v>
                </c:pt>
                <c:pt idx="7">
                  <c:v>45444</c:v>
                </c:pt>
                <c:pt idx="8">
                  <c:v>45474</c:v>
                </c:pt>
                <c:pt idx="9">
                  <c:v>45505</c:v>
                </c:pt>
                <c:pt idx="10">
                  <c:v>45536</c:v>
                </c:pt>
                <c:pt idx="11">
                  <c:v>45566</c:v>
                </c:pt>
                <c:pt idx="12">
                  <c:v>45597</c:v>
                </c:pt>
                <c:pt idx="13">
                  <c:v>45627</c:v>
                </c:pt>
                <c:pt idx="14">
                  <c:v>45658</c:v>
                </c:pt>
                <c:pt idx="15">
                  <c:v>45689</c:v>
                </c:pt>
                <c:pt idx="16">
                  <c:v>45717</c:v>
                </c:pt>
                <c:pt idx="17">
                  <c:v>45748</c:v>
                </c:pt>
                <c:pt idx="18">
                  <c:v>45778</c:v>
                </c:pt>
                <c:pt idx="19">
                  <c:v>45809</c:v>
                </c:pt>
                <c:pt idx="20">
                  <c:v>45839</c:v>
                </c:pt>
                <c:pt idx="21">
                  <c:v>45870</c:v>
                </c:pt>
                <c:pt idx="22">
                  <c:v>45901</c:v>
                </c:pt>
                <c:pt idx="23">
                  <c:v>45931</c:v>
                </c:pt>
                <c:pt idx="24">
                  <c:v>45962</c:v>
                </c:pt>
                <c:pt idx="25">
                  <c:v>45992</c:v>
                </c:pt>
                <c:pt idx="26">
                  <c:v>46023</c:v>
                </c:pt>
                <c:pt idx="27">
                  <c:v>46054</c:v>
                </c:pt>
              </c:numCache>
            </c:numRef>
          </c:cat>
          <c:val>
            <c:numRef>
              <c:f>'T.2.2'!$E$216:$E$243</c:f>
              <c:numCache>
                <c:formatCode>General</c:formatCode>
                <c:ptCount val="28"/>
                <c:pt idx="0">
                  <c:v>100</c:v>
                </c:pt>
                <c:pt idx="1">
                  <c:v>99.93632786153421</c:v>
                </c:pt>
                <c:pt idx="2">
                  <c:v>99.2763832750246</c:v>
                </c:pt>
                <c:pt idx="3">
                  <c:v>99.004488395677555</c:v>
                </c:pt>
                <c:pt idx="4">
                  <c:v>98.718385924391157</c:v>
                </c:pt>
                <c:pt idx="5">
                  <c:v>98.498721413771847</c:v>
                </c:pt>
                <c:pt idx="6">
                  <c:v>98.319816388224382</c:v>
                </c:pt>
                <c:pt idx="7">
                  <c:v>98.168928656344164</c:v>
                </c:pt>
                <c:pt idx="8">
                  <c:v>98.064497032806528</c:v>
                </c:pt>
                <c:pt idx="9">
                  <c:v>98.07802529999465</c:v>
                </c:pt>
                <c:pt idx="10">
                  <c:v>98.157186042787757</c:v>
                </c:pt>
                <c:pt idx="11">
                  <c:v>98.237288135593218</c:v>
                </c:pt>
                <c:pt idx="12">
                  <c:v>98.217083076564748</c:v>
                </c:pt>
                <c:pt idx="13">
                  <c:v>98.24395522279427</c:v>
                </c:pt>
                <c:pt idx="14">
                  <c:v>98.197324430944207</c:v>
                </c:pt>
                <c:pt idx="15">
                  <c:v>98.190628229825279</c:v>
                </c:pt>
                <c:pt idx="16">
                  <c:v>98.079772135069163</c:v>
                </c:pt>
                <c:pt idx="17">
                  <c:v>98.184019370460049</c:v>
                </c:pt>
                <c:pt idx="18">
                  <c:v>98.141124864741585</c:v>
                </c:pt>
                <c:pt idx="19">
                  <c:v>98.039197038144096</c:v>
                </c:pt>
                <c:pt idx="20">
                  <c:v>97.895801287805625</c:v>
                </c:pt>
                <c:pt idx="21">
                  <c:v>97.757219038561388</c:v>
                </c:pt>
                <c:pt idx="22">
                  <c:v>97.643063366442334</c:v>
                </c:pt>
                <c:pt idx="23">
                  <c:v>97.444283239602697</c:v>
                </c:pt>
                <c:pt idx="24">
                  <c:v>97.238166405450116</c:v>
                </c:pt>
                <c:pt idx="25">
                  <c:v>97.143517058329707</c:v>
                </c:pt>
                <c:pt idx="26">
                  <c:v>97.032903579556191</c:v>
                </c:pt>
                <c:pt idx="27">
                  <c:v>97.057000198945104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B8-4F88-93DC-2ACF5A470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940687"/>
        <c:axId val="170353071"/>
      </c:lineChart>
      <c:dateAx>
        <c:axId val="2699406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0353071"/>
        <c:crosses val="autoZero"/>
        <c:auto val="1"/>
        <c:lblOffset val="100"/>
        <c:baseTimeUnit val="months"/>
      </c:dateAx>
      <c:valAx>
        <c:axId val="1703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6994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/>
              <a:t>Asalariados registrados, en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Asalariados registrados</c:v>
          </c:tx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'T.2.2'!$J$157:$J$175</c:f>
              <c:numCache>
                <c:formatCode>mmm\-yy</c:formatCode>
                <c:ptCount val="1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</c:numCache>
            </c:numRef>
          </c:cat>
          <c:val>
            <c:numRef>
              <c:f>'T.2.2'!$K$157:$K$175</c:f>
              <c:numCache>
                <c:formatCode>#,##0.0</c:formatCode>
                <c:ptCount val="19"/>
                <c:pt idx="0">
                  <c:v>10120.632</c:v>
                </c:pt>
                <c:pt idx="1">
                  <c:v>10123.401000000002</c:v>
                </c:pt>
                <c:pt idx="2">
                  <c:v>10118.596</c:v>
                </c:pt>
                <c:pt idx="3">
                  <c:v>10117.906000000001</c:v>
                </c:pt>
                <c:pt idx="4">
                  <c:v>10106.483</c:v>
                </c:pt>
                <c:pt idx="5">
                  <c:v>10117.225</c:v>
                </c:pt>
                <c:pt idx="6">
                  <c:v>10112.805</c:v>
                </c:pt>
                <c:pt idx="7" formatCode="#,##0">
                  <c:v>10102.302000000001</c:v>
                </c:pt>
                <c:pt idx="8" formatCode="#,##0">
                  <c:v>10087.526</c:v>
                </c:pt>
                <c:pt idx="9" formatCode="#,##0">
                  <c:v>10073.246000000001</c:v>
                </c:pt>
                <c:pt idx="10" formatCode="#,##0">
                  <c:v>10061.483000000002</c:v>
                </c:pt>
                <c:pt idx="11" formatCode="#,##0">
                  <c:v>10041</c:v>
                </c:pt>
                <c:pt idx="12" formatCode="#,##0">
                  <c:v>10019.761</c:v>
                </c:pt>
                <c:pt idx="13" formatCode="#,##0">
                  <c:v>10010.007999999998</c:v>
                </c:pt>
                <c:pt idx="14" formatCode="#,##0">
                  <c:v>9998.6099999999988</c:v>
                </c:pt>
                <c:pt idx="15" formatCode="#,##0">
                  <c:v>10001.093000000001</c:v>
                </c:pt>
                <c:pt idx="16" formatCode="#,##0">
                  <c:v>9991.3629999999994</c:v>
                </c:pt>
                <c:pt idx="17" formatCode="#,##0">
                  <c:v>9973.9559999999983</c:v>
                </c:pt>
                <c:pt idx="18" formatCode="#,##0">
                  <c:v>9966.9849999999988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D-41AD-9B9F-A9EB071A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156591"/>
        <c:axId val="42174479"/>
      </c:barChart>
      <c:dateAx>
        <c:axId val="42156591"/>
        <c:scaling>
          <c:orientation val="minMax"/>
          <c:max val="46143"/>
          <c:min val="45778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42174479"/>
        <c:crosses val="autoZero"/>
        <c:auto val="0"/>
        <c:lblOffset val="100"/>
        <c:baseTimeUnit val="months"/>
      </c:dateAx>
      <c:valAx>
        <c:axId val="42174479"/>
        <c:scaling>
          <c:orientation val="minMax"/>
          <c:max val="1016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out"/>
        <c:minorTickMark val="none"/>
        <c:tickLblPos val="nextTo"/>
        <c:crossAx val="4215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 sz="600"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/>
              <a:t>Asalariados registrados, en miles (serie larga)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7703410955885529E-2"/>
          <c:y val="8.4416524161458811E-2"/>
          <c:w val="0.85520562090908081"/>
          <c:h val="0.82053689371072414"/>
        </c:manualLayout>
      </c:layout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102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4D3-4034-8459-F601BEB08A49}"/>
              </c:ext>
            </c:extLst>
          </c:dPt>
          <c:dPt>
            <c:idx val="125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91E-4DC4-B8CF-E91A345BDCBE}"/>
              </c:ext>
            </c:extLst>
          </c:dPt>
          <c:dPt>
            <c:idx val="12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6E13-4648-98F0-3B9B82FB47FF}"/>
              </c:ext>
            </c:extLst>
          </c:dPt>
          <c:dPt>
            <c:idx val="12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5550-4E1C-84BC-1132C72A462A}"/>
              </c:ext>
            </c:extLst>
          </c:dPt>
          <c:dPt>
            <c:idx val="13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C1DB-4690-9506-860EF8B390A3}"/>
              </c:ext>
            </c:extLst>
          </c:dPt>
          <c:dPt>
            <c:idx val="13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F4D3-4034-8459-F601BEB08A49}"/>
              </c:ext>
            </c:extLst>
          </c:dPt>
          <c:dPt>
            <c:idx val="1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5550-4E1C-84BC-1132C72A462A}"/>
              </c:ext>
            </c:extLst>
          </c:dPt>
          <c:dPt>
            <c:idx val="14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4D3-4034-8459-F601BEB08A49}"/>
              </c:ext>
            </c:extLst>
          </c:dPt>
          <c:dPt>
            <c:idx val="14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4394-4DBE-A59B-73683B85C581}"/>
              </c:ext>
            </c:extLst>
          </c:dPt>
          <c:dPt>
            <c:idx val="142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91E-4DC4-B8CF-E91A345BDCBE}"/>
              </c:ext>
            </c:extLst>
          </c:dPt>
          <c:dPt>
            <c:idx val="14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F4D3-4034-8459-F601BEB08A49}"/>
              </c:ext>
            </c:extLst>
          </c:dPt>
          <c:dPt>
            <c:idx val="1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8793-4357-AAE4-2DE1396103FF}"/>
              </c:ext>
            </c:extLst>
          </c:dPt>
          <c:dPt>
            <c:idx val="1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D1F4-423E-A944-36D892919605}"/>
              </c:ext>
            </c:extLst>
          </c:dPt>
          <c:dPt>
            <c:idx val="1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9B8E-4749-9132-01F599957094}"/>
              </c:ext>
            </c:extLst>
          </c:dPt>
          <c:dPt>
            <c:idx val="1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37E9-4042-AFF3-1D8090911F0A}"/>
              </c:ext>
            </c:extLst>
          </c:dPt>
          <c:dPt>
            <c:idx val="1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4394-4DBE-A59B-73683B85C581}"/>
              </c:ext>
            </c:extLst>
          </c:dPt>
          <c:dPt>
            <c:idx val="1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976B-4F28-A31C-0DE19265A609}"/>
              </c:ext>
            </c:extLst>
          </c:dPt>
          <c:dPt>
            <c:idx val="15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7735-4B76-A406-542CCC21121C}"/>
              </c:ext>
            </c:extLst>
          </c:dPt>
          <c:dPt>
            <c:idx val="15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BA41-4C68-9999-9FC596800626}"/>
              </c:ext>
            </c:extLst>
          </c:dPt>
          <c:dPt>
            <c:idx val="15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8A66-4874-9CB1-D5F62E6208A9}"/>
              </c:ext>
            </c:extLst>
          </c:dPt>
          <c:dPt>
            <c:idx val="15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D721-4C6D-B173-56863841B71A}"/>
              </c:ext>
            </c:extLst>
          </c:dPt>
          <c:dPt>
            <c:idx val="15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C16B-487F-B9BB-4FBDF5DB141F}"/>
              </c:ext>
            </c:extLst>
          </c:dPt>
          <c:dPt>
            <c:idx val="16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61C6-41C9-B467-E646C3B68BAF}"/>
              </c:ext>
            </c:extLst>
          </c:dPt>
          <c:dPt>
            <c:idx val="16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6C8A-46E4-A226-52EB5A83CB14}"/>
              </c:ext>
            </c:extLst>
          </c:dPt>
          <c:dPt>
            <c:idx val="16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550-4E1C-84BC-1132C72A462A}"/>
              </c:ext>
            </c:extLst>
          </c:dPt>
          <c:dPt>
            <c:idx val="16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7932-4C1A-A473-2FEF0679307D}"/>
              </c:ext>
            </c:extLst>
          </c:dPt>
          <c:dPt>
            <c:idx val="16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6E13-4648-98F0-3B9B82FB47FF}"/>
              </c:ext>
            </c:extLst>
          </c:dPt>
          <c:dPt>
            <c:idx val="16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E386-4D24-8622-9B6D72DF1814}"/>
              </c:ext>
            </c:extLst>
          </c:dPt>
          <c:dPt>
            <c:idx val="16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2895-4779-965D-FC0893D426C3}"/>
              </c:ext>
            </c:extLst>
          </c:dPt>
          <c:dPt>
            <c:idx val="1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EE20-40A1-BB70-05F6D127C5D7}"/>
              </c:ext>
            </c:extLst>
          </c:dPt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A7D4-4027-8C9B-87447C5E38E7}"/>
              </c:ext>
            </c:extLst>
          </c:dPt>
          <c:dPt>
            <c:idx val="17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F-6E55-A44C-8BB5-B69EC1FF1988}"/>
              </c:ext>
            </c:extLst>
          </c:dPt>
          <c:dPt>
            <c:idx val="17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20-3B88-E540-A66E-F8A320C365CF}"/>
              </c:ext>
            </c:extLst>
          </c:dPt>
          <c:dPt>
            <c:idx val="172"/>
            <c:marker>
              <c:symbol val="circle"/>
              <c:size val="5"/>
              <c:spPr>
                <a:solidFill>
                  <a:srgbClr val="164A6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FFDF-674F-937E-02E8AB43D9A8}"/>
              </c:ext>
            </c:extLst>
          </c:dPt>
          <c:dLbls>
            <c:dLbl>
              <c:idx val="102"/>
              <c:layout>
                <c:manualLayout>
                  <c:x val="-3.2797783265834962E-2"/>
                  <c:y val="3.9278130233991265E-2"/>
                </c:manualLayout>
              </c:layout>
              <c:tx>
                <c:rich>
                  <a:bodyPr/>
                  <a:lstStyle/>
                  <a:p>
                    <a:fld id="{96E37AA0-931D-4EB4-9ED5-C2C1C544FD9A}" type="CATEGORYNAME">
                      <a:rPr lang="en-US"/>
                      <a:pPr/>
                      <a:t>[NOMBRE DE CATEGORÍA]</a:t>
                    </a:fld>
                    <a:br>
                      <a:rPr lang="en-US"/>
                    </a:br>
                    <a:fld id="{89F5F66A-39F4-41F9-A288-D11AE6F615B1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4D3-4034-8459-F601BEB08A49}"/>
                </c:ext>
              </c:extLst>
            </c:dLbl>
            <c:dLbl>
              <c:idx val="125"/>
              <c:dLblPos val="l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91E-4DC4-B8CF-E91A345BDCBE}"/>
                </c:ext>
              </c:extLst>
            </c:dLbl>
            <c:dLbl>
              <c:idx val="12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8094132379579318E-2"/>
                      <c:h val="6.16909385113268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5550-4E1C-84BC-1132C72A462A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2686384052345569E-2"/>
                      <c:h val="7.38268608414239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5550-4E1C-84BC-1132C72A462A}"/>
                </c:ext>
              </c:extLst>
            </c:dLbl>
            <c:dLbl>
              <c:idx val="142"/>
              <c:layout>
                <c:manualLayout>
                  <c:x val="1.499150221722961E-2"/>
                  <c:y val="-3.73870650461733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91E-4DC4-B8CF-E91A345BDCBE}"/>
                </c:ext>
              </c:extLst>
            </c:dLbl>
            <c:dLbl>
              <c:idx val="15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5460108528366122E-2"/>
                      <c:h val="6.77354145966196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735-4B76-A406-542CCC21121C}"/>
                </c:ext>
              </c:extLst>
            </c:dLbl>
            <c:dLbl>
              <c:idx val="15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9192870975208043E-2"/>
                      <c:h val="0.1081744680871388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BA41-4C68-9999-9FC596800626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5159327734704623E-2"/>
                      <c:h val="6.97573672711456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8A66-4874-9CB1-D5F62E6208A9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6366005305000576E-2"/>
                      <c:h val="0.118236944640856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D721-4C6D-B173-56863841B71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6810446009389655E-2"/>
                      <c:h val="6.97815533980582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C16B-487F-B9BB-4FBDF5DB141F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3180751173708924E-2"/>
                      <c:h val="8.19174757281553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61C6-41C9-B467-E646C3B68BAF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4176994380984069E-2"/>
                      <c:h val="0.1163025889967637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6C8A-46E4-A226-52EB5A83CB14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6891080736386808E-2"/>
                      <c:h val="0.112257281553398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5550-4E1C-84BC-1132C72A462A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1159419051430809E-2"/>
                      <c:h val="6.7700901570097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7932-4C1A-A473-2FEF0679307D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4901281838394095E-2"/>
                      <c:h val="4.24393711334940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6E13-4648-98F0-3B9B82FB47FF}"/>
                </c:ext>
              </c:extLst>
            </c:dLbl>
            <c:dLbl>
              <c:idx val="16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641908122328348E-2"/>
                      <c:h val="4.446029356842230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EE20-40A1-BB70-05F6D127C5D7}"/>
                </c:ext>
              </c:extLst>
            </c:dLbl>
            <c:dLbl>
              <c:idx val="16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754861423130872E-2"/>
                      <c:h val="6.67894426664238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A7D4-4027-8C9B-87447C5E38E7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6659802855085338E-2"/>
                      <c:h val="6.47420128632200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F-6E55-A44C-8BB5-B69EC1FF1988}"/>
                </c:ext>
              </c:extLst>
            </c:dLbl>
            <c:dLbl>
              <c:idx val="1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3B88-E540-A66E-F8A320C365CF}"/>
                </c:ext>
              </c:extLst>
            </c:dLbl>
            <c:dLbl>
              <c:idx val="172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FDF-674F-937E-02E8AB43D9A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164A6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'T.2.2'!$J$3:$J$175</c:f>
              <c:numCache>
                <c:formatCode>mmm\-yy</c:formatCode>
                <c:ptCount val="17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  <c:pt idx="156">
                  <c:v>45658</c:v>
                </c:pt>
                <c:pt idx="157">
                  <c:v>45689</c:v>
                </c:pt>
                <c:pt idx="158">
                  <c:v>45717</c:v>
                </c:pt>
                <c:pt idx="159">
                  <c:v>45748</c:v>
                </c:pt>
                <c:pt idx="160">
                  <c:v>45778</c:v>
                </c:pt>
                <c:pt idx="161">
                  <c:v>45809</c:v>
                </c:pt>
                <c:pt idx="162">
                  <c:v>45839</c:v>
                </c:pt>
                <c:pt idx="163">
                  <c:v>45870</c:v>
                </c:pt>
                <c:pt idx="164">
                  <c:v>45901</c:v>
                </c:pt>
                <c:pt idx="165">
                  <c:v>45931</c:v>
                </c:pt>
                <c:pt idx="166">
                  <c:v>45962</c:v>
                </c:pt>
                <c:pt idx="167">
                  <c:v>45992</c:v>
                </c:pt>
                <c:pt idx="168">
                  <c:v>46023</c:v>
                </c:pt>
                <c:pt idx="169">
                  <c:v>46054</c:v>
                </c:pt>
                <c:pt idx="170">
                  <c:v>46082</c:v>
                </c:pt>
                <c:pt idx="171">
                  <c:v>46113</c:v>
                </c:pt>
                <c:pt idx="172">
                  <c:v>46143</c:v>
                </c:pt>
              </c:numCache>
            </c:numRef>
          </c:cat>
          <c:val>
            <c:numRef>
              <c:f>'T.2.2'!$K$3:$K$175</c:f>
              <c:numCache>
                <c:formatCode>#,##0.0</c:formatCode>
                <c:ptCount val="173"/>
                <c:pt idx="0">
                  <c:v>9007.8260000000009</c:v>
                </c:pt>
                <c:pt idx="1">
                  <c:v>9062.866</c:v>
                </c:pt>
                <c:pt idx="2">
                  <c:v>9085.1630000000005</c:v>
                </c:pt>
                <c:pt idx="3">
                  <c:v>9072.3779999999988</c:v>
                </c:pt>
                <c:pt idx="4">
                  <c:v>9056.6310000000012</c:v>
                </c:pt>
                <c:pt idx="5">
                  <c:v>9092.3319999999985</c:v>
                </c:pt>
                <c:pt idx="6">
                  <c:v>9087.8629999999994</c:v>
                </c:pt>
                <c:pt idx="7">
                  <c:v>9094.4000000000015</c:v>
                </c:pt>
                <c:pt idx="8">
                  <c:v>9089.607</c:v>
                </c:pt>
                <c:pt idx="9">
                  <c:v>9103.7330000000002</c:v>
                </c:pt>
                <c:pt idx="10">
                  <c:v>9125.9860000000008</c:v>
                </c:pt>
                <c:pt idx="11">
                  <c:v>9151.4440000000013</c:v>
                </c:pt>
                <c:pt idx="12">
                  <c:v>9212.5459999999985</c:v>
                </c:pt>
                <c:pt idx="13">
                  <c:v>9229.0010000000002</c:v>
                </c:pt>
                <c:pt idx="14">
                  <c:v>9239.4869999999992</c:v>
                </c:pt>
                <c:pt idx="15">
                  <c:v>9271.723</c:v>
                </c:pt>
                <c:pt idx="16">
                  <c:v>9338.2019999999993</c:v>
                </c:pt>
                <c:pt idx="17">
                  <c:v>9335.1659999999993</c:v>
                </c:pt>
                <c:pt idx="18">
                  <c:v>9361.24</c:v>
                </c:pt>
                <c:pt idx="19">
                  <c:v>9378.9410000000007</c:v>
                </c:pt>
                <c:pt idx="20">
                  <c:v>9378.8089999999993</c:v>
                </c:pt>
                <c:pt idx="21">
                  <c:v>9399.4830000000002</c:v>
                </c:pt>
                <c:pt idx="22">
                  <c:v>9413.9930000000004</c:v>
                </c:pt>
                <c:pt idx="23">
                  <c:v>9428.7389999999996</c:v>
                </c:pt>
                <c:pt idx="24">
                  <c:v>9426.6020000000008</c:v>
                </c:pt>
                <c:pt idx="25">
                  <c:v>9430.8080000000009</c:v>
                </c:pt>
                <c:pt idx="26">
                  <c:v>9359.1809999999987</c:v>
                </c:pt>
                <c:pt idx="27">
                  <c:v>9424.146999999999</c:v>
                </c:pt>
                <c:pt idx="28">
                  <c:v>9444.8130000000001</c:v>
                </c:pt>
                <c:pt idx="29">
                  <c:v>9462.3109999999997</c:v>
                </c:pt>
                <c:pt idx="30">
                  <c:v>9475.0159999999996</c:v>
                </c:pt>
                <c:pt idx="31">
                  <c:v>9478.0769999999993</c:v>
                </c:pt>
                <c:pt idx="32">
                  <c:v>9505.8359999999993</c:v>
                </c:pt>
                <c:pt idx="33">
                  <c:v>9517.884</c:v>
                </c:pt>
                <c:pt idx="34">
                  <c:v>9538.6830000000009</c:v>
                </c:pt>
                <c:pt idx="35">
                  <c:v>9532.6779999999999</c:v>
                </c:pt>
                <c:pt idx="36">
                  <c:v>9560.3409999999985</c:v>
                </c:pt>
                <c:pt idx="37">
                  <c:v>9585.8310000000001</c:v>
                </c:pt>
                <c:pt idx="38">
                  <c:v>9604.3350000000009</c:v>
                </c:pt>
                <c:pt idx="39">
                  <c:v>9654.7080000000005</c:v>
                </c:pt>
                <c:pt idx="40">
                  <c:v>9673.2970000000005</c:v>
                </c:pt>
                <c:pt idx="41">
                  <c:v>9704.56</c:v>
                </c:pt>
                <c:pt idx="42">
                  <c:v>9751.9470000000001</c:v>
                </c:pt>
                <c:pt idx="43">
                  <c:v>9776.1620000000003</c:v>
                </c:pt>
                <c:pt idx="44">
                  <c:v>9772.848</c:v>
                </c:pt>
                <c:pt idx="45">
                  <c:v>9792.1979999999985</c:v>
                </c:pt>
                <c:pt idx="46">
                  <c:v>9791.9569999999985</c:v>
                </c:pt>
                <c:pt idx="47">
                  <c:v>9757</c:v>
                </c:pt>
                <c:pt idx="48">
                  <c:v>9734.9810000000016</c:v>
                </c:pt>
                <c:pt idx="49">
                  <c:v>9741.4299999999985</c:v>
                </c:pt>
                <c:pt idx="50">
                  <c:v>9748.2049999999999</c:v>
                </c:pt>
                <c:pt idx="51">
                  <c:v>9741.3770000000004</c:v>
                </c:pt>
                <c:pt idx="52">
                  <c:v>9734.5790000000015</c:v>
                </c:pt>
                <c:pt idx="53">
                  <c:v>9735.2170000000006</c:v>
                </c:pt>
                <c:pt idx="54">
                  <c:v>9737.1890000000003</c:v>
                </c:pt>
                <c:pt idx="55">
                  <c:v>9739.860999999999</c:v>
                </c:pt>
                <c:pt idx="56">
                  <c:v>9744.2549999999992</c:v>
                </c:pt>
                <c:pt idx="57">
                  <c:v>9749.8019999999997</c:v>
                </c:pt>
                <c:pt idx="58">
                  <c:v>9760.1509999999998</c:v>
                </c:pt>
                <c:pt idx="59">
                  <c:v>9766.3790000000008</c:v>
                </c:pt>
                <c:pt idx="60">
                  <c:v>9776.0499999999993</c:v>
                </c:pt>
                <c:pt idx="61">
                  <c:v>9774.2630000000008</c:v>
                </c:pt>
                <c:pt idx="62">
                  <c:v>9788.6270000000004</c:v>
                </c:pt>
                <c:pt idx="63">
                  <c:v>9791.3520000000008</c:v>
                </c:pt>
                <c:pt idx="64">
                  <c:v>9818.61</c:v>
                </c:pt>
                <c:pt idx="65">
                  <c:v>9835.8359999999993</c:v>
                </c:pt>
                <c:pt idx="66">
                  <c:v>9851.2860000000019</c:v>
                </c:pt>
                <c:pt idx="67">
                  <c:v>9852.496000000001</c:v>
                </c:pt>
                <c:pt idx="68">
                  <c:v>9874.2710000000006</c:v>
                </c:pt>
                <c:pt idx="69">
                  <c:v>9885.8140000000003</c:v>
                </c:pt>
                <c:pt idx="70">
                  <c:v>9903.9009999999998</c:v>
                </c:pt>
                <c:pt idx="71">
                  <c:v>9920.6569999999992</c:v>
                </c:pt>
                <c:pt idx="72">
                  <c:v>9930.5110000000004</c:v>
                </c:pt>
                <c:pt idx="73">
                  <c:v>9909.7160000000003</c:v>
                </c:pt>
                <c:pt idx="74">
                  <c:v>9921.6349999999984</c:v>
                </c:pt>
                <c:pt idx="75">
                  <c:v>9925.4770000000008</c:v>
                </c:pt>
                <c:pt idx="76">
                  <c:v>9916.3259999999991</c:v>
                </c:pt>
                <c:pt idx="77">
                  <c:v>9895.8010000000013</c:v>
                </c:pt>
                <c:pt idx="78">
                  <c:v>9889.732</c:v>
                </c:pt>
                <c:pt idx="79">
                  <c:v>9889.9040000000005</c:v>
                </c:pt>
                <c:pt idx="80">
                  <c:v>9858.9359999999997</c:v>
                </c:pt>
                <c:pt idx="81">
                  <c:v>9847.5010000000002</c:v>
                </c:pt>
                <c:pt idx="82">
                  <c:v>9819.4150000000009</c:v>
                </c:pt>
                <c:pt idx="83">
                  <c:v>9801.5619999999999</c:v>
                </c:pt>
                <c:pt idx="84">
                  <c:v>9805.5130000000008</c:v>
                </c:pt>
                <c:pt idx="85">
                  <c:v>9813.5280000000002</c:v>
                </c:pt>
                <c:pt idx="86">
                  <c:v>9795.969000000001</c:v>
                </c:pt>
                <c:pt idx="87">
                  <c:v>9803.8310000000001</c:v>
                </c:pt>
                <c:pt idx="88">
                  <c:v>9802.6319999999996</c:v>
                </c:pt>
                <c:pt idx="89">
                  <c:v>9797.2469999999994</c:v>
                </c:pt>
                <c:pt idx="90">
                  <c:v>9793.277</c:v>
                </c:pt>
                <c:pt idx="91">
                  <c:v>9781.3260000000009</c:v>
                </c:pt>
                <c:pt idx="92">
                  <c:v>9766.8019999999997</c:v>
                </c:pt>
                <c:pt idx="93">
                  <c:v>9750.9879999999994</c:v>
                </c:pt>
                <c:pt idx="94">
                  <c:v>9728.9240000000009</c:v>
                </c:pt>
                <c:pt idx="95">
                  <c:v>9713.9349999999995</c:v>
                </c:pt>
                <c:pt idx="96">
                  <c:v>9696.9549999999981</c:v>
                </c:pt>
                <c:pt idx="97">
                  <c:v>9701.4000000000015</c:v>
                </c:pt>
                <c:pt idx="98">
                  <c:v>9662.7209999999995</c:v>
                </c:pt>
                <c:pt idx="99">
                  <c:v>9537.009</c:v>
                </c:pt>
                <c:pt idx="100">
                  <c:v>9497.0349999999999</c:v>
                </c:pt>
                <c:pt idx="101">
                  <c:v>9488.8960000000006</c:v>
                </c:pt>
                <c:pt idx="102">
                  <c:v>9476.152</c:v>
                </c:pt>
                <c:pt idx="103">
                  <c:v>9479.5869999999995</c:v>
                </c:pt>
                <c:pt idx="104">
                  <c:v>9483.7439999999988</c:v>
                </c:pt>
                <c:pt idx="105">
                  <c:v>9483.9130000000005</c:v>
                </c:pt>
                <c:pt idx="106">
                  <c:v>9505.5849999999991</c:v>
                </c:pt>
                <c:pt idx="107">
                  <c:v>9501.8109999999997</c:v>
                </c:pt>
                <c:pt idx="108">
                  <c:v>9525.4979999999996</c:v>
                </c:pt>
                <c:pt idx="109">
                  <c:v>9551.0859999999993</c:v>
                </c:pt>
                <c:pt idx="110">
                  <c:v>9593.023000000001</c:v>
                </c:pt>
                <c:pt idx="111">
                  <c:v>9632.848</c:v>
                </c:pt>
                <c:pt idx="112">
                  <c:v>9647.7419999999984</c:v>
                </c:pt>
                <c:pt idx="113">
                  <c:v>9656.1219999999994</c:v>
                </c:pt>
                <c:pt idx="114">
                  <c:v>9664.9060000000009</c:v>
                </c:pt>
                <c:pt idx="115">
                  <c:v>9688.7829999999994</c:v>
                </c:pt>
                <c:pt idx="116">
                  <c:v>9715.2579999999998</c:v>
                </c:pt>
                <c:pt idx="117">
                  <c:v>9743.2150000000001</c:v>
                </c:pt>
                <c:pt idx="118">
                  <c:v>9775.6260000000002</c:v>
                </c:pt>
                <c:pt idx="119">
                  <c:v>9818.369999999999</c:v>
                </c:pt>
                <c:pt idx="120">
                  <c:v>9851.9320000000007</c:v>
                </c:pt>
                <c:pt idx="121">
                  <c:v>9869.1640000000007</c:v>
                </c:pt>
                <c:pt idx="122">
                  <c:v>9903.3639999999978</c:v>
                </c:pt>
                <c:pt idx="123">
                  <c:v>9938.8269999999993</c:v>
                </c:pt>
                <c:pt idx="124">
                  <c:v>9972.68</c:v>
                </c:pt>
                <c:pt idx="125">
                  <c:v>10006.995000000001</c:v>
                </c:pt>
                <c:pt idx="126">
                  <c:v>10048.217000000001</c:v>
                </c:pt>
                <c:pt idx="127">
                  <c:v>10047.767</c:v>
                </c:pt>
                <c:pt idx="128">
                  <c:v>10075.989</c:v>
                </c:pt>
                <c:pt idx="129">
                  <c:v>10096.56</c:v>
                </c:pt>
                <c:pt idx="130">
                  <c:v>10122.337</c:v>
                </c:pt>
                <c:pt idx="131">
                  <c:v>10133.038</c:v>
                </c:pt>
                <c:pt idx="132">
                  <c:v>10167.112999999999</c:v>
                </c:pt>
                <c:pt idx="133">
                  <c:v>10192.718999999999</c:v>
                </c:pt>
                <c:pt idx="134">
                  <c:v>10221.687</c:v>
                </c:pt>
                <c:pt idx="135">
                  <c:v>10248.703</c:v>
                </c:pt>
                <c:pt idx="136">
                  <c:v>10279.608</c:v>
                </c:pt>
                <c:pt idx="137">
                  <c:v>10304.848</c:v>
                </c:pt>
                <c:pt idx="138">
                  <c:v>10330.974</c:v>
                </c:pt>
                <c:pt idx="139">
                  <c:v>10343.745000000001</c:v>
                </c:pt>
                <c:pt idx="140">
                  <c:v>10327.645</c:v>
                </c:pt>
                <c:pt idx="141">
                  <c:v>10315.284</c:v>
                </c:pt>
                <c:pt idx="142">
                  <c:v>10304.35</c:v>
                </c:pt>
                <c:pt idx="143">
                  <c:v>10297.789000000001</c:v>
                </c:pt>
                <c:pt idx="144">
                  <c:v>10229.785999999998</c:v>
                </c:pt>
                <c:pt idx="145">
                  <c:v>10201.769</c:v>
                </c:pt>
                <c:pt idx="146">
                  <c:v>10172.288</c:v>
                </c:pt>
                <c:pt idx="147">
                  <c:v>10149.653</c:v>
                </c:pt>
                <c:pt idx="148">
                  <c:v>10131.217999999999</c:v>
                </c:pt>
                <c:pt idx="149">
                  <c:v>10115.67</c:v>
                </c:pt>
                <c:pt idx="150">
                  <c:v>10104.909</c:v>
                </c:pt>
                <c:pt idx="151">
                  <c:v>10106.303</c:v>
                </c:pt>
                <c:pt idx="152">
                  <c:v>10114.460000000001</c:v>
                </c:pt>
                <c:pt idx="153">
                  <c:v>10122.714</c:v>
                </c:pt>
                <c:pt idx="154">
                  <c:v>10120.632</c:v>
                </c:pt>
                <c:pt idx="155">
                  <c:v>10123.401000000002</c:v>
                </c:pt>
                <c:pt idx="156">
                  <c:v>10118.596</c:v>
                </c:pt>
                <c:pt idx="157">
                  <c:v>10117.906000000001</c:v>
                </c:pt>
                <c:pt idx="158">
                  <c:v>10106.483</c:v>
                </c:pt>
                <c:pt idx="159">
                  <c:v>10117.225</c:v>
                </c:pt>
                <c:pt idx="160">
                  <c:v>10112.805</c:v>
                </c:pt>
                <c:pt idx="161" formatCode="#,##0">
                  <c:v>10102.302000000001</c:v>
                </c:pt>
                <c:pt idx="162" formatCode="#,##0">
                  <c:v>10087.526</c:v>
                </c:pt>
                <c:pt idx="163" formatCode="#,##0">
                  <c:v>10073.246000000001</c:v>
                </c:pt>
                <c:pt idx="164" formatCode="#,##0">
                  <c:v>10061.483000000002</c:v>
                </c:pt>
                <c:pt idx="165" formatCode="#,##0">
                  <c:v>10041</c:v>
                </c:pt>
                <c:pt idx="166" formatCode="#,##0">
                  <c:v>10019.761</c:v>
                </c:pt>
                <c:pt idx="167" formatCode="#,##0">
                  <c:v>10010.007999999998</c:v>
                </c:pt>
                <c:pt idx="168" formatCode="#,##0">
                  <c:v>9998.6099999999988</c:v>
                </c:pt>
                <c:pt idx="169" formatCode="#,##0">
                  <c:v>10001.093000000001</c:v>
                </c:pt>
                <c:pt idx="170" formatCode="#,##0">
                  <c:v>9991.3629999999994</c:v>
                </c:pt>
                <c:pt idx="171" formatCode="#,##0">
                  <c:v>9973.9559999999983</c:v>
                </c:pt>
                <c:pt idx="172" formatCode="#,##0">
                  <c:v>9966.9849999999988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Asalariados registrados</c:v>
                </c15:tx>
              </c15:filteredSeriesTitle>
            </c:ext>
            <c:ext xmlns:c16="http://schemas.microsoft.com/office/drawing/2014/chart" uri="{C3380CC4-5D6E-409C-BE32-E72D297353CC}">
              <c16:uniqueId val="{00000000-F4D3-4034-8459-F601BEB08A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21007"/>
        <c:axId val="165734735"/>
      </c:lineChart>
      <c:dateAx>
        <c:axId val="165721007"/>
        <c:scaling>
          <c:orientation val="minMax"/>
          <c:max val="46143"/>
          <c:min val="40940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5734735"/>
        <c:crosses val="autoZero"/>
        <c:auto val="1"/>
        <c:lblOffset val="100"/>
        <c:baseTimeUnit val="months"/>
        <c:majorUnit val="5"/>
        <c:majorTimeUnit val="months"/>
      </c:dateAx>
      <c:valAx>
        <c:axId val="165734735"/>
        <c:scaling>
          <c:orientation val="minMax"/>
          <c:min val="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572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 sz="600"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/>
              <a:t>Asalariados</a:t>
            </a:r>
            <a:r>
              <a:rPr lang="es-AR" baseline="0"/>
              <a:t> registrados del sector público, en miles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Asalariados públicos</c:v>
          </c:tx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164A6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'T.2.2'!$J$157:$J$175</c:f>
              <c:numCache>
                <c:formatCode>mmm\-yy</c:formatCode>
                <c:ptCount val="19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</c:numCache>
            </c:numRef>
          </c:cat>
          <c:val>
            <c:numRef>
              <c:f>'T.2.2'!$M$157:$M$175</c:f>
              <c:numCache>
                <c:formatCode>#,##0.0</c:formatCode>
                <c:ptCount val="19"/>
                <c:pt idx="0">
                  <c:v>3417.8049999999998</c:v>
                </c:pt>
                <c:pt idx="1">
                  <c:v>3413.6239999999998</c:v>
                </c:pt>
                <c:pt idx="2">
                  <c:v>3419.48</c:v>
                </c:pt>
                <c:pt idx="3">
                  <c:v>3408.0770000000002</c:v>
                </c:pt>
                <c:pt idx="4">
                  <c:v>3408.0770000000002</c:v>
                </c:pt>
                <c:pt idx="5">
                  <c:v>3409.75</c:v>
                </c:pt>
                <c:pt idx="6">
                  <c:v>3404.21</c:v>
                </c:pt>
                <c:pt idx="7">
                  <c:v>3409.3670000000002</c:v>
                </c:pt>
                <c:pt idx="8">
                  <c:v>3407.203</c:v>
                </c:pt>
                <c:pt idx="9">
                  <c:v>3404.4070000000002</c:v>
                </c:pt>
                <c:pt idx="10">
                  <c:v>3406.482</c:v>
                </c:pt>
                <c:pt idx="11">
                  <c:v>3402.3209999999999</c:v>
                </c:pt>
                <c:pt idx="12">
                  <c:v>3396.3150000000001</c:v>
                </c:pt>
                <c:pt idx="13">
                  <c:v>3394.8739999999998</c:v>
                </c:pt>
                <c:pt idx="14">
                  <c:v>3390.1640000000002</c:v>
                </c:pt>
                <c:pt idx="15">
                  <c:v>3393.9180000000001</c:v>
                </c:pt>
                <c:pt idx="16">
                  <c:v>3393.3739999999998</c:v>
                </c:pt>
                <c:pt idx="17">
                  <c:v>3386.7730000000001</c:v>
                </c:pt>
                <c:pt idx="18">
                  <c:v>3387.509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9-41F9-88DB-479FB72C9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156591"/>
        <c:axId val="42174479"/>
      </c:barChart>
      <c:dateAx>
        <c:axId val="42156591"/>
        <c:scaling>
          <c:orientation val="minMax"/>
          <c:max val="46143"/>
          <c:min val="45778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42174479"/>
        <c:crosses val="autoZero"/>
        <c:auto val="0"/>
        <c:lblOffset val="100"/>
        <c:baseTimeUnit val="months"/>
      </c:dateAx>
      <c:valAx>
        <c:axId val="42174479"/>
        <c:scaling>
          <c:orientation val="minMax"/>
          <c:max val="342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out"/>
        <c:minorTickMark val="none"/>
        <c:tickLblPos val="nextTo"/>
        <c:crossAx val="4215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/>
              <a:t>Asalariados de casas</a:t>
            </a:r>
            <a:r>
              <a:rPr lang="es-AR" baseline="0"/>
              <a:t> particulares</a:t>
            </a:r>
            <a:r>
              <a:rPr lang="es-AR"/>
              <a:t>, e</a:t>
            </a:r>
            <a:r>
              <a:rPr lang="es-AR" baseline="0"/>
              <a:t>n miles (serie larga)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Asalariados registrados</c:v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2AFC-40AE-AAD7-7141439DCA18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9F17-4C4F-88F6-9CFC642F6192}"/>
              </c:ext>
            </c:extLst>
          </c:dPt>
          <c:dPt>
            <c:idx val="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7D69-480C-B302-92364AA2175F}"/>
              </c:ext>
            </c:extLst>
          </c:dPt>
          <c:dPt>
            <c:idx val="4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FFE-574D-B471-DBD1D37B7BE2}"/>
              </c:ext>
            </c:extLst>
          </c:dPt>
          <c:dPt>
            <c:idx val="4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9F17-4C4F-88F6-9CFC642F6192}"/>
              </c:ext>
            </c:extLst>
          </c:dPt>
          <c:dPt>
            <c:idx val="5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6CC5-423B-87F2-B951E4EAD4DE}"/>
              </c:ext>
            </c:extLst>
          </c:dPt>
          <c:dPt>
            <c:idx val="93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CC5-423B-87F2-B951E4EAD4DE}"/>
              </c:ext>
            </c:extLst>
          </c:dPt>
          <c:dPt>
            <c:idx val="1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9F17-4C4F-88F6-9CFC642F6192}"/>
              </c:ext>
            </c:extLst>
          </c:dPt>
          <c:dPt>
            <c:idx val="14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6CC5-423B-87F2-B951E4EAD4DE}"/>
              </c:ext>
            </c:extLst>
          </c:dPt>
          <c:dPt>
            <c:idx val="15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6CC5-423B-87F2-B951E4EAD4DE}"/>
              </c:ext>
            </c:extLst>
          </c:dPt>
          <c:dPt>
            <c:idx val="15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3368-48E4-9572-8D6DE240091A}"/>
              </c:ext>
            </c:extLst>
          </c:dPt>
          <c:dPt>
            <c:idx val="15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AD3-45AC-B69C-6FA56FF70EF7}"/>
              </c:ext>
            </c:extLst>
          </c:dPt>
          <c:dPt>
            <c:idx val="16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0439-4A1C-9C6C-BBCC9C945DA7}"/>
              </c:ext>
            </c:extLst>
          </c:dPt>
          <c:dPt>
            <c:idx val="16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8EA3-4304-A2C6-900DC563502B}"/>
              </c:ext>
            </c:extLst>
          </c:dPt>
          <c:dPt>
            <c:idx val="16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BFA4-4BAB-B8E5-0D786D73F82B}"/>
              </c:ext>
            </c:extLst>
          </c:dPt>
          <c:dPt>
            <c:idx val="16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D6F8-42D2-98B4-1EFAD2E6E9A8}"/>
              </c:ext>
            </c:extLst>
          </c:dPt>
          <c:dPt>
            <c:idx val="16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2AFC-40AE-AAD7-7141439DCA18}"/>
              </c:ext>
            </c:extLst>
          </c:dPt>
          <c:dPt>
            <c:idx val="16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947E-49E8-9B70-F23803DFECC8}"/>
              </c:ext>
            </c:extLst>
          </c:dPt>
          <c:dPt>
            <c:idx val="16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567F-4CDB-B98A-84BE26D11B24}"/>
              </c:ext>
            </c:extLst>
          </c:dPt>
          <c:dPt>
            <c:idx val="16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7518-404B-9019-2C700C2F0B04}"/>
              </c:ext>
            </c:extLst>
          </c:dPt>
          <c:dPt>
            <c:idx val="16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A8E7-4C52-80D4-8DCA1DD55D0A}"/>
              </c:ext>
            </c:extLst>
          </c:dPt>
          <c:dPt>
            <c:idx val="17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318E-EB4E-BDC1-DE2D74F7DDCF}"/>
              </c:ext>
            </c:extLst>
          </c:dPt>
          <c:dPt>
            <c:idx val="172"/>
            <c:marker>
              <c:symbol val="circle"/>
              <c:size val="5"/>
              <c:spPr>
                <a:solidFill>
                  <a:srgbClr val="164A6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49EB-074E-94D8-FDE43E2B23D8}"/>
              </c:ext>
            </c:extLst>
          </c:dPt>
          <c:dLbls>
            <c:dLbl>
              <c:idx val="1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981058685856405E-2"/>
                      <c:h val="6.46695179177051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2AFC-40AE-AAD7-7141439DCA1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793822242412327E-2"/>
                      <c:h val="6.7700901570097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9F17-4C4F-88F6-9CFC642F6192}"/>
                </c:ext>
              </c:extLst>
            </c:dLbl>
            <c:dLbl>
              <c:idx val="43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4630262651805248E-2"/>
                      <c:h val="7.51842730024490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5FFE-574D-B471-DBD1D37B7BE2}"/>
                </c:ext>
              </c:extLst>
            </c:dLbl>
            <c:dLbl>
              <c:idx val="4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0921324088275325E-2"/>
                      <c:h val="8.38682810495239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9F17-4C4F-88F6-9CFC642F6192}"/>
                </c:ext>
              </c:extLst>
            </c:dLbl>
            <c:dLbl>
              <c:idx val="5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951042292691487E-2"/>
                      <c:h val="0.112218373436190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6CC5-423B-87F2-B951E4EAD4DE}"/>
                </c:ext>
              </c:extLst>
            </c:dLbl>
            <c:dLbl>
              <c:idx val="93"/>
              <c:layout>
                <c:manualLayout>
                  <c:x val="-9.2596028828437673E-3"/>
                  <c:y val="-4.232330256950310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020165190543171E-2"/>
                      <c:h val="8.97774548808028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6CC5-423B-87F2-B951E4EAD4DE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3659792612067611E-2"/>
                      <c:h val="6.7700901570097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F17-4C4F-88F6-9CFC642F6192}"/>
                </c:ext>
              </c:extLst>
            </c:dLbl>
            <c:dLbl>
              <c:idx val="14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0757917912842434E-2"/>
                      <c:h val="7.17793199456715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6CC5-423B-87F2-B951E4EAD4DE}"/>
                </c:ext>
              </c:extLst>
            </c:dLbl>
            <c:dLbl>
              <c:idx val="15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9069296636304701E-2"/>
                      <c:h val="0.100086657389034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6CC5-423B-87F2-B951E4EAD4DE}"/>
                </c:ext>
              </c:extLst>
            </c:dLbl>
            <c:dLbl>
              <c:idx val="15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4151137437288576E-2"/>
                      <c:h val="0.1404541092275159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3368-48E4-9572-8D6DE240091A}"/>
                </c:ext>
              </c:extLst>
            </c:dLbl>
            <c:dLbl>
              <c:idx val="15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8.5857860350909129E-2"/>
                      <c:h val="7.1742746439954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D3-45AC-B69C-6FA56FF70EF7}"/>
                </c:ext>
              </c:extLst>
            </c:dLbl>
            <c:dLbl>
              <c:idx val="16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64648022738353E-2"/>
                      <c:h val="7.1742746439954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0439-4A1C-9C6C-BBCC9C945DA7}"/>
                </c:ext>
              </c:extLst>
            </c:dLbl>
            <c:dLbl>
              <c:idx val="16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8261242096623218E-2"/>
                      <c:h val="6.77009015700976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EA3-4304-A2C6-900DC563502B}"/>
                </c:ext>
              </c:extLst>
            </c:dLbl>
            <c:dLbl>
              <c:idx val="16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1933228836433077E-2"/>
                      <c:h val="6.365905670024103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BFA4-4BAB-B8E5-0D786D73F82B}"/>
                </c:ext>
              </c:extLst>
            </c:dLbl>
            <c:dLbl>
              <c:idx val="16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9.0609413081389104E-2"/>
                      <c:h val="7.1742746439954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D6F8-42D2-98B4-1EFAD2E6E9A8}"/>
                </c:ext>
              </c:extLst>
            </c:dLbl>
            <c:dLbl>
              <c:idx val="16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9843367814846943E-2"/>
                      <c:h val="6.8711362787561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2AFC-40AE-AAD7-7141439DCA18}"/>
                </c:ext>
              </c:extLst>
            </c:dLbl>
            <c:dLbl>
              <c:idx val="17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18E-EB4E-BDC1-DE2D74F7DDCF}"/>
                </c:ext>
              </c:extLst>
            </c:dLbl>
            <c:dLbl>
              <c:idx val="172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9EB-074E-94D8-FDE43E2B23D8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1E5B78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'T.2.2'!$J$3:$J$175</c:f>
              <c:numCache>
                <c:formatCode>mmm\-yy</c:formatCode>
                <c:ptCount val="17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  <c:pt idx="156">
                  <c:v>45658</c:v>
                </c:pt>
                <c:pt idx="157">
                  <c:v>45689</c:v>
                </c:pt>
                <c:pt idx="158">
                  <c:v>45717</c:v>
                </c:pt>
                <c:pt idx="159">
                  <c:v>45748</c:v>
                </c:pt>
                <c:pt idx="160">
                  <c:v>45778</c:v>
                </c:pt>
                <c:pt idx="161">
                  <c:v>45809</c:v>
                </c:pt>
                <c:pt idx="162">
                  <c:v>45839</c:v>
                </c:pt>
                <c:pt idx="163">
                  <c:v>45870</c:v>
                </c:pt>
                <c:pt idx="164">
                  <c:v>45901</c:v>
                </c:pt>
                <c:pt idx="165">
                  <c:v>45931</c:v>
                </c:pt>
                <c:pt idx="166">
                  <c:v>45962</c:v>
                </c:pt>
                <c:pt idx="167">
                  <c:v>45992</c:v>
                </c:pt>
                <c:pt idx="168">
                  <c:v>46023</c:v>
                </c:pt>
                <c:pt idx="169">
                  <c:v>46054</c:v>
                </c:pt>
                <c:pt idx="170">
                  <c:v>46082</c:v>
                </c:pt>
                <c:pt idx="171">
                  <c:v>46113</c:v>
                </c:pt>
                <c:pt idx="172">
                  <c:v>46143</c:v>
                </c:pt>
              </c:numCache>
            </c:numRef>
          </c:cat>
          <c:val>
            <c:numRef>
              <c:f>'T.2.2'!$N$3:$N$175</c:f>
              <c:numCache>
                <c:formatCode>#,##0.0</c:formatCode>
                <c:ptCount val="173"/>
                <c:pt idx="0">
                  <c:v>389.74900000000002</c:v>
                </c:pt>
                <c:pt idx="1">
                  <c:v>390.32900000000001</c:v>
                </c:pt>
                <c:pt idx="2">
                  <c:v>390.32400000000001</c:v>
                </c:pt>
                <c:pt idx="3">
                  <c:v>391.72300000000001</c:v>
                </c:pt>
                <c:pt idx="4">
                  <c:v>393.05799999999999</c:v>
                </c:pt>
                <c:pt idx="5">
                  <c:v>394.67399999999998</c:v>
                </c:pt>
                <c:pt idx="6">
                  <c:v>395.90499999999997</c:v>
                </c:pt>
                <c:pt idx="7">
                  <c:v>397.548</c:v>
                </c:pt>
                <c:pt idx="8">
                  <c:v>398.64699999999999</c:v>
                </c:pt>
                <c:pt idx="9">
                  <c:v>399.69400000000002</c:v>
                </c:pt>
                <c:pt idx="10">
                  <c:v>401.08300000000003</c:v>
                </c:pt>
                <c:pt idx="11">
                  <c:v>402.21600000000001</c:v>
                </c:pt>
                <c:pt idx="12">
                  <c:v>407.94400000000002</c:v>
                </c:pt>
                <c:pt idx="13">
                  <c:v>410.24700000000001</c:v>
                </c:pt>
                <c:pt idx="14">
                  <c:v>409.05099999999999</c:v>
                </c:pt>
                <c:pt idx="15">
                  <c:v>410.411</c:v>
                </c:pt>
                <c:pt idx="16">
                  <c:v>417.85300000000001</c:v>
                </c:pt>
                <c:pt idx="17">
                  <c:v>433.57799999999997</c:v>
                </c:pt>
                <c:pt idx="18">
                  <c:v>439.74299999999999</c:v>
                </c:pt>
                <c:pt idx="19">
                  <c:v>441.14400000000001</c:v>
                </c:pt>
                <c:pt idx="20">
                  <c:v>443.589</c:v>
                </c:pt>
                <c:pt idx="21">
                  <c:v>446.226</c:v>
                </c:pt>
                <c:pt idx="22">
                  <c:v>449.38499999999999</c:v>
                </c:pt>
                <c:pt idx="23">
                  <c:v>451.97500000000002</c:v>
                </c:pt>
                <c:pt idx="24">
                  <c:v>454.70400000000001</c:v>
                </c:pt>
                <c:pt idx="25">
                  <c:v>456.49400000000003</c:v>
                </c:pt>
                <c:pt idx="26">
                  <c:v>454.649</c:v>
                </c:pt>
                <c:pt idx="27">
                  <c:v>454.18599999999998</c:v>
                </c:pt>
                <c:pt idx="28">
                  <c:v>456.43900000000002</c:v>
                </c:pt>
                <c:pt idx="29">
                  <c:v>459.43700000000001</c:v>
                </c:pt>
                <c:pt idx="30">
                  <c:v>460.55</c:v>
                </c:pt>
                <c:pt idx="31">
                  <c:v>460.49599999999998</c:v>
                </c:pt>
                <c:pt idx="32">
                  <c:v>460.447</c:v>
                </c:pt>
                <c:pt idx="33">
                  <c:v>460.76799999999997</c:v>
                </c:pt>
                <c:pt idx="34">
                  <c:v>459.88799999999998</c:v>
                </c:pt>
                <c:pt idx="35">
                  <c:v>448.12700000000001</c:v>
                </c:pt>
                <c:pt idx="36">
                  <c:v>440.60300000000001</c:v>
                </c:pt>
                <c:pt idx="37">
                  <c:v>440.66300000000001</c:v>
                </c:pt>
                <c:pt idx="38">
                  <c:v>442.137</c:v>
                </c:pt>
                <c:pt idx="39">
                  <c:v>441.65199999999999</c:v>
                </c:pt>
                <c:pt idx="40">
                  <c:v>441.58699999999999</c:v>
                </c:pt>
                <c:pt idx="41">
                  <c:v>441.35199999999998</c:v>
                </c:pt>
                <c:pt idx="42">
                  <c:v>441.78300000000002</c:v>
                </c:pt>
                <c:pt idx="43">
                  <c:v>442.84100000000001</c:v>
                </c:pt>
                <c:pt idx="44">
                  <c:v>443.52100000000002</c:v>
                </c:pt>
                <c:pt idx="45">
                  <c:v>444.11399999999998</c:v>
                </c:pt>
                <c:pt idx="46">
                  <c:v>445.14</c:v>
                </c:pt>
                <c:pt idx="47">
                  <c:v>445.51900000000001</c:v>
                </c:pt>
                <c:pt idx="48">
                  <c:v>445.298</c:v>
                </c:pt>
                <c:pt idx="49">
                  <c:v>445.50900000000001</c:v>
                </c:pt>
                <c:pt idx="50">
                  <c:v>448.18599999999998</c:v>
                </c:pt>
                <c:pt idx="51">
                  <c:v>450.75900000000001</c:v>
                </c:pt>
                <c:pt idx="52">
                  <c:v>452.69200000000001</c:v>
                </c:pt>
                <c:pt idx="53">
                  <c:v>453.745</c:v>
                </c:pt>
                <c:pt idx="54">
                  <c:v>454.16300000000001</c:v>
                </c:pt>
                <c:pt idx="55">
                  <c:v>454.988</c:v>
                </c:pt>
                <c:pt idx="56">
                  <c:v>455.68599999999998</c:v>
                </c:pt>
                <c:pt idx="57">
                  <c:v>456.31</c:v>
                </c:pt>
                <c:pt idx="58">
                  <c:v>457.65499999999997</c:v>
                </c:pt>
                <c:pt idx="59">
                  <c:v>459.334</c:v>
                </c:pt>
                <c:pt idx="60">
                  <c:v>460.267</c:v>
                </c:pt>
                <c:pt idx="61">
                  <c:v>461.29399999999998</c:v>
                </c:pt>
                <c:pt idx="62">
                  <c:v>461.85500000000002</c:v>
                </c:pt>
                <c:pt idx="63">
                  <c:v>463.11799999999999</c:v>
                </c:pt>
                <c:pt idx="64">
                  <c:v>465.822</c:v>
                </c:pt>
                <c:pt idx="65">
                  <c:v>465.68400000000003</c:v>
                </c:pt>
                <c:pt idx="66">
                  <c:v>467.13799999999998</c:v>
                </c:pt>
                <c:pt idx="67">
                  <c:v>467.84300000000002</c:v>
                </c:pt>
                <c:pt idx="68">
                  <c:v>469.80399999999997</c:v>
                </c:pt>
                <c:pt idx="69">
                  <c:v>471.97</c:v>
                </c:pt>
                <c:pt idx="70">
                  <c:v>473.54300000000001</c:v>
                </c:pt>
                <c:pt idx="71">
                  <c:v>475.05</c:v>
                </c:pt>
                <c:pt idx="72">
                  <c:v>477.08100000000002</c:v>
                </c:pt>
                <c:pt idx="73">
                  <c:v>478.76900000000001</c:v>
                </c:pt>
                <c:pt idx="74">
                  <c:v>480.83600000000001</c:v>
                </c:pt>
                <c:pt idx="75">
                  <c:v>481.32499999999999</c:v>
                </c:pt>
                <c:pt idx="76">
                  <c:v>481.95600000000002</c:v>
                </c:pt>
                <c:pt idx="77">
                  <c:v>483.42099999999999</c:v>
                </c:pt>
                <c:pt idx="78">
                  <c:v>486.67</c:v>
                </c:pt>
                <c:pt idx="79">
                  <c:v>489.14499999999998</c:v>
                </c:pt>
                <c:pt idx="80">
                  <c:v>491.17099999999999</c:v>
                </c:pt>
                <c:pt idx="81">
                  <c:v>490.02600000000001</c:v>
                </c:pt>
                <c:pt idx="82">
                  <c:v>490.59199999999998</c:v>
                </c:pt>
                <c:pt idx="83">
                  <c:v>491.00299999999999</c:v>
                </c:pt>
                <c:pt idx="84">
                  <c:v>491.91800000000001</c:v>
                </c:pt>
                <c:pt idx="85">
                  <c:v>493.18</c:v>
                </c:pt>
                <c:pt idx="86">
                  <c:v>494.25400000000002</c:v>
                </c:pt>
                <c:pt idx="87">
                  <c:v>495.80500000000001</c:v>
                </c:pt>
                <c:pt idx="88">
                  <c:v>497.99700000000001</c:v>
                </c:pt>
                <c:pt idx="89">
                  <c:v>498.02699999999999</c:v>
                </c:pt>
                <c:pt idx="90">
                  <c:v>498.06400000000002</c:v>
                </c:pt>
                <c:pt idx="91">
                  <c:v>498.6</c:v>
                </c:pt>
                <c:pt idx="92">
                  <c:v>499.22800000000001</c:v>
                </c:pt>
                <c:pt idx="93">
                  <c:v>500.24299999999999</c:v>
                </c:pt>
                <c:pt idx="94">
                  <c:v>500.18</c:v>
                </c:pt>
                <c:pt idx="95">
                  <c:v>500.06099999999998</c:v>
                </c:pt>
                <c:pt idx="96">
                  <c:v>499.55099999999999</c:v>
                </c:pt>
                <c:pt idx="97">
                  <c:v>500.09300000000002</c:v>
                </c:pt>
                <c:pt idx="98">
                  <c:v>498.74400000000003</c:v>
                </c:pt>
                <c:pt idx="99">
                  <c:v>490.41800000000001</c:v>
                </c:pt>
                <c:pt idx="100">
                  <c:v>483.483</c:v>
                </c:pt>
                <c:pt idx="101">
                  <c:v>483.28899999999999</c:v>
                </c:pt>
                <c:pt idx="102">
                  <c:v>482.036</c:v>
                </c:pt>
                <c:pt idx="103">
                  <c:v>480.01400000000001</c:v>
                </c:pt>
                <c:pt idx="104">
                  <c:v>478.07799999999997</c:v>
                </c:pt>
                <c:pt idx="105">
                  <c:v>476.99799999999999</c:v>
                </c:pt>
                <c:pt idx="106">
                  <c:v>476.28399999999999</c:v>
                </c:pt>
                <c:pt idx="107">
                  <c:v>474.6</c:v>
                </c:pt>
                <c:pt idx="108">
                  <c:v>474.09500000000003</c:v>
                </c:pt>
                <c:pt idx="109">
                  <c:v>473.666</c:v>
                </c:pt>
                <c:pt idx="110">
                  <c:v>474.03800000000001</c:v>
                </c:pt>
                <c:pt idx="111">
                  <c:v>474.97</c:v>
                </c:pt>
                <c:pt idx="112">
                  <c:v>476.78199999999998</c:v>
                </c:pt>
                <c:pt idx="113">
                  <c:v>475.62900000000002</c:v>
                </c:pt>
                <c:pt idx="114">
                  <c:v>474.18</c:v>
                </c:pt>
                <c:pt idx="115">
                  <c:v>473.02699999999999</c:v>
                </c:pt>
                <c:pt idx="116">
                  <c:v>471.31400000000002</c:v>
                </c:pt>
                <c:pt idx="117">
                  <c:v>472.72199999999998</c:v>
                </c:pt>
                <c:pt idx="118">
                  <c:v>472.964</c:v>
                </c:pt>
                <c:pt idx="119">
                  <c:v>474.08800000000002</c:v>
                </c:pt>
                <c:pt idx="120">
                  <c:v>473.19799999999998</c:v>
                </c:pt>
                <c:pt idx="121">
                  <c:v>473.25799999999998</c:v>
                </c:pt>
                <c:pt idx="122">
                  <c:v>473.49599999999998</c:v>
                </c:pt>
                <c:pt idx="123">
                  <c:v>473.10599999999999</c:v>
                </c:pt>
                <c:pt idx="124">
                  <c:v>474.36</c:v>
                </c:pt>
                <c:pt idx="125">
                  <c:v>472.88499999999999</c:v>
                </c:pt>
                <c:pt idx="126">
                  <c:v>472.68099999999998</c:v>
                </c:pt>
                <c:pt idx="127">
                  <c:v>472.214</c:v>
                </c:pt>
                <c:pt idx="128">
                  <c:v>471.274</c:v>
                </c:pt>
                <c:pt idx="129">
                  <c:v>470.25</c:v>
                </c:pt>
                <c:pt idx="130">
                  <c:v>469.44499999999999</c:v>
                </c:pt>
                <c:pt idx="131">
                  <c:v>468.94400000000002</c:v>
                </c:pt>
                <c:pt idx="132">
                  <c:v>468.488</c:v>
                </c:pt>
                <c:pt idx="133">
                  <c:v>467.96</c:v>
                </c:pt>
                <c:pt idx="134">
                  <c:v>467.60199999999998</c:v>
                </c:pt>
                <c:pt idx="135">
                  <c:v>468.512</c:v>
                </c:pt>
                <c:pt idx="136">
                  <c:v>468.33</c:v>
                </c:pt>
                <c:pt idx="137">
                  <c:v>467.84800000000001</c:v>
                </c:pt>
                <c:pt idx="138">
                  <c:v>467.96199999999999</c:v>
                </c:pt>
                <c:pt idx="139">
                  <c:v>467.774</c:v>
                </c:pt>
                <c:pt idx="140">
                  <c:v>468.05599999999998</c:v>
                </c:pt>
                <c:pt idx="141">
                  <c:v>466.505</c:v>
                </c:pt>
                <c:pt idx="142">
                  <c:v>464.279</c:v>
                </c:pt>
                <c:pt idx="143">
                  <c:v>462.01</c:v>
                </c:pt>
                <c:pt idx="144">
                  <c:v>459.71899999999999</c:v>
                </c:pt>
                <c:pt idx="145">
                  <c:v>457.52100000000002</c:v>
                </c:pt>
                <c:pt idx="146">
                  <c:v>455.62400000000002</c:v>
                </c:pt>
                <c:pt idx="147">
                  <c:v>453.28800000000001</c:v>
                </c:pt>
                <c:pt idx="148">
                  <c:v>451.32799999999997</c:v>
                </c:pt>
                <c:pt idx="149">
                  <c:v>450.72</c:v>
                </c:pt>
                <c:pt idx="150">
                  <c:v>449.48099999999999</c:v>
                </c:pt>
                <c:pt idx="151">
                  <c:v>449.339</c:v>
                </c:pt>
                <c:pt idx="152">
                  <c:v>449.33</c:v>
                </c:pt>
                <c:pt idx="153">
                  <c:v>448.41</c:v>
                </c:pt>
                <c:pt idx="154">
                  <c:v>447.66899999999998</c:v>
                </c:pt>
                <c:pt idx="155">
                  <c:v>446.02100000000002</c:v>
                </c:pt>
                <c:pt idx="156">
                  <c:v>444.447</c:v>
                </c:pt>
                <c:pt idx="157">
                  <c:v>444.50400000000002</c:v>
                </c:pt>
                <c:pt idx="158">
                  <c:v>444.16199999999998</c:v>
                </c:pt>
                <c:pt idx="159">
                  <c:v>442.76</c:v>
                </c:pt>
                <c:pt idx="160">
                  <c:v>441.63600000000002</c:v>
                </c:pt>
                <c:pt idx="161">
                  <c:v>440.54700000000003</c:v>
                </c:pt>
                <c:pt idx="162">
                  <c:v>440.048</c:v>
                </c:pt>
                <c:pt idx="163">
                  <c:v>439.4</c:v>
                </c:pt>
                <c:pt idx="164">
                  <c:v>438.35199999999998</c:v>
                </c:pt>
                <c:pt idx="165">
                  <c:v>437.75400000000002</c:v>
                </c:pt>
                <c:pt idx="166">
                  <c:v>438.98</c:v>
                </c:pt>
                <c:pt idx="167">
                  <c:v>443.31900000000002</c:v>
                </c:pt>
                <c:pt idx="168">
                  <c:v>444.327</c:v>
                </c:pt>
                <c:pt idx="169">
                  <c:v>445.08</c:v>
                </c:pt>
                <c:pt idx="170">
                  <c:v>445.464</c:v>
                </c:pt>
                <c:pt idx="171">
                  <c:v>446.60300000000001</c:v>
                </c:pt>
                <c:pt idx="172">
                  <c:v>447.95499999999998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CC5-423B-87F2-B951E4EAD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721007"/>
        <c:axId val="165734735"/>
      </c:lineChart>
      <c:dateAx>
        <c:axId val="1657210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5734735"/>
        <c:crosses val="autoZero"/>
        <c:auto val="1"/>
        <c:lblOffset val="100"/>
        <c:baseTimeUnit val="months"/>
        <c:majorUnit val="5"/>
        <c:majorTimeUnit val="months"/>
      </c:dateAx>
      <c:valAx>
        <c:axId val="165734735"/>
        <c:scaling>
          <c:orientation val="minMax"/>
          <c:min val="3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572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 baseline="0"/>
              <a:t>Asalariados de casas particulares, en miles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Asalariados públicos</c:v>
          </c:tx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64A6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'T.2.2'!$J$148:$J$162</c:f>
              <c:numCache>
                <c:formatCode>mmm\-yy</c:formatCode>
                <c:ptCount val="15"/>
                <c:pt idx="0">
                  <c:v>45323</c:v>
                </c:pt>
                <c:pt idx="1">
                  <c:v>45352</c:v>
                </c:pt>
                <c:pt idx="2">
                  <c:v>45383</c:v>
                </c:pt>
                <c:pt idx="3">
                  <c:v>45413</c:v>
                </c:pt>
                <c:pt idx="4">
                  <c:v>45444</c:v>
                </c:pt>
                <c:pt idx="5">
                  <c:v>45474</c:v>
                </c:pt>
                <c:pt idx="6">
                  <c:v>45505</c:v>
                </c:pt>
                <c:pt idx="7">
                  <c:v>45536</c:v>
                </c:pt>
                <c:pt idx="8">
                  <c:v>45566</c:v>
                </c:pt>
                <c:pt idx="9">
                  <c:v>45597</c:v>
                </c:pt>
                <c:pt idx="10">
                  <c:v>45627</c:v>
                </c:pt>
                <c:pt idx="11">
                  <c:v>45658</c:v>
                </c:pt>
                <c:pt idx="12">
                  <c:v>45689</c:v>
                </c:pt>
                <c:pt idx="13">
                  <c:v>45717</c:v>
                </c:pt>
                <c:pt idx="14">
                  <c:v>45748</c:v>
                </c:pt>
              </c:numCache>
            </c:numRef>
          </c:cat>
          <c:val>
            <c:numRef>
              <c:f>'T.2.2'!$N$148:$N$162</c:f>
              <c:numCache>
                <c:formatCode>#,##0.0</c:formatCode>
                <c:ptCount val="15"/>
                <c:pt idx="0">
                  <c:v>457.52100000000002</c:v>
                </c:pt>
                <c:pt idx="1">
                  <c:v>455.62400000000002</c:v>
                </c:pt>
                <c:pt idx="2">
                  <c:v>453.28800000000001</c:v>
                </c:pt>
                <c:pt idx="3">
                  <c:v>451.32799999999997</c:v>
                </c:pt>
                <c:pt idx="4">
                  <c:v>450.72</c:v>
                </c:pt>
                <c:pt idx="5">
                  <c:v>449.48099999999999</c:v>
                </c:pt>
                <c:pt idx="6">
                  <c:v>449.339</c:v>
                </c:pt>
                <c:pt idx="7">
                  <c:v>449.33</c:v>
                </c:pt>
                <c:pt idx="8">
                  <c:v>448.41</c:v>
                </c:pt>
                <c:pt idx="9">
                  <c:v>447.66899999999998</c:v>
                </c:pt>
                <c:pt idx="10">
                  <c:v>446.02100000000002</c:v>
                </c:pt>
                <c:pt idx="11">
                  <c:v>444.447</c:v>
                </c:pt>
                <c:pt idx="12">
                  <c:v>444.50400000000002</c:v>
                </c:pt>
                <c:pt idx="13">
                  <c:v>444.16199999999998</c:v>
                </c:pt>
                <c:pt idx="14">
                  <c:v>442.76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7-4380-83DC-04BEDE5F4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42156591"/>
        <c:axId val="42174479"/>
      </c:barChart>
      <c:dateAx>
        <c:axId val="42156591"/>
        <c:scaling>
          <c:orientation val="minMax"/>
          <c:min val="45323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42174479"/>
        <c:crosses val="autoZero"/>
        <c:auto val="1"/>
        <c:lblOffset val="100"/>
        <c:baseTimeUnit val="months"/>
      </c:dateAx>
      <c:valAx>
        <c:axId val="4217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4215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'T.2.2'!$B$2</c:f>
              <c:strCache>
                <c:ptCount val="1"/>
                <c:pt idx="0">
                  <c:v>Empleo asalariado en el sector privado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numRef>
              <c:f>'T.2.2'!$A$160:$A$173</c:f>
              <c:numCache>
                <c:formatCode>mmm\-yy</c:formatCode>
                <c:ptCount val="14"/>
                <c:pt idx="0">
                  <c:v>45689</c:v>
                </c:pt>
                <c:pt idx="1">
                  <c:v>45717</c:v>
                </c:pt>
                <c:pt idx="2">
                  <c:v>45748</c:v>
                </c:pt>
                <c:pt idx="3">
                  <c:v>45778</c:v>
                </c:pt>
                <c:pt idx="4">
                  <c:v>45809</c:v>
                </c:pt>
                <c:pt idx="5">
                  <c:v>45839</c:v>
                </c:pt>
                <c:pt idx="6">
                  <c:v>45870</c:v>
                </c:pt>
                <c:pt idx="7">
                  <c:v>45901</c:v>
                </c:pt>
                <c:pt idx="8">
                  <c:v>45931</c:v>
                </c:pt>
                <c:pt idx="9">
                  <c:v>45962</c:v>
                </c:pt>
                <c:pt idx="10">
                  <c:v>45992</c:v>
                </c:pt>
                <c:pt idx="11">
                  <c:v>46023</c:v>
                </c:pt>
                <c:pt idx="12">
                  <c:v>46054</c:v>
                </c:pt>
                <c:pt idx="13">
                  <c:v>46082</c:v>
                </c:pt>
              </c:numCache>
            </c:numRef>
          </c:cat>
          <c:val>
            <c:numRef>
              <c:f>'T.2.2'!$B$160:$B$173</c:f>
              <c:numCache>
                <c:formatCode>#,##0.0</c:formatCode>
                <c:ptCount val="14"/>
                <c:pt idx="0">
                  <c:v>6265.3249999999998</c:v>
                </c:pt>
                <c:pt idx="1">
                  <c:v>6254.2439999999997</c:v>
                </c:pt>
                <c:pt idx="2">
                  <c:v>6264.7150000000001</c:v>
                </c:pt>
                <c:pt idx="3">
                  <c:v>6266.9589999999998</c:v>
                </c:pt>
                <c:pt idx="4">
                  <c:v>6252.3879999999999</c:v>
                </c:pt>
                <c:pt idx="5">
                  <c:v>6240.2749999999996</c:v>
                </c:pt>
                <c:pt idx="6">
                  <c:v>6229.4390000000003</c:v>
                </c:pt>
                <c:pt idx="7">
                  <c:v>6216.6490000000003</c:v>
                </c:pt>
                <c:pt idx="8">
                  <c:v>6200.9250000000002</c:v>
                </c:pt>
                <c:pt idx="9">
                  <c:v>6184.4660000000003</c:v>
                </c:pt>
                <c:pt idx="10">
                  <c:v>6171.8149999999996</c:v>
                </c:pt>
                <c:pt idx="11">
                  <c:v>6164.1189999999997</c:v>
                </c:pt>
                <c:pt idx="12">
                  <c:v>6162.0950000000003</c:v>
                </c:pt>
                <c:pt idx="13">
                  <c:v>6152.5249999999996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5-4499-9408-A863F5117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50"/>
        <c:axId val="569256431"/>
        <c:axId val="546786063"/>
      </c:barChart>
      <c:dateAx>
        <c:axId val="569256431"/>
        <c:scaling>
          <c:orientation val="minMax"/>
          <c:min val="45717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546786063"/>
        <c:crosses val="autoZero"/>
        <c:auto val="1"/>
        <c:lblOffset val="100"/>
        <c:baseTimeUnit val="months"/>
      </c:dateAx>
      <c:valAx>
        <c:axId val="5467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56925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/>
              <a:t>Asalariados registrados del sector privado, en</a:t>
            </a:r>
            <a:r>
              <a:rPr lang="en-US" baseline="0"/>
              <a:t> miles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Asalariados registrados del sector privado</c:v>
          </c:tx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rgbClr val="164A6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'A.2.2'!$A$194:$A$213</c:f>
              <c:numCache>
                <c:formatCode>mmm\-yy</c:formatCode>
                <c:ptCount val="20"/>
                <c:pt idx="0">
                  <c:v>45597</c:v>
                </c:pt>
                <c:pt idx="1">
                  <c:v>45627</c:v>
                </c:pt>
                <c:pt idx="2">
                  <c:v>45658</c:v>
                </c:pt>
                <c:pt idx="3">
                  <c:v>45689</c:v>
                </c:pt>
                <c:pt idx="4">
                  <c:v>45717</c:v>
                </c:pt>
                <c:pt idx="5">
                  <c:v>45748</c:v>
                </c:pt>
                <c:pt idx="6">
                  <c:v>45778</c:v>
                </c:pt>
                <c:pt idx="7">
                  <c:v>45809</c:v>
                </c:pt>
                <c:pt idx="8">
                  <c:v>45839</c:v>
                </c:pt>
                <c:pt idx="9">
                  <c:v>45870</c:v>
                </c:pt>
                <c:pt idx="10">
                  <c:v>45901</c:v>
                </c:pt>
                <c:pt idx="11">
                  <c:v>45931</c:v>
                </c:pt>
                <c:pt idx="12">
                  <c:v>45962</c:v>
                </c:pt>
                <c:pt idx="13">
                  <c:v>45992</c:v>
                </c:pt>
                <c:pt idx="14">
                  <c:v>46023</c:v>
                </c:pt>
                <c:pt idx="15">
                  <c:v>46054</c:v>
                </c:pt>
                <c:pt idx="16">
                  <c:v>46082</c:v>
                </c:pt>
                <c:pt idx="17">
                  <c:v>46113</c:v>
                </c:pt>
                <c:pt idx="18">
                  <c:v>46143</c:v>
                </c:pt>
              </c:numCache>
            </c:numRef>
          </c:cat>
          <c:val>
            <c:numRef>
              <c:f>'A.2.2'!$Q$194:$Q$213</c:f>
              <c:numCache>
                <c:formatCode>#,##0.0</c:formatCode>
                <c:ptCount val="20"/>
                <c:pt idx="0">
                  <c:v>6255.1579999999994</c:v>
                </c:pt>
                <c:pt idx="1">
                  <c:v>6263.7560000000003</c:v>
                </c:pt>
                <c:pt idx="2">
                  <c:v>6254.6690000000008</c:v>
                </c:pt>
                <c:pt idx="3">
                  <c:v>6265.3250000000007</c:v>
                </c:pt>
                <c:pt idx="4">
                  <c:v>6254.2440000000006</c:v>
                </c:pt>
                <c:pt idx="5">
                  <c:v>6264.7150000000001</c:v>
                </c:pt>
                <c:pt idx="6">
                  <c:v>6266.9589999999998</c:v>
                </c:pt>
                <c:pt idx="7">
                  <c:v>6252.3880000000008</c:v>
                </c:pt>
                <c:pt idx="8">
                  <c:v>6240.2750000000015</c:v>
                </c:pt>
                <c:pt idx="9">
                  <c:v>6229.4390000000003</c:v>
                </c:pt>
                <c:pt idx="10">
                  <c:v>6216.6490000000003</c:v>
                </c:pt>
                <c:pt idx="11">
                  <c:v>6200.9249999999993</c:v>
                </c:pt>
                <c:pt idx="12">
                  <c:v>6184.4659999999994</c:v>
                </c:pt>
                <c:pt idx="13">
                  <c:v>6171.8149999999987</c:v>
                </c:pt>
                <c:pt idx="14">
                  <c:v>6164.1190000000015</c:v>
                </c:pt>
                <c:pt idx="15">
                  <c:v>6162.0950000000012</c:v>
                </c:pt>
                <c:pt idx="16">
                  <c:v>6152.5250000000015</c:v>
                </c:pt>
                <c:pt idx="17">
                  <c:v>6140.58</c:v>
                </c:pt>
                <c:pt idx="18">
                  <c:v>6131.5210000000006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A-4535-9ABD-3A33413E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700735472"/>
        <c:axId val="1700742960"/>
      </c:barChart>
      <c:dateAx>
        <c:axId val="1700735472"/>
        <c:scaling>
          <c:orientation val="minMax"/>
          <c:min val="45778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00742960"/>
        <c:crosses val="autoZero"/>
        <c:auto val="0"/>
        <c:lblOffset val="100"/>
        <c:baseTimeUnit val="months"/>
      </c:dateAx>
      <c:valAx>
        <c:axId val="1700742960"/>
        <c:scaling>
          <c:orientation val="minMax"/>
          <c:max val="629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out"/>
        <c:minorTickMark val="none"/>
        <c:tickLblPos val="nextTo"/>
        <c:crossAx val="170073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s-AR"/>
              <a:t>Variación</a:t>
            </a:r>
            <a:r>
              <a:rPr lang="es-AR" baseline="0"/>
              <a:t> mensual de los asalariados registrados del s. privado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'A.2.2'!$T$3</c:f>
              <c:strCache>
                <c:ptCount val="1"/>
                <c:pt idx="0">
                  <c:v>Var. Mensual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DE-4A76-89A9-5D889D036220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4DE-4A76-89A9-5D889D03622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DE-4A76-89A9-5D889D03622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4DE-4A76-89A9-5D889D03622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4DE-4A76-89A9-5D889D036220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C4DE-4A76-89A9-5D889D036220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DE-4A76-89A9-5D889D036220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4DE-4A76-89A9-5D889D03622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C4DE-4A76-89A9-5D889D03622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4DE-4A76-89A9-5D889D03622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C4DE-4A76-89A9-5D889D036220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C4DE-4A76-89A9-5D889D036220}"/>
              </c:ext>
            </c:extLst>
          </c:dPt>
          <c:dPt>
            <c:idx val="3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4DE-4A76-89A9-5D889D036220}"/>
              </c:ext>
            </c:extLst>
          </c:dPt>
          <c:dPt>
            <c:idx val="3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4DE-4A76-89A9-5D889D036220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4DE-4A76-89A9-5D889D036220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4DE-4A76-89A9-5D889D036220}"/>
              </c:ext>
            </c:extLst>
          </c:dPt>
          <c:dPt>
            <c:idx val="4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4DE-4A76-89A9-5D889D036220}"/>
              </c:ext>
            </c:extLst>
          </c:dPt>
          <c:dPt>
            <c:idx val="4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4DE-4A76-89A9-5D889D036220}"/>
              </c:ext>
            </c:extLst>
          </c:dPt>
          <c:dPt>
            <c:idx val="4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4DE-4A76-89A9-5D889D036220}"/>
              </c:ext>
            </c:extLst>
          </c:dPt>
          <c:dPt>
            <c:idx val="4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C4DE-4A76-89A9-5D889D036220}"/>
              </c:ext>
            </c:extLst>
          </c:dPt>
          <c:dPt>
            <c:idx val="5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4DE-4A76-89A9-5D889D036220}"/>
              </c:ext>
            </c:extLst>
          </c:dPt>
          <c:dPt>
            <c:idx val="5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C4DE-4A76-89A9-5D889D036220}"/>
              </c:ext>
            </c:extLst>
          </c:dPt>
          <c:dPt>
            <c:idx val="5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4DE-4A76-89A9-5D889D036220}"/>
              </c:ext>
            </c:extLst>
          </c:dPt>
          <c:dPt>
            <c:idx val="5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4DE-4A76-89A9-5D889D036220}"/>
              </c:ext>
            </c:extLst>
          </c:dPt>
          <c:dPt>
            <c:idx val="5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4DE-4A76-89A9-5D889D036220}"/>
              </c:ext>
            </c:extLst>
          </c:dPt>
          <c:dPt>
            <c:idx val="6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4DE-4A76-89A9-5D889D036220}"/>
              </c:ext>
            </c:extLst>
          </c:dPt>
          <c:dPt>
            <c:idx val="6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C4DE-4A76-89A9-5D889D036220}"/>
              </c:ext>
            </c:extLst>
          </c:dPt>
          <c:dPt>
            <c:idx val="6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C4DE-4A76-89A9-5D889D036220}"/>
              </c:ext>
            </c:extLst>
          </c:dPt>
          <c:dPt>
            <c:idx val="7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4DE-4A76-89A9-5D889D036220}"/>
              </c:ext>
            </c:extLst>
          </c:dPt>
          <c:dPt>
            <c:idx val="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C4DE-4A76-89A9-5D889D036220}"/>
              </c:ext>
            </c:extLst>
          </c:dPt>
          <c:dPt>
            <c:idx val="8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4DE-4A76-89A9-5D889D036220}"/>
              </c:ext>
            </c:extLst>
          </c:dPt>
          <c:dPt>
            <c:idx val="8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C4DE-4A76-89A9-5D889D036220}"/>
              </c:ext>
            </c:extLst>
          </c:dPt>
          <c:dPt>
            <c:idx val="8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4DE-4A76-89A9-5D889D036220}"/>
              </c:ext>
            </c:extLst>
          </c:dPt>
          <c:dPt>
            <c:idx val="8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C4DE-4A76-89A9-5D889D036220}"/>
              </c:ext>
            </c:extLst>
          </c:dPt>
          <c:dPt>
            <c:idx val="8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4DE-4A76-89A9-5D889D036220}"/>
              </c:ext>
            </c:extLst>
          </c:dPt>
          <c:dPt>
            <c:idx val="8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C4DE-4A76-89A9-5D889D036220}"/>
              </c:ext>
            </c:extLst>
          </c:dPt>
          <c:dPt>
            <c:idx val="8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4DE-4A76-89A9-5D889D036220}"/>
              </c:ext>
            </c:extLst>
          </c:dPt>
          <c:dPt>
            <c:idx val="8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C4DE-4A76-89A9-5D889D036220}"/>
              </c:ext>
            </c:extLst>
          </c:dPt>
          <c:dPt>
            <c:idx val="9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4DE-4A76-89A9-5D889D036220}"/>
              </c:ext>
            </c:extLst>
          </c:dPt>
          <c:dPt>
            <c:idx val="9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C4DE-4A76-89A9-5D889D036220}"/>
              </c:ext>
            </c:extLst>
          </c:dPt>
          <c:dPt>
            <c:idx val="10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4DE-4A76-89A9-5D889D036220}"/>
              </c:ext>
            </c:extLst>
          </c:dPt>
          <c:dPt>
            <c:idx val="10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C4DE-4A76-89A9-5D889D036220}"/>
              </c:ext>
            </c:extLst>
          </c:dPt>
          <c:dPt>
            <c:idx val="10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4DE-4A76-89A9-5D889D036220}"/>
              </c:ext>
            </c:extLst>
          </c:dPt>
          <c:dPt>
            <c:idx val="11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C4DE-4A76-89A9-5D889D036220}"/>
              </c:ext>
            </c:extLst>
          </c:dPt>
          <c:dPt>
            <c:idx val="1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C4DE-4A76-89A9-5D889D036220}"/>
              </c:ext>
            </c:extLst>
          </c:dPt>
          <c:dPt>
            <c:idx val="11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C4DE-4A76-89A9-5D889D036220}"/>
              </c:ext>
            </c:extLst>
          </c:dPt>
          <c:dPt>
            <c:idx val="1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C4DE-4A76-89A9-5D889D036220}"/>
              </c:ext>
            </c:extLst>
          </c:dPt>
          <c:dPt>
            <c:idx val="1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C4DE-4A76-89A9-5D889D036220}"/>
              </c:ext>
            </c:extLst>
          </c:dPt>
          <c:dPt>
            <c:idx val="1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C4DE-4A76-89A9-5D889D036220}"/>
              </c:ext>
            </c:extLst>
          </c:dPt>
          <c:dPt>
            <c:idx val="1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C4DE-4A76-89A9-5D889D036220}"/>
              </c:ext>
            </c:extLst>
          </c:dPt>
          <c:dPt>
            <c:idx val="1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4DE-4A76-89A9-5D889D036220}"/>
              </c:ext>
            </c:extLst>
          </c:dPt>
          <c:dPt>
            <c:idx val="1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C4DE-4A76-89A9-5D889D036220}"/>
              </c:ext>
            </c:extLst>
          </c:dPt>
          <c:dPt>
            <c:idx val="1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C4DE-4A76-89A9-5D889D036220}"/>
              </c:ext>
            </c:extLst>
          </c:dPt>
          <c:dPt>
            <c:idx val="12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C4DE-4A76-89A9-5D889D036220}"/>
              </c:ext>
            </c:extLst>
          </c:dPt>
          <c:dPt>
            <c:idx val="1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C4DE-4A76-89A9-5D889D036220}"/>
              </c:ext>
            </c:extLst>
          </c:dPt>
          <c:dPt>
            <c:idx val="1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8-C4DE-4A76-89A9-5D889D036220}"/>
              </c:ext>
            </c:extLst>
          </c:dPt>
          <c:dPt>
            <c:idx val="12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C4DE-4A76-89A9-5D889D036220}"/>
              </c:ext>
            </c:extLst>
          </c:dPt>
          <c:dPt>
            <c:idx val="1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A-C4DE-4A76-89A9-5D889D036220}"/>
              </c:ext>
            </c:extLst>
          </c:dPt>
          <c:dPt>
            <c:idx val="12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C4DE-4A76-89A9-5D889D036220}"/>
              </c:ext>
            </c:extLst>
          </c:dPt>
          <c:dPt>
            <c:idx val="12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C-C4DE-4A76-89A9-5D889D036220}"/>
              </c:ext>
            </c:extLst>
          </c:dPt>
          <c:dPt>
            <c:idx val="12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C4DE-4A76-89A9-5D889D036220}"/>
              </c:ext>
            </c:extLst>
          </c:dPt>
          <c:dPt>
            <c:idx val="13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E-C4DE-4A76-89A9-5D889D036220}"/>
              </c:ext>
            </c:extLst>
          </c:dPt>
          <c:dPt>
            <c:idx val="1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C4DE-4A76-89A9-5D889D036220}"/>
              </c:ext>
            </c:extLst>
          </c:dPt>
          <c:dPt>
            <c:idx val="13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C4DE-4A76-89A9-5D889D036220}"/>
              </c:ext>
            </c:extLst>
          </c:dPt>
          <c:dPt>
            <c:idx val="13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C4DE-4A76-89A9-5D889D036220}"/>
              </c:ext>
            </c:extLst>
          </c:dPt>
          <c:dPt>
            <c:idx val="13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C4DE-4A76-89A9-5D889D036220}"/>
              </c:ext>
            </c:extLst>
          </c:dPt>
          <c:dPt>
            <c:idx val="13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C4DE-4A76-89A9-5D889D036220}"/>
              </c:ext>
            </c:extLst>
          </c:dPt>
          <c:dPt>
            <c:idx val="13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C4DE-4A76-89A9-5D889D036220}"/>
              </c:ext>
            </c:extLst>
          </c:dPt>
          <c:dPt>
            <c:idx val="14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0-C4DE-4A76-89A9-5D889D036220}"/>
              </c:ext>
            </c:extLst>
          </c:dPt>
          <c:dPt>
            <c:idx val="14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C4DE-4A76-89A9-5D889D036220}"/>
              </c:ext>
            </c:extLst>
          </c:dPt>
          <c:dPt>
            <c:idx val="17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C4DE-4A76-89A9-5D889D036220}"/>
              </c:ext>
            </c:extLst>
          </c:dPt>
          <c:dPt>
            <c:idx val="17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C4DE-4A76-89A9-5D889D036220}"/>
              </c:ext>
            </c:extLst>
          </c:dPt>
          <c:dPt>
            <c:idx val="17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C4DE-4A76-89A9-5D889D036220}"/>
              </c:ext>
            </c:extLst>
          </c:dPt>
          <c:dPt>
            <c:idx val="17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A-C4DE-4A76-89A9-5D889D036220}"/>
              </c:ext>
            </c:extLst>
          </c:dPt>
          <c:dPt>
            <c:idx val="17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C4DE-4A76-89A9-5D889D036220}"/>
              </c:ext>
            </c:extLst>
          </c:dPt>
          <c:dPt>
            <c:idx val="18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C4DE-4A76-89A9-5D889D036220}"/>
              </c:ext>
            </c:extLst>
          </c:dPt>
          <c:dPt>
            <c:idx val="18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D-C4DE-4A76-89A9-5D889D036220}"/>
              </c:ext>
            </c:extLst>
          </c:dPt>
          <c:dPt>
            <c:idx val="18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C4DE-4A76-89A9-5D889D036220}"/>
              </c:ext>
            </c:extLst>
          </c:dPt>
          <c:dPt>
            <c:idx val="18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F-C4DE-4A76-89A9-5D889D036220}"/>
              </c:ext>
            </c:extLst>
          </c:dPt>
          <c:dPt>
            <c:idx val="18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14E-D9D6-4E4E-BA33-679C046D26BE}"/>
              </c:ext>
            </c:extLst>
          </c:dPt>
          <c:dLbls>
            <c:dLbl>
              <c:idx val="134"/>
              <c:layout>
                <c:manualLayout>
                  <c:x val="0"/>
                  <c:y val="1.0101169172035313E-2"/>
                </c:manualLayout>
              </c:layout>
              <c:tx>
                <c:rich>
                  <a:bodyPr/>
                  <a:lstStyle/>
                  <a:p>
                    <a:fld id="{223665CE-36BA-4C31-BE3D-D44BCF79C57A}" type="CATEGORYNAME">
                      <a:rPr lang="en-US"/>
                      <a:pPr/>
                      <a:t>[NOMBRE DE CATEGORÍA]</a:t>
                    </a:fld>
                    <a:br>
                      <a:rPr lang="en-US"/>
                    </a:br>
                    <a:fld id="{C7D8C4F8-C2E1-426F-9D6D-11E34F9EFA25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4-C4DE-4A76-89A9-5D889D036220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68E3E93B-4666-4A5F-BCD0-40B610492786}" type="CATEGORYNAME">
                      <a:rPr lang="en-US"/>
                      <a:pPr/>
                      <a:t>[NOMBRE DE CATEGORÍA]</a:t>
                    </a:fld>
                    <a:br>
                      <a:rPr lang="en-US"/>
                    </a:br>
                    <a:fld id="{ABB5486F-412D-4693-9597-D54925BEACA2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4B-C4DE-4A76-89A9-5D889D036220}"/>
                </c:ext>
              </c:extLst>
            </c:dLbl>
            <c:dLbl>
              <c:idx val="184"/>
              <c:layout>
                <c:manualLayout>
                  <c:x val="-1.0761580604982821E-16"/>
                  <c:y val="0.11322982740006976"/>
                </c:manualLayout>
              </c:layout>
              <c:tx>
                <c:rich>
                  <a:bodyPr/>
                  <a:lstStyle/>
                  <a:p>
                    <a:fld id="{6A3D6437-0A49-4BC6-B546-BB1697E04461}" type="CATEGORYNAME">
                      <a:rPr lang="en-US"/>
                      <a:pPr/>
                      <a:t>[NOMBRE DE CATEGORÍA]</a:t>
                    </a:fld>
                    <a:br>
                      <a:rPr lang="en-US"/>
                    </a:br>
                    <a:fld id="{CB56FF5B-20F8-460B-AC8D-F4094A72DCA4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14E-D9D6-4E4E-BA33-679C046D26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0000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'A.2.2'!$S$5:$S$195</c:f>
              <c:numCache>
                <c:formatCode>mmm\-yy</c:formatCode>
                <c:ptCount val="191"/>
                <c:pt idx="0">
                  <c:v>39845</c:v>
                </c:pt>
                <c:pt idx="1">
                  <c:v>39873</c:v>
                </c:pt>
                <c:pt idx="2">
                  <c:v>39904</c:v>
                </c:pt>
                <c:pt idx="3">
                  <c:v>39934</c:v>
                </c:pt>
                <c:pt idx="4">
                  <c:v>39965</c:v>
                </c:pt>
                <c:pt idx="5">
                  <c:v>39995</c:v>
                </c:pt>
                <c:pt idx="6">
                  <c:v>40026</c:v>
                </c:pt>
                <c:pt idx="7">
                  <c:v>40057</c:v>
                </c:pt>
                <c:pt idx="8">
                  <c:v>40087</c:v>
                </c:pt>
                <c:pt idx="9">
                  <c:v>40118</c:v>
                </c:pt>
                <c:pt idx="10">
                  <c:v>40148</c:v>
                </c:pt>
                <c:pt idx="11">
                  <c:v>40179</c:v>
                </c:pt>
                <c:pt idx="12">
                  <c:v>40210</c:v>
                </c:pt>
                <c:pt idx="13">
                  <c:v>40238</c:v>
                </c:pt>
                <c:pt idx="14">
                  <c:v>40269</c:v>
                </c:pt>
                <c:pt idx="15">
                  <c:v>40299</c:v>
                </c:pt>
                <c:pt idx="16">
                  <c:v>40330</c:v>
                </c:pt>
                <c:pt idx="17">
                  <c:v>40360</c:v>
                </c:pt>
                <c:pt idx="18">
                  <c:v>40391</c:v>
                </c:pt>
                <c:pt idx="19">
                  <c:v>40422</c:v>
                </c:pt>
                <c:pt idx="20">
                  <c:v>40452</c:v>
                </c:pt>
                <c:pt idx="21">
                  <c:v>40483</c:v>
                </c:pt>
                <c:pt idx="22">
                  <c:v>40513</c:v>
                </c:pt>
                <c:pt idx="23">
                  <c:v>40544</c:v>
                </c:pt>
                <c:pt idx="24">
                  <c:v>40575</c:v>
                </c:pt>
                <c:pt idx="25">
                  <c:v>40603</c:v>
                </c:pt>
                <c:pt idx="26">
                  <c:v>40634</c:v>
                </c:pt>
                <c:pt idx="27">
                  <c:v>40664</c:v>
                </c:pt>
                <c:pt idx="28">
                  <c:v>40695</c:v>
                </c:pt>
                <c:pt idx="29">
                  <c:v>40725</c:v>
                </c:pt>
                <c:pt idx="30">
                  <c:v>40756</c:v>
                </c:pt>
                <c:pt idx="31">
                  <c:v>40787</c:v>
                </c:pt>
                <c:pt idx="32">
                  <c:v>40817</c:v>
                </c:pt>
                <c:pt idx="33">
                  <c:v>40848</c:v>
                </c:pt>
                <c:pt idx="34">
                  <c:v>40878</c:v>
                </c:pt>
                <c:pt idx="35">
                  <c:v>40909</c:v>
                </c:pt>
                <c:pt idx="36">
                  <c:v>40940</c:v>
                </c:pt>
                <c:pt idx="37">
                  <c:v>40969</c:v>
                </c:pt>
                <c:pt idx="38">
                  <c:v>41000</c:v>
                </c:pt>
                <c:pt idx="39">
                  <c:v>41030</c:v>
                </c:pt>
                <c:pt idx="40">
                  <c:v>41061</c:v>
                </c:pt>
                <c:pt idx="41">
                  <c:v>41091</c:v>
                </c:pt>
                <c:pt idx="42">
                  <c:v>41122</c:v>
                </c:pt>
                <c:pt idx="43">
                  <c:v>41153</c:v>
                </c:pt>
                <c:pt idx="44">
                  <c:v>41183</c:v>
                </c:pt>
                <c:pt idx="45">
                  <c:v>41214</c:v>
                </c:pt>
                <c:pt idx="46">
                  <c:v>41244</c:v>
                </c:pt>
                <c:pt idx="47">
                  <c:v>41275</c:v>
                </c:pt>
                <c:pt idx="48">
                  <c:v>41306</c:v>
                </c:pt>
                <c:pt idx="49">
                  <c:v>41334</c:v>
                </c:pt>
                <c:pt idx="50">
                  <c:v>41365</c:v>
                </c:pt>
                <c:pt idx="51">
                  <c:v>41395</c:v>
                </c:pt>
                <c:pt idx="52">
                  <c:v>41426</c:v>
                </c:pt>
                <c:pt idx="53">
                  <c:v>41456</c:v>
                </c:pt>
                <c:pt idx="54">
                  <c:v>41487</c:v>
                </c:pt>
                <c:pt idx="55">
                  <c:v>41518</c:v>
                </c:pt>
                <c:pt idx="56">
                  <c:v>41548</c:v>
                </c:pt>
                <c:pt idx="57">
                  <c:v>41579</c:v>
                </c:pt>
                <c:pt idx="58">
                  <c:v>41609</c:v>
                </c:pt>
                <c:pt idx="59">
                  <c:v>41640</c:v>
                </c:pt>
                <c:pt idx="60">
                  <c:v>41671</c:v>
                </c:pt>
                <c:pt idx="61">
                  <c:v>41699</c:v>
                </c:pt>
                <c:pt idx="62">
                  <c:v>41730</c:v>
                </c:pt>
                <c:pt idx="63">
                  <c:v>41760</c:v>
                </c:pt>
                <c:pt idx="64">
                  <c:v>41791</c:v>
                </c:pt>
                <c:pt idx="65">
                  <c:v>41821</c:v>
                </c:pt>
                <c:pt idx="66">
                  <c:v>41852</c:v>
                </c:pt>
                <c:pt idx="67">
                  <c:v>41883</c:v>
                </c:pt>
                <c:pt idx="68">
                  <c:v>41913</c:v>
                </c:pt>
                <c:pt idx="69">
                  <c:v>41944</c:v>
                </c:pt>
                <c:pt idx="70">
                  <c:v>41974</c:v>
                </c:pt>
                <c:pt idx="71">
                  <c:v>42005</c:v>
                </c:pt>
                <c:pt idx="72">
                  <c:v>42036</c:v>
                </c:pt>
                <c:pt idx="73">
                  <c:v>42064</c:v>
                </c:pt>
                <c:pt idx="74">
                  <c:v>42095</c:v>
                </c:pt>
                <c:pt idx="75">
                  <c:v>42125</c:v>
                </c:pt>
                <c:pt idx="76">
                  <c:v>42156</c:v>
                </c:pt>
                <c:pt idx="77">
                  <c:v>42186</c:v>
                </c:pt>
                <c:pt idx="78">
                  <c:v>42217</c:v>
                </c:pt>
                <c:pt idx="79">
                  <c:v>42248</c:v>
                </c:pt>
                <c:pt idx="80">
                  <c:v>42278</c:v>
                </c:pt>
                <c:pt idx="81">
                  <c:v>42309</c:v>
                </c:pt>
                <c:pt idx="82">
                  <c:v>42339</c:v>
                </c:pt>
                <c:pt idx="83">
                  <c:v>42370</c:v>
                </c:pt>
                <c:pt idx="84">
                  <c:v>42401</c:v>
                </c:pt>
                <c:pt idx="85">
                  <c:v>42430</c:v>
                </c:pt>
                <c:pt idx="86">
                  <c:v>42461</c:v>
                </c:pt>
                <c:pt idx="87">
                  <c:v>42491</c:v>
                </c:pt>
                <c:pt idx="88">
                  <c:v>42522</c:v>
                </c:pt>
                <c:pt idx="89">
                  <c:v>42552</c:v>
                </c:pt>
                <c:pt idx="90">
                  <c:v>42583</c:v>
                </c:pt>
                <c:pt idx="91">
                  <c:v>42614</c:v>
                </c:pt>
                <c:pt idx="92">
                  <c:v>42644</c:v>
                </c:pt>
                <c:pt idx="93">
                  <c:v>42675</c:v>
                </c:pt>
                <c:pt idx="94">
                  <c:v>42705</c:v>
                </c:pt>
                <c:pt idx="95">
                  <c:v>42736</c:v>
                </c:pt>
                <c:pt idx="96">
                  <c:v>42767</c:v>
                </c:pt>
                <c:pt idx="97">
                  <c:v>42795</c:v>
                </c:pt>
                <c:pt idx="98">
                  <c:v>42826</c:v>
                </c:pt>
                <c:pt idx="99">
                  <c:v>42856</c:v>
                </c:pt>
                <c:pt idx="100">
                  <c:v>42887</c:v>
                </c:pt>
                <c:pt idx="101">
                  <c:v>42917</c:v>
                </c:pt>
                <c:pt idx="102">
                  <c:v>42948</c:v>
                </c:pt>
                <c:pt idx="103">
                  <c:v>42979</c:v>
                </c:pt>
                <c:pt idx="104">
                  <c:v>43009</c:v>
                </c:pt>
                <c:pt idx="105">
                  <c:v>43040</c:v>
                </c:pt>
                <c:pt idx="106">
                  <c:v>43070</c:v>
                </c:pt>
                <c:pt idx="107">
                  <c:v>43101</c:v>
                </c:pt>
                <c:pt idx="108">
                  <c:v>43132</c:v>
                </c:pt>
                <c:pt idx="109">
                  <c:v>43160</c:v>
                </c:pt>
                <c:pt idx="110">
                  <c:v>43191</c:v>
                </c:pt>
                <c:pt idx="111">
                  <c:v>43221</c:v>
                </c:pt>
                <c:pt idx="112">
                  <c:v>43252</c:v>
                </c:pt>
                <c:pt idx="113">
                  <c:v>43282</c:v>
                </c:pt>
                <c:pt idx="114">
                  <c:v>43313</c:v>
                </c:pt>
                <c:pt idx="115">
                  <c:v>43344</c:v>
                </c:pt>
                <c:pt idx="116">
                  <c:v>43374</c:v>
                </c:pt>
                <c:pt idx="117">
                  <c:v>43405</c:v>
                </c:pt>
                <c:pt idx="118">
                  <c:v>43435</c:v>
                </c:pt>
                <c:pt idx="119">
                  <c:v>43466</c:v>
                </c:pt>
                <c:pt idx="120">
                  <c:v>43497</c:v>
                </c:pt>
                <c:pt idx="121">
                  <c:v>43525</c:v>
                </c:pt>
                <c:pt idx="122">
                  <c:v>43556</c:v>
                </c:pt>
                <c:pt idx="123">
                  <c:v>43586</c:v>
                </c:pt>
                <c:pt idx="124">
                  <c:v>43617</c:v>
                </c:pt>
                <c:pt idx="125">
                  <c:v>43647</c:v>
                </c:pt>
                <c:pt idx="126">
                  <c:v>43678</c:v>
                </c:pt>
                <c:pt idx="127">
                  <c:v>43709</c:v>
                </c:pt>
                <c:pt idx="128">
                  <c:v>43739</c:v>
                </c:pt>
                <c:pt idx="129">
                  <c:v>43770</c:v>
                </c:pt>
                <c:pt idx="130">
                  <c:v>43800</c:v>
                </c:pt>
                <c:pt idx="131">
                  <c:v>43831</c:v>
                </c:pt>
                <c:pt idx="132">
                  <c:v>43862</c:v>
                </c:pt>
                <c:pt idx="133">
                  <c:v>43891</c:v>
                </c:pt>
                <c:pt idx="134">
                  <c:v>43922</c:v>
                </c:pt>
                <c:pt idx="135">
                  <c:v>43952</c:v>
                </c:pt>
                <c:pt idx="136">
                  <c:v>43983</c:v>
                </c:pt>
                <c:pt idx="137">
                  <c:v>44013</c:v>
                </c:pt>
                <c:pt idx="138">
                  <c:v>44044</c:v>
                </c:pt>
                <c:pt idx="139">
                  <c:v>44075</c:v>
                </c:pt>
                <c:pt idx="140">
                  <c:v>44105</c:v>
                </c:pt>
                <c:pt idx="141">
                  <c:v>44136</c:v>
                </c:pt>
                <c:pt idx="142">
                  <c:v>44166</c:v>
                </c:pt>
                <c:pt idx="143">
                  <c:v>44197</c:v>
                </c:pt>
                <c:pt idx="144">
                  <c:v>44228</c:v>
                </c:pt>
                <c:pt idx="145">
                  <c:v>44256</c:v>
                </c:pt>
                <c:pt idx="146">
                  <c:v>44287</c:v>
                </c:pt>
                <c:pt idx="147">
                  <c:v>44317</c:v>
                </c:pt>
                <c:pt idx="148">
                  <c:v>44348</c:v>
                </c:pt>
                <c:pt idx="149">
                  <c:v>44378</c:v>
                </c:pt>
                <c:pt idx="150">
                  <c:v>44409</c:v>
                </c:pt>
                <c:pt idx="151">
                  <c:v>44440</c:v>
                </c:pt>
                <c:pt idx="152">
                  <c:v>44470</c:v>
                </c:pt>
                <c:pt idx="153">
                  <c:v>44501</c:v>
                </c:pt>
                <c:pt idx="154">
                  <c:v>44531</c:v>
                </c:pt>
                <c:pt idx="155">
                  <c:v>44562</c:v>
                </c:pt>
                <c:pt idx="156">
                  <c:v>44593</c:v>
                </c:pt>
                <c:pt idx="157">
                  <c:v>44621</c:v>
                </c:pt>
                <c:pt idx="158">
                  <c:v>44652</c:v>
                </c:pt>
                <c:pt idx="159">
                  <c:v>44682</c:v>
                </c:pt>
                <c:pt idx="160">
                  <c:v>44713</c:v>
                </c:pt>
                <c:pt idx="161">
                  <c:v>44743</c:v>
                </c:pt>
                <c:pt idx="162">
                  <c:v>44774</c:v>
                </c:pt>
                <c:pt idx="163">
                  <c:v>44805</c:v>
                </c:pt>
                <c:pt idx="164">
                  <c:v>44835</c:v>
                </c:pt>
                <c:pt idx="165">
                  <c:v>44866</c:v>
                </c:pt>
                <c:pt idx="166">
                  <c:v>44896</c:v>
                </c:pt>
                <c:pt idx="167">
                  <c:v>44927</c:v>
                </c:pt>
                <c:pt idx="168">
                  <c:v>44958</c:v>
                </c:pt>
                <c:pt idx="169">
                  <c:v>44986</c:v>
                </c:pt>
                <c:pt idx="170">
                  <c:v>45017</c:v>
                </c:pt>
                <c:pt idx="171">
                  <c:v>45047</c:v>
                </c:pt>
                <c:pt idx="172">
                  <c:v>45078</c:v>
                </c:pt>
                <c:pt idx="173">
                  <c:v>45108</c:v>
                </c:pt>
                <c:pt idx="174">
                  <c:v>45139</c:v>
                </c:pt>
                <c:pt idx="175">
                  <c:v>45170</c:v>
                </c:pt>
                <c:pt idx="176">
                  <c:v>45200</c:v>
                </c:pt>
                <c:pt idx="177">
                  <c:v>45231</c:v>
                </c:pt>
                <c:pt idx="178">
                  <c:v>45261</c:v>
                </c:pt>
                <c:pt idx="179">
                  <c:v>45292</c:v>
                </c:pt>
                <c:pt idx="180">
                  <c:v>45323</c:v>
                </c:pt>
                <c:pt idx="181">
                  <c:v>45352</c:v>
                </c:pt>
                <c:pt idx="182">
                  <c:v>45383</c:v>
                </c:pt>
                <c:pt idx="183">
                  <c:v>45413</c:v>
                </c:pt>
                <c:pt idx="184">
                  <c:v>45444</c:v>
                </c:pt>
                <c:pt idx="185">
                  <c:v>45474</c:v>
                </c:pt>
                <c:pt idx="186">
                  <c:v>45505</c:v>
                </c:pt>
                <c:pt idx="187">
                  <c:v>45536</c:v>
                </c:pt>
                <c:pt idx="188">
                  <c:v>45566</c:v>
                </c:pt>
                <c:pt idx="189">
                  <c:v>45597</c:v>
                </c:pt>
                <c:pt idx="190">
                  <c:v>45627</c:v>
                </c:pt>
              </c:numCache>
            </c:numRef>
          </c:cat>
          <c:val>
            <c:numRef>
              <c:f>'A.2.2'!$T$5:$T$195</c:f>
              <c:numCache>
                <c:formatCode>0.0%</c:formatCode>
                <c:ptCount val="191"/>
                <c:pt idx="0">
                  <c:v>-2.7394225431697228E-3</c:v>
                </c:pt>
                <c:pt idx="1">
                  <c:v>-2.9944171370164252E-3</c:v>
                </c:pt>
                <c:pt idx="2">
                  <c:v>-3.2230109714349586E-3</c:v>
                </c:pt>
                <c:pt idx="3">
                  <c:v>-1.0859438534913668E-3</c:v>
                </c:pt>
                <c:pt idx="4">
                  <c:v>1.4856588659997172E-3</c:v>
                </c:pt>
                <c:pt idx="5">
                  <c:v>1.2296966449387714E-3</c:v>
                </c:pt>
                <c:pt idx="6">
                  <c:v>-1.8495336492074799E-3</c:v>
                </c:pt>
                <c:pt idx="7">
                  <c:v>2.2175953033922724E-3</c:v>
                </c:pt>
                <c:pt idx="8">
                  <c:v>2.5441082917447844E-3</c:v>
                </c:pt>
                <c:pt idx="9">
                  <c:v>5.8561205299989538E-4</c:v>
                </c:pt>
                <c:pt idx="10">
                  <c:v>1.1787491729207122E-3</c:v>
                </c:pt>
                <c:pt idx="11">
                  <c:v>7.6125575465679773E-4</c:v>
                </c:pt>
                <c:pt idx="12">
                  <c:v>4.8482004652063981E-3</c:v>
                </c:pt>
                <c:pt idx="13">
                  <c:v>3.386673635145776E-3</c:v>
                </c:pt>
                <c:pt idx="14">
                  <c:v>3.323296949454102E-3</c:v>
                </c:pt>
                <c:pt idx="15">
                  <c:v>1.9920578316645621E-3</c:v>
                </c:pt>
                <c:pt idx="16">
                  <c:v>3.34542384332015E-3</c:v>
                </c:pt>
                <c:pt idx="17">
                  <c:v>3.0795791200997069E-3</c:v>
                </c:pt>
                <c:pt idx="18">
                  <c:v>3.3353834590825748E-3</c:v>
                </c:pt>
                <c:pt idx="19">
                  <c:v>4.0532040466598751E-3</c:v>
                </c:pt>
                <c:pt idx="20">
                  <c:v>2.4835036903267937E-3</c:v>
                </c:pt>
                <c:pt idx="21">
                  <c:v>3.814328866423633E-3</c:v>
                </c:pt>
                <c:pt idx="22">
                  <c:v>5.9811357026364753E-3</c:v>
                </c:pt>
                <c:pt idx="23">
                  <c:v>4.2270736136837961E-3</c:v>
                </c:pt>
                <c:pt idx="24">
                  <c:v>5.2033706983865002E-3</c:v>
                </c:pt>
                <c:pt idx="25">
                  <c:v>2.377876419635383E-3</c:v>
                </c:pt>
                <c:pt idx="26">
                  <c:v>6.0862784332345043E-3</c:v>
                </c:pt>
                <c:pt idx="27">
                  <c:v>3.7882922895753346E-3</c:v>
                </c:pt>
                <c:pt idx="28">
                  <c:v>2.9922846077063969E-3</c:v>
                </c:pt>
                <c:pt idx="29">
                  <c:v>3.0762481167105893E-3</c:v>
                </c:pt>
                <c:pt idx="30">
                  <c:v>3.1101186535333891E-3</c:v>
                </c:pt>
                <c:pt idx="31">
                  <c:v>2.6119844107816981E-3</c:v>
                </c:pt>
                <c:pt idx="32">
                  <c:v>2.7986098863017617E-3</c:v>
                </c:pt>
                <c:pt idx="33">
                  <c:v>2.9504955531178823E-3</c:v>
                </c:pt>
                <c:pt idx="34">
                  <c:v>3.0132781832170608E-5</c:v>
                </c:pt>
                <c:pt idx="35">
                  <c:v>-8.3760023170253994E-4</c:v>
                </c:pt>
                <c:pt idx="36">
                  <c:v>-1.0088632309727119E-3</c:v>
                </c:pt>
                <c:pt idx="37">
                  <c:v>1.6944639921452342E-3</c:v>
                </c:pt>
                <c:pt idx="38">
                  <c:v>-2.8099426154484242E-3</c:v>
                </c:pt>
                <c:pt idx="39">
                  <c:v>1.7112273324719762E-3</c:v>
                </c:pt>
                <c:pt idx="40">
                  <c:v>-7.1055688040777554E-5</c:v>
                </c:pt>
                <c:pt idx="41">
                  <c:v>-3.4343275131665241E-4</c:v>
                </c:pt>
                <c:pt idx="42">
                  <c:v>-5.2612907051130531E-4</c:v>
                </c:pt>
                <c:pt idx="43">
                  <c:v>-2.3481999306596002E-4</c:v>
                </c:pt>
                <c:pt idx="44">
                  <c:v>8.0415440160641616E-4</c:v>
                </c:pt>
                <c:pt idx="45">
                  <c:v>9.2175854840759186E-4</c:v>
                </c:pt>
                <c:pt idx="46">
                  <c:v>3.5842813617201763E-3</c:v>
                </c:pt>
                <c:pt idx="47">
                  <c:v>-5.6150701916557466E-5</c:v>
                </c:pt>
                <c:pt idx="48">
                  <c:v>1.2511472955023528E-3</c:v>
                </c:pt>
                <c:pt idx="49">
                  <c:v>1.2156384930870345E-3</c:v>
                </c:pt>
                <c:pt idx="50">
                  <c:v>1.6506582732815911E-3</c:v>
                </c:pt>
                <c:pt idx="51">
                  <c:v>-1.0259142270955257E-3</c:v>
                </c:pt>
                <c:pt idx="52">
                  <c:v>-9.8473674415178181E-4</c:v>
                </c:pt>
                <c:pt idx="53">
                  <c:v>1.1652844206617718E-3</c:v>
                </c:pt>
                <c:pt idx="54">
                  <c:v>2.3506045405308207E-3</c:v>
                </c:pt>
                <c:pt idx="55">
                  <c:v>-1.5030925566059672E-3</c:v>
                </c:pt>
                <c:pt idx="56">
                  <c:v>2.1355571907455406E-4</c:v>
                </c:pt>
                <c:pt idx="57">
                  <c:v>1.6116254136555597E-3</c:v>
                </c:pt>
                <c:pt idx="58">
                  <c:v>-6.3737786175310784E-4</c:v>
                </c:pt>
                <c:pt idx="59">
                  <c:v>-1.1671209008882188E-3</c:v>
                </c:pt>
                <c:pt idx="60">
                  <c:v>-9.9613889891314589E-4</c:v>
                </c:pt>
                <c:pt idx="61">
                  <c:v>-3.1256132845767226E-3</c:v>
                </c:pt>
                <c:pt idx="62">
                  <c:v>7.7761404171283743E-4</c:v>
                </c:pt>
                <c:pt idx="63">
                  <c:v>1.4718233037653849E-3</c:v>
                </c:pt>
                <c:pt idx="64">
                  <c:v>1.0129204283262361E-3</c:v>
                </c:pt>
                <c:pt idx="65">
                  <c:v>3.0964033769120825E-4</c:v>
                </c:pt>
                <c:pt idx="66">
                  <c:v>-3.0414545842438745E-4</c:v>
                </c:pt>
                <c:pt idx="67">
                  <c:v>1.5920533494981903E-3</c:v>
                </c:pt>
                <c:pt idx="68">
                  <c:v>1.3385454690431065E-3</c:v>
                </c:pt>
                <c:pt idx="69">
                  <c:v>1.1304988619946776E-3</c:v>
                </c:pt>
                <c:pt idx="70">
                  <c:v>1.1792614286487701E-3</c:v>
                </c:pt>
                <c:pt idx="71">
                  <c:v>3.4385408643582416E-3</c:v>
                </c:pt>
                <c:pt idx="72">
                  <c:v>2.3355039431804947E-3</c:v>
                </c:pt>
                <c:pt idx="73">
                  <c:v>1.583212028202885E-3</c:v>
                </c:pt>
                <c:pt idx="74">
                  <c:v>5.9419224633017187E-3</c:v>
                </c:pt>
                <c:pt idx="75">
                  <c:v>6.4728142604342231E-4</c:v>
                </c:pt>
                <c:pt idx="76">
                  <c:v>3.045665393599295E-3</c:v>
                </c:pt>
                <c:pt idx="77">
                  <c:v>9.2581121326373861E-4</c:v>
                </c:pt>
                <c:pt idx="78">
                  <c:v>2.1844542974100989E-3</c:v>
                </c:pt>
                <c:pt idx="79">
                  <c:v>-1.0210728109962819E-3</c:v>
                </c:pt>
                <c:pt idx="80">
                  <c:v>5.92441002284394E-4</c:v>
                </c:pt>
                <c:pt idx="81">
                  <c:v>-1.6946966339772551E-3</c:v>
                </c:pt>
                <c:pt idx="82">
                  <c:v>-4.9702316989552742E-3</c:v>
                </c:pt>
                <c:pt idx="83">
                  <c:v>-2.2792906445107119E-3</c:v>
                </c:pt>
                <c:pt idx="84">
                  <c:v>-3.0249500391976714E-4</c:v>
                </c:pt>
                <c:pt idx="85">
                  <c:v>-1.2140519382215498E-3</c:v>
                </c:pt>
                <c:pt idx="86">
                  <c:v>-1.6580216597831265E-3</c:v>
                </c:pt>
                <c:pt idx="87">
                  <c:v>-1.4794763855788817E-3</c:v>
                </c:pt>
                <c:pt idx="88">
                  <c:v>-1.2730762259850481E-3</c:v>
                </c:pt>
                <c:pt idx="89">
                  <c:v>-3.8887474717075321E-4</c:v>
                </c:pt>
                <c:pt idx="90">
                  <c:v>8.574782068415665E-5</c:v>
                </c:pt>
                <c:pt idx="91">
                  <c:v>5.150911328797303E-4</c:v>
                </c:pt>
                <c:pt idx="92">
                  <c:v>1.264871309711646E-3</c:v>
                </c:pt>
                <c:pt idx="93">
                  <c:v>6.4522725978410911E-4</c:v>
                </c:pt>
                <c:pt idx="94">
                  <c:v>2.4156167195577005E-4</c:v>
                </c:pt>
                <c:pt idx="95">
                  <c:v>1.0513639119014151E-3</c:v>
                </c:pt>
                <c:pt idx="96">
                  <c:v>-5.4127775784396093E-4</c:v>
                </c:pt>
                <c:pt idx="97">
                  <c:v>1.9825824853514362E-3</c:v>
                </c:pt>
                <c:pt idx="98">
                  <c:v>-5.161510450485407E-4</c:v>
                </c:pt>
                <c:pt idx="99">
                  <c:v>2.3176679672023415E-3</c:v>
                </c:pt>
                <c:pt idx="100">
                  <c:v>2.3523871055384227E-3</c:v>
                </c:pt>
                <c:pt idx="101">
                  <c:v>1.3096847137985534E-3</c:v>
                </c:pt>
                <c:pt idx="102">
                  <c:v>-8.8844569952728492E-5</c:v>
                </c:pt>
                <c:pt idx="103">
                  <c:v>1.7302172955970807E-3</c:v>
                </c:pt>
                <c:pt idx="104">
                  <c:v>1.8284161161272738E-3</c:v>
                </c:pt>
                <c:pt idx="105">
                  <c:v>1.9729073238572425E-3</c:v>
                </c:pt>
                <c:pt idx="106">
                  <c:v>1.7792180946558656E-3</c:v>
                </c:pt>
                <c:pt idx="107">
                  <c:v>-8.9861693555370881E-4</c:v>
                </c:pt>
                <c:pt idx="108">
                  <c:v>-7.4436835381119781E-4</c:v>
                </c:pt>
                <c:pt idx="109">
                  <c:v>1.3593925027366449E-3</c:v>
                </c:pt>
                <c:pt idx="110">
                  <c:v>4.492773657851501E-4</c:v>
                </c:pt>
                <c:pt idx="111">
                  <c:v>-1.0323485667229626E-3</c:v>
                </c:pt>
                <c:pt idx="112">
                  <c:v>-3.3434215499855702E-3</c:v>
                </c:pt>
                <c:pt idx="113">
                  <c:v>-1.6425428347449644E-3</c:v>
                </c:pt>
                <c:pt idx="114">
                  <c:v>-1.4626715271842672E-3</c:v>
                </c:pt>
                <c:pt idx="115">
                  <c:v>-3.988663208403187E-3</c:v>
                </c:pt>
                <c:pt idx="116">
                  <c:v>-2.3257454204891337E-3</c:v>
                </c:pt>
                <c:pt idx="117">
                  <c:v>-4.212822339175859E-3</c:v>
                </c:pt>
                <c:pt idx="118">
                  <c:v>-2.7939018800202664E-3</c:v>
                </c:pt>
                <c:pt idx="119">
                  <c:v>-9.973552855523371E-4</c:v>
                </c:pt>
                <c:pt idx="120">
                  <c:v>6.1697310586250609E-4</c:v>
                </c:pt>
                <c:pt idx="121">
                  <c:v>-2.6813326402086446E-3</c:v>
                </c:pt>
                <c:pt idx="122">
                  <c:v>-1.1041117728932681E-3</c:v>
                </c:pt>
                <c:pt idx="123">
                  <c:v>-1.0850927870219573E-3</c:v>
                </c:pt>
                <c:pt idx="124">
                  <c:v>-1.2328397127001622E-3</c:v>
                </c:pt>
                <c:pt idx="125">
                  <c:v>-1.1139519330315428E-3</c:v>
                </c:pt>
                <c:pt idx="126">
                  <c:v>-1.7234819543755497E-3</c:v>
                </c:pt>
                <c:pt idx="127">
                  <c:v>-4.759693788822128E-3</c:v>
                </c:pt>
                <c:pt idx="128">
                  <c:v>-3.8129752928103278E-3</c:v>
                </c:pt>
                <c:pt idx="129">
                  <c:v>-3.1919581651428386E-3</c:v>
                </c:pt>
                <c:pt idx="130">
                  <c:v>-3.6386213811754331E-3</c:v>
                </c:pt>
                <c:pt idx="131">
                  <c:v>-2.2424969075902634E-3</c:v>
                </c:pt>
                <c:pt idx="132">
                  <c:v>3.6320625456198741E-4</c:v>
                </c:pt>
                <c:pt idx="133">
                  <c:v>-7.2205896394763602E-3</c:v>
                </c:pt>
                <c:pt idx="134">
                  <c:v>-1.8035385412391136E-2</c:v>
                </c:pt>
                <c:pt idx="135">
                  <c:v>-4.3323689484506822E-3</c:v>
                </c:pt>
                <c:pt idx="136">
                  <c:v>-1.0043525958645105E-3</c:v>
                </c:pt>
                <c:pt idx="137">
                  <c:v>-2.5588537216739704E-3</c:v>
                </c:pt>
                <c:pt idx="138">
                  <c:v>4.162936506417747E-4</c:v>
                </c:pt>
                <c:pt idx="139">
                  <c:v>7.8134717779065888E-4</c:v>
                </c:pt>
                <c:pt idx="140">
                  <c:v>2.311699093662245E-4</c:v>
                </c:pt>
                <c:pt idx="141">
                  <c:v>1.0626877175119454E-3</c:v>
                </c:pt>
                <c:pt idx="142">
                  <c:v>-3.5172985494380526E-4</c:v>
                </c:pt>
                <c:pt idx="143">
                  <c:v>3.1830437903606068E-3</c:v>
                </c:pt>
                <c:pt idx="144">
                  <c:v>2.1198741809695942E-3</c:v>
                </c:pt>
                <c:pt idx="145">
                  <c:v>4.0971544340782096E-3</c:v>
                </c:pt>
                <c:pt idx="146">
                  <c:v>5.8440869332887502E-3</c:v>
                </c:pt>
                <c:pt idx="147">
                  <c:v>2.0270071993522265E-4</c:v>
                </c:pt>
                <c:pt idx="148">
                  <c:v>8.1335199724041907E-4</c:v>
                </c:pt>
                <c:pt idx="149">
                  <c:v>1.9181947550594991E-4</c:v>
                </c:pt>
                <c:pt idx="150">
                  <c:v>2.3550981835875895E-3</c:v>
                </c:pt>
                <c:pt idx="151">
                  <c:v>3.3969895620913348E-3</c:v>
                </c:pt>
                <c:pt idx="152">
                  <c:v>2.4457118176948178E-3</c:v>
                </c:pt>
                <c:pt idx="153">
                  <c:v>3.9814943021647675E-3</c:v>
                </c:pt>
                <c:pt idx="154">
                  <c:v>5.4481159470745055E-3</c:v>
                </c:pt>
                <c:pt idx="155">
                  <c:v>5.7661732595313264E-3</c:v>
                </c:pt>
                <c:pt idx="156">
                  <c:v>3.0473776861514867E-3</c:v>
                </c:pt>
                <c:pt idx="157">
                  <c:v>4.1496103841243137E-3</c:v>
                </c:pt>
                <c:pt idx="158">
                  <c:v>4.9741384240118425E-3</c:v>
                </c:pt>
                <c:pt idx="159">
                  <c:v>4.106939693047984E-3</c:v>
                </c:pt>
                <c:pt idx="160">
                  <c:v>4.4908997318453547E-3</c:v>
                </c:pt>
                <c:pt idx="161">
                  <c:v>5.0092073507714829E-3</c:v>
                </c:pt>
                <c:pt idx="162">
                  <c:v>1.0938261169737284E-3</c:v>
                </c:pt>
                <c:pt idx="163">
                  <c:v>3.8060811253919358E-3</c:v>
                </c:pt>
                <c:pt idx="164">
                  <c:v>2.9752435975680669E-3</c:v>
                </c:pt>
                <c:pt idx="165">
                  <c:v>2.629524907426628E-3</c:v>
                </c:pt>
                <c:pt idx="166">
                  <c:v>1.8414269015294416E-3</c:v>
                </c:pt>
                <c:pt idx="167">
                  <c:v>3.5879745255245066E-3</c:v>
                </c:pt>
                <c:pt idx="168">
                  <c:v>2.2644132291389507E-3</c:v>
                </c:pt>
                <c:pt idx="169">
                  <c:v>3.6055615176562306E-3</c:v>
                </c:pt>
                <c:pt idx="170">
                  <c:v>2.450366465918119E-3</c:v>
                </c:pt>
                <c:pt idx="171">
                  <c:v>2.7038507949224133E-3</c:v>
                </c:pt>
                <c:pt idx="172">
                  <c:v>2.7599970793676931E-3</c:v>
                </c:pt>
                <c:pt idx="173">
                  <c:v>2.9362383265307823E-3</c:v>
                </c:pt>
                <c:pt idx="174">
                  <c:v>5.188285746979826E-4</c:v>
                </c:pt>
                <c:pt idx="175">
                  <c:v>-2.3215799414992855E-3</c:v>
                </c:pt>
                <c:pt idx="176">
                  <c:v>-1.9439224971176117E-3</c:v>
                </c:pt>
                <c:pt idx="177">
                  <c:v>-1.2747555921788223E-3</c:v>
                </c:pt>
                <c:pt idx="178">
                  <c:v>-1.7855862282485369E-3</c:v>
                </c:pt>
                <c:pt idx="179">
                  <c:v>-5.4494996162745002E-3</c:v>
                </c:pt>
                <c:pt idx="180">
                  <c:v>-4.0960052805180114E-3</c:v>
                </c:pt>
                <c:pt idx="181">
                  <c:v>-3.9492199167782127E-3</c:v>
                </c:pt>
                <c:pt idx="182">
                  <c:v>-2.7181953693957706E-3</c:v>
                </c:pt>
                <c:pt idx="183">
                  <c:v>-1.5701102895827601E-3</c:v>
                </c:pt>
                <c:pt idx="184">
                  <c:v>-1.5536962977412694E-3</c:v>
                </c:pt>
                <c:pt idx="185">
                  <c:v>-9.8441161291562551E-4</c:v>
                </c:pt>
                <c:pt idx="186">
                  <c:v>6.5954150073865847E-4</c:v>
                </c:pt>
                <c:pt idx="187">
                  <c:v>1.4602638447296368E-3</c:v>
                </c:pt>
                <c:pt idx="188">
                  <c:v>1.2074276491964575E-3</c:v>
                </c:pt>
                <c:pt idx="189" formatCode="0.00%">
                  <c:v>2.0451307100755045E-4</c:v>
                </c:pt>
                <c:pt idx="190" formatCode="0.00%">
                  <c:v>1.3745456149949487E-3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E-4A76-89A9-5D889D036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20"/>
        <c:axId val="1912466767"/>
        <c:axId val="1912467727"/>
      </c:barChart>
      <c:dateAx>
        <c:axId val="19124667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912467727"/>
        <c:crosses val="autoZero"/>
        <c:auto val="1"/>
        <c:lblOffset val="100"/>
        <c:baseTimeUnit val="months"/>
      </c:dateAx>
      <c:valAx>
        <c:axId val="19124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91246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/>
              <a:t>Asalariados registrados</a:t>
            </a:r>
            <a:r>
              <a:rPr lang="en-US" baseline="0"/>
              <a:t> del sector privado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664843899159345E-2"/>
          <c:y val="6.8686799880825364E-2"/>
          <c:w val="0.93288879860484197"/>
          <c:h val="0.85207571780800129"/>
        </c:manualLayout>
      </c:layout>
      <c:lineChart>
        <c:grouping val="standard"/>
        <c:varyColors val="0"/>
        <c:ser>
          <c:idx val="0"/>
          <c:order val="0"/>
          <c:tx>
            <c:strRef>
              <c:f>'A.2.2'!$T$2</c:f>
              <c:strCache>
                <c:ptCount val="1"/>
                <c:pt idx="0">
                  <c:v>Total privados</c:v>
                </c:pt>
              </c:strCache>
            </c:strRef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90"/>
            <c:marker>
              <c:symbol val="circle"/>
              <c:size val="5"/>
              <c:spPr>
                <a:solidFill>
                  <a:srgbClr val="1E5B78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2A9F-4A35-8B93-D8FF63F24EE6}"/>
              </c:ext>
            </c:extLst>
          </c:dPt>
          <c:dPt>
            <c:idx val="9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CACF-334D-BF9B-67F87492FFEC}"/>
              </c:ext>
            </c:extLst>
          </c:dPt>
          <c:dPt>
            <c:idx val="1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CACF-334D-BF9B-67F87492FFEC}"/>
              </c:ext>
            </c:extLst>
          </c:dPt>
          <c:dPt>
            <c:idx val="1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63C0-4B6A-A266-B3E3ECF26D47}"/>
              </c:ext>
            </c:extLst>
          </c:dPt>
          <c:dPt>
            <c:idx val="11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60AC-417F-BD42-793DCBE20A17}"/>
              </c:ext>
            </c:extLst>
          </c:dPt>
          <c:dPt>
            <c:idx val="1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5485-4082-9277-89092CA31801}"/>
              </c:ext>
            </c:extLst>
          </c:dPt>
          <c:dPt>
            <c:idx val="1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CACF-334D-BF9B-67F87492FFEC}"/>
              </c:ext>
            </c:extLst>
          </c:dPt>
          <c:dPt>
            <c:idx val="140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ACF-334D-BF9B-67F87492FFEC}"/>
              </c:ext>
            </c:extLst>
          </c:dPt>
          <c:dPt>
            <c:idx val="176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ACF-334D-BF9B-67F87492FFEC}"/>
              </c:ext>
            </c:extLst>
          </c:dPt>
          <c:dPt>
            <c:idx val="18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CACF-334D-BF9B-67F87492FFEC}"/>
              </c:ext>
            </c:extLst>
          </c:dPt>
          <c:dPt>
            <c:idx val="18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8D8B-4EC3-B38E-A60FF4787BC6}"/>
              </c:ext>
            </c:extLst>
          </c:dPt>
          <c:dPt>
            <c:idx val="18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CCF-4086-9F41-A99890E8F24A}"/>
              </c:ext>
            </c:extLst>
          </c:dPt>
          <c:dPt>
            <c:idx val="18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9F96-487B-9BBE-E56818440C2F}"/>
              </c:ext>
            </c:extLst>
          </c:dPt>
          <c:dPt>
            <c:idx val="1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D80E-4660-B7D5-C7935A2016E1}"/>
              </c:ext>
            </c:extLst>
          </c:dPt>
          <c:dPt>
            <c:idx val="18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63C0-4B6A-A266-B3E3ECF26D47}"/>
              </c:ext>
            </c:extLst>
          </c:dPt>
          <c:dPt>
            <c:idx val="19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77E1-4157-8991-7447455FE25D}"/>
              </c:ext>
            </c:extLst>
          </c:dPt>
          <c:dPt>
            <c:idx val="19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8D05-446E-925B-6B46F8F68992}"/>
              </c:ext>
            </c:extLst>
          </c:dPt>
          <c:dPt>
            <c:idx val="19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72CD-4E51-86EE-A6342C10FCD1}"/>
              </c:ext>
            </c:extLst>
          </c:dPt>
          <c:dPt>
            <c:idx val="19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E592-42F5-820C-DCCA89B9B4AD}"/>
              </c:ext>
            </c:extLst>
          </c:dPt>
          <c:dPt>
            <c:idx val="19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9D49-4502-A9E4-4B57C48916E9}"/>
              </c:ext>
            </c:extLst>
          </c:dPt>
          <c:dPt>
            <c:idx val="19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24D2-42DE-9192-7733FFD2A805}"/>
              </c:ext>
            </c:extLst>
          </c:dPt>
          <c:dPt>
            <c:idx val="19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C34-4A00-9778-E5595329E916}"/>
              </c:ext>
            </c:extLst>
          </c:dPt>
          <c:dPt>
            <c:idx val="19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45A9-45A9-A33F-2FE435F9FE0E}"/>
              </c:ext>
            </c:extLst>
          </c:dPt>
          <c:dPt>
            <c:idx val="1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F860-4FC1-9F6A-7FB34C65CEF2}"/>
              </c:ext>
            </c:extLst>
          </c:dPt>
          <c:dPt>
            <c:idx val="199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67FB-4BEA-818F-7441A48E0BB6}"/>
              </c:ext>
            </c:extLst>
          </c:dPt>
          <c:dPt>
            <c:idx val="20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5485-4082-9277-89092CA31801}"/>
              </c:ext>
            </c:extLst>
          </c:dPt>
          <c:dPt>
            <c:idx val="2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CACF-334D-BF9B-67F87492FFEC}"/>
              </c:ext>
            </c:extLst>
          </c:dPt>
          <c:dPt>
            <c:idx val="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CACF-334D-BF9B-67F87492FFEC}"/>
              </c:ext>
            </c:extLst>
          </c:dPt>
          <c:dPt>
            <c:idx val="20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CACF-334D-BF9B-67F87492FFEC}"/>
              </c:ext>
            </c:extLst>
          </c:dPt>
          <c:dPt>
            <c:idx val="20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F7B2-8540-BED3-C0BE717F1E55}"/>
              </c:ext>
            </c:extLst>
          </c:dPt>
          <c:dPt>
            <c:idx val="20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CACF-334D-BF9B-67F87492FFEC}"/>
              </c:ext>
            </c:extLst>
          </c:dPt>
          <c:dLbls>
            <c:dLbl>
              <c:idx val="90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37230139366381E-2"/>
                      <c:h val="5.66343042071197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2A9F-4A35-8B93-D8FF63F24EE6}"/>
                </c:ext>
              </c:extLst>
            </c:dLbl>
            <c:dLbl>
              <c:idx val="11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8193897637795283E-2"/>
                      <c:h val="6.47249190938511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ACF-334D-BF9B-67F87492FFEC}"/>
                </c:ext>
              </c:extLst>
            </c:dLbl>
            <c:dLbl>
              <c:idx val="11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468494800698339E-2"/>
                      <c:h val="0.109185444424401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63C0-4B6A-A266-B3E3ECF26D47}"/>
                </c:ext>
              </c:extLst>
            </c:dLbl>
            <c:dLbl>
              <c:idx val="11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5128205128205132E-2"/>
                      <c:h val="5.87002096436058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60AC-417F-BD42-793DCBE20A17}"/>
                </c:ext>
              </c:extLst>
            </c:dLbl>
            <c:dLbl>
              <c:idx val="11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9838615023474177E-2"/>
                      <c:h val="7.48381877022653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5485-4082-9277-89092CA31801}"/>
                </c:ext>
              </c:extLst>
            </c:dLbl>
            <c:dLbl>
              <c:idx val="11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9419014084507039E-2"/>
                      <c:h val="5.4611650485436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CACF-334D-BF9B-67F87492FFEC}"/>
                </c:ext>
              </c:extLst>
            </c:dLbl>
            <c:dLbl>
              <c:idx val="140"/>
              <c:layout>
                <c:manualLayout>
                  <c:x val="-3.8117283255857927E-2"/>
                  <c:y val="4.444444444444437E-2"/>
                </c:manualLayout>
              </c:layout>
              <c:tx>
                <c:rich>
                  <a:bodyPr/>
                  <a:lstStyle/>
                  <a:p>
                    <a:fld id="{294D1044-ECC7-4BE5-9BEF-B2795EF073B0}" type="CATEGORYNAME">
                      <a:rPr lang="en-US" sz="600">
                        <a:solidFill>
                          <a:srgbClr val="1E5B78"/>
                        </a:solidFill>
                      </a:rPr>
                      <a:pPr/>
                      <a:t>[NOMBRE DE CATEGORÍA]</a:t>
                    </a:fld>
                    <a:br>
                      <a:rPr lang="en-US" sz="600">
                        <a:solidFill>
                          <a:srgbClr val="1E5B78"/>
                        </a:solidFill>
                      </a:rPr>
                    </a:br>
                    <a:fld id="{69C0F09F-A85E-4E0E-9A07-C2FA9F5B8BEE}" type="VALUE">
                      <a:rPr lang="en-US" sz="600">
                        <a:solidFill>
                          <a:srgbClr val="1E5B78"/>
                        </a:solidFill>
                      </a:rPr>
                      <a:pPr/>
                      <a:t>[VALOR]</a:t>
                    </a:fld>
                    <a:endParaRPr lang="en-US" sz="600">
                      <a:solidFill>
                        <a:srgbClr val="1E5B78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CACF-334D-BF9B-67F87492FFEC}"/>
                </c:ext>
              </c:extLst>
            </c:dLbl>
            <c:dLbl>
              <c:idx val="176"/>
              <c:layout>
                <c:manualLayout>
                  <c:x val="-3.3719135187874331E-2"/>
                  <c:y val="-3.8383838383838367E-2"/>
                </c:manualLayout>
              </c:layout>
              <c:tx>
                <c:rich>
                  <a:bodyPr/>
                  <a:lstStyle/>
                  <a:p>
                    <a:fld id="{F1CF25A1-2599-4130-9021-84D98A5DDA77}" type="CATEGORYNAME">
                      <a:rPr lang="en-US" sz="600">
                        <a:solidFill>
                          <a:srgbClr val="1E5B78"/>
                        </a:solidFill>
                      </a:rPr>
                      <a:pPr/>
                      <a:t>[NOMBRE DE CATEGORÍA]</a:t>
                    </a:fld>
                    <a:br>
                      <a:rPr lang="en-US" sz="600">
                        <a:solidFill>
                          <a:srgbClr val="1E5B78"/>
                        </a:solidFill>
                      </a:rPr>
                    </a:br>
                    <a:fld id="{C4BAA6B9-38F8-4BAB-A4D1-6DF293333F32}" type="VALUE">
                      <a:rPr lang="en-US" sz="600">
                        <a:solidFill>
                          <a:srgbClr val="1E5B78"/>
                        </a:solidFill>
                      </a:rPr>
                      <a:pPr/>
                      <a:t>[VALOR]</a:t>
                    </a:fld>
                    <a:endParaRPr lang="en-US" sz="600">
                      <a:solidFill>
                        <a:srgbClr val="1E5B78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CACF-334D-BF9B-67F87492FFEC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2756812546314515E-2"/>
                      <c:h val="4.65049115140970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72CD-4E51-86EE-A6342C10FCD1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0034532593233094E-2"/>
                      <c:h val="0.129404971169661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E592-42F5-820C-DCCA89B9B4AD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905980522854775E-2"/>
                      <c:h val="6.87463909338826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9D49-4502-A9E4-4B57C48916E9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0526759639200033E-2"/>
                      <c:h val="6.67475728155339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24D2-42DE-9192-7733FFD2A805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058921111973682E-2"/>
                      <c:h val="5.25889967637540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5C34-4A00-9778-E5595329E916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4612676056338025E-2"/>
                      <c:h val="5.4611650485436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45A9-45A9-A33F-2FE435F9FE0E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5721830985915495E-2"/>
                      <c:h val="6.2702265372168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F860-4FC1-9F6A-7FB34C65CEF2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675118295072266E-2"/>
                      <c:h val="5.25889967637540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67FB-4BEA-818F-7441A48E0BB6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6387910798122063E-2"/>
                      <c:h val="6.87702265372168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5485-4082-9277-89092CA31801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0196596244131463E-2"/>
                      <c:h val="7.07928802588996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CACF-334D-BF9B-67F87492FFEC}"/>
                </c:ext>
              </c:extLst>
            </c:dLbl>
            <c:dLbl>
              <c:idx val="20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26432017300653E-2"/>
                      <c:h val="4.65210355987055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CACF-334D-BF9B-67F87492FFEC}"/>
                </c:ext>
              </c:extLst>
            </c:dLbl>
            <c:dLbl>
              <c:idx val="20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960442922505188E-2"/>
                      <c:h val="5.256681095210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CACF-334D-BF9B-67F87492FFEC}"/>
                </c:ext>
              </c:extLst>
            </c:dLbl>
            <c:dLbl>
              <c:idx val="208"/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ACF-334D-BF9B-67F87492F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1E5B78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'A.2.2'!$S$4:$S$213</c:f>
              <c:numCache>
                <c:formatCode>mmm\-yy</c:formatCode>
                <c:ptCount val="21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</c:numCache>
            </c:numRef>
          </c:cat>
          <c:val>
            <c:numRef>
              <c:f>'A.2.2'!$Q$4:$Q$213</c:f>
              <c:numCache>
                <c:formatCode>#,##0.0</c:formatCode>
                <c:ptCount val="210"/>
                <c:pt idx="0">
                  <c:v>5624.1780000000008</c:v>
                </c:pt>
                <c:pt idx="1">
                  <c:v>5608.7710000000015</c:v>
                </c:pt>
                <c:pt idx="2">
                  <c:v>5591.9760000000006</c:v>
                </c:pt>
                <c:pt idx="3">
                  <c:v>5573.9529999999995</c:v>
                </c:pt>
                <c:pt idx="4">
                  <c:v>5567.9</c:v>
                </c:pt>
                <c:pt idx="5">
                  <c:v>5576.1719999999996</c:v>
                </c:pt>
                <c:pt idx="6">
                  <c:v>5583.0290000000014</c:v>
                </c:pt>
                <c:pt idx="7">
                  <c:v>5572.7030000000004</c:v>
                </c:pt>
                <c:pt idx="8">
                  <c:v>5585.0610000000006</c:v>
                </c:pt>
                <c:pt idx="9">
                  <c:v>5599.27</c:v>
                </c:pt>
                <c:pt idx="10">
                  <c:v>5602.5490000000009</c:v>
                </c:pt>
                <c:pt idx="11">
                  <c:v>5609.1529999999984</c:v>
                </c:pt>
                <c:pt idx="12">
                  <c:v>5613.4229999999989</c:v>
                </c:pt>
                <c:pt idx="13">
                  <c:v>5640.637999999999</c:v>
                </c:pt>
                <c:pt idx="14">
                  <c:v>5659.741</c:v>
                </c:pt>
                <c:pt idx="15">
                  <c:v>5678.55</c:v>
                </c:pt>
                <c:pt idx="16">
                  <c:v>5689.8619999999992</c:v>
                </c:pt>
                <c:pt idx="17">
                  <c:v>5708.8969999999999</c:v>
                </c:pt>
                <c:pt idx="18">
                  <c:v>5726.4780000000001</c:v>
                </c:pt>
                <c:pt idx="19">
                  <c:v>5745.5780000000004</c:v>
                </c:pt>
                <c:pt idx="20">
                  <c:v>5768.866</c:v>
                </c:pt>
                <c:pt idx="21">
                  <c:v>5783.1930000000002</c:v>
                </c:pt>
                <c:pt idx="22">
                  <c:v>5805.2519999999995</c:v>
                </c:pt>
                <c:pt idx="23">
                  <c:v>5839.9740000000011</c:v>
                </c:pt>
                <c:pt idx="24">
                  <c:v>5864.6600000000008</c:v>
                </c:pt>
                <c:pt idx="25">
                  <c:v>5895.1760000000004</c:v>
                </c:pt>
                <c:pt idx="26">
                  <c:v>5909.1940000000004</c:v>
                </c:pt>
                <c:pt idx="27">
                  <c:v>5945.1589999999997</c:v>
                </c:pt>
                <c:pt idx="28">
                  <c:v>5967.6809999999987</c:v>
                </c:pt>
                <c:pt idx="29">
                  <c:v>5985.5380000000005</c:v>
                </c:pt>
                <c:pt idx="30">
                  <c:v>6003.951</c:v>
                </c:pt>
                <c:pt idx="31">
                  <c:v>6022.6240000000007</c:v>
                </c:pt>
                <c:pt idx="32">
                  <c:v>6038.3550000000005</c:v>
                </c:pt>
                <c:pt idx="33">
                  <c:v>6055.2539999999999</c:v>
                </c:pt>
                <c:pt idx="34">
                  <c:v>6073.119999999999</c:v>
                </c:pt>
                <c:pt idx="35">
                  <c:v>6073.3029999999999</c:v>
                </c:pt>
                <c:pt idx="36">
                  <c:v>6068.2160000000003</c:v>
                </c:pt>
                <c:pt idx="37">
                  <c:v>6062.0940000000001</c:v>
                </c:pt>
                <c:pt idx="38">
                  <c:v>6072.366</c:v>
                </c:pt>
                <c:pt idx="39">
                  <c:v>6055.3029999999999</c:v>
                </c:pt>
                <c:pt idx="40">
                  <c:v>6065.6649999999991</c:v>
                </c:pt>
                <c:pt idx="41">
                  <c:v>6065.2339999999995</c:v>
                </c:pt>
                <c:pt idx="42">
                  <c:v>6063.1509999999998</c:v>
                </c:pt>
                <c:pt idx="43">
                  <c:v>6059.9610000000002</c:v>
                </c:pt>
                <c:pt idx="44">
                  <c:v>6058.5380000000005</c:v>
                </c:pt>
                <c:pt idx="45">
                  <c:v>6063.4100000000008</c:v>
                </c:pt>
                <c:pt idx="46">
                  <c:v>6068.9990000000007</c:v>
                </c:pt>
                <c:pt idx="47">
                  <c:v>6090.7519999999995</c:v>
                </c:pt>
                <c:pt idx="48">
                  <c:v>6090.41</c:v>
                </c:pt>
                <c:pt idx="49">
                  <c:v>6098.0300000000007</c:v>
                </c:pt>
                <c:pt idx="50">
                  <c:v>6105.4430000000002</c:v>
                </c:pt>
                <c:pt idx="51">
                  <c:v>6115.5209999999997</c:v>
                </c:pt>
                <c:pt idx="52">
                  <c:v>6109.2469999999985</c:v>
                </c:pt>
                <c:pt idx="53">
                  <c:v>6103.2309999999998</c:v>
                </c:pt>
                <c:pt idx="54">
                  <c:v>6110.3429999999998</c:v>
                </c:pt>
                <c:pt idx="55">
                  <c:v>6124.7060000000001</c:v>
                </c:pt>
                <c:pt idx="56">
                  <c:v>6115.5</c:v>
                </c:pt>
                <c:pt idx="57">
                  <c:v>6116.8060000000005</c:v>
                </c:pt>
                <c:pt idx="58">
                  <c:v>6126.6640000000007</c:v>
                </c:pt>
                <c:pt idx="59">
                  <c:v>6122.7590000000009</c:v>
                </c:pt>
                <c:pt idx="60">
                  <c:v>6115.6129999999994</c:v>
                </c:pt>
                <c:pt idx="61">
                  <c:v>6109.5210000000006</c:v>
                </c:pt>
                <c:pt idx="62">
                  <c:v>6090.4250000000002</c:v>
                </c:pt>
                <c:pt idx="63">
                  <c:v>6095.1609999999991</c:v>
                </c:pt>
                <c:pt idx="64">
                  <c:v>6104.1320000000005</c:v>
                </c:pt>
                <c:pt idx="65">
                  <c:v>6110.3150000000005</c:v>
                </c:pt>
                <c:pt idx="66">
                  <c:v>6112.2070000000003</c:v>
                </c:pt>
                <c:pt idx="67">
                  <c:v>6110.3480000000009</c:v>
                </c:pt>
                <c:pt idx="68">
                  <c:v>6120.0760000000009</c:v>
                </c:pt>
                <c:pt idx="69">
                  <c:v>6128.2680000000009</c:v>
                </c:pt>
                <c:pt idx="70">
                  <c:v>6135.1959999999999</c:v>
                </c:pt>
                <c:pt idx="71">
                  <c:v>6142.4309999999996</c:v>
                </c:pt>
                <c:pt idx="72">
                  <c:v>6163.5520000000006</c:v>
                </c:pt>
                <c:pt idx="73">
                  <c:v>6177.9469999999992</c:v>
                </c:pt>
                <c:pt idx="74">
                  <c:v>6187.7279999999992</c:v>
                </c:pt>
                <c:pt idx="75">
                  <c:v>6224.4949999999999</c:v>
                </c:pt>
                <c:pt idx="76">
                  <c:v>6228.5239999999994</c:v>
                </c:pt>
                <c:pt idx="77">
                  <c:v>6247.4940000000015</c:v>
                </c:pt>
                <c:pt idx="78">
                  <c:v>6253.2779999999993</c:v>
                </c:pt>
                <c:pt idx="79">
                  <c:v>6266.9379999999992</c:v>
                </c:pt>
                <c:pt idx="80">
                  <c:v>6260.5389999999998</c:v>
                </c:pt>
                <c:pt idx="81">
                  <c:v>6264.2480000000005</c:v>
                </c:pt>
                <c:pt idx="82">
                  <c:v>6253.6320000000014</c:v>
                </c:pt>
                <c:pt idx="83">
                  <c:v>6222.55</c:v>
                </c:pt>
                <c:pt idx="84">
                  <c:v>6208.3670000000002</c:v>
                </c:pt>
                <c:pt idx="85">
                  <c:v>6206.4889999999996</c:v>
                </c:pt>
                <c:pt idx="86">
                  <c:v>6198.9539999999988</c:v>
                </c:pt>
                <c:pt idx="87">
                  <c:v>6188.6759999999995</c:v>
                </c:pt>
                <c:pt idx="88">
                  <c:v>6179.52</c:v>
                </c:pt>
                <c:pt idx="89">
                  <c:v>6171.6530000000012</c:v>
                </c:pt>
                <c:pt idx="90">
                  <c:v>6169.2530000000006</c:v>
                </c:pt>
                <c:pt idx="91">
                  <c:v>6169.7820000000002</c:v>
                </c:pt>
                <c:pt idx="92">
                  <c:v>6172.9600000000009</c:v>
                </c:pt>
                <c:pt idx="93">
                  <c:v>6180.7679999999991</c:v>
                </c:pt>
                <c:pt idx="94">
                  <c:v>6184.7560000000003</c:v>
                </c:pt>
                <c:pt idx="95">
                  <c:v>6186.2499999999991</c:v>
                </c:pt>
                <c:pt idx="96">
                  <c:v>6192.753999999999</c:v>
                </c:pt>
                <c:pt idx="97">
                  <c:v>6189.402</c:v>
                </c:pt>
                <c:pt idx="98">
                  <c:v>6201.6729999999989</c:v>
                </c:pt>
                <c:pt idx="99">
                  <c:v>6198.4719999999998</c:v>
                </c:pt>
                <c:pt idx="100">
                  <c:v>6212.8379999999997</c:v>
                </c:pt>
                <c:pt idx="101">
                  <c:v>6227.4529999999995</c:v>
                </c:pt>
                <c:pt idx="102">
                  <c:v>6235.6089999999986</c:v>
                </c:pt>
                <c:pt idx="103">
                  <c:v>6235.0550000000003</c:v>
                </c:pt>
                <c:pt idx="104">
                  <c:v>6245.8429999999998</c:v>
                </c:pt>
                <c:pt idx="105">
                  <c:v>6257.2629999999999</c:v>
                </c:pt>
                <c:pt idx="106">
                  <c:v>6269.6080000000002</c:v>
                </c:pt>
                <c:pt idx="107">
                  <c:v>6280.762999999999</c:v>
                </c:pt>
                <c:pt idx="108">
                  <c:v>6275.1189999999997</c:v>
                </c:pt>
                <c:pt idx="109">
                  <c:v>6270.4480000000003</c:v>
                </c:pt>
                <c:pt idx="110">
                  <c:v>6278.9720000000007</c:v>
                </c:pt>
                <c:pt idx="111">
                  <c:v>6281.7929999999997</c:v>
                </c:pt>
                <c:pt idx="112">
                  <c:v>6275.3079999999991</c:v>
                </c:pt>
                <c:pt idx="113">
                  <c:v>6254.327000000002</c:v>
                </c:pt>
                <c:pt idx="114">
                  <c:v>6244.0540000000001</c:v>
                </c:pt>
                <c:pt idx="115">
                  <c:v>6234.9209999999994</c:v>
                </c:pt>
                <c:pt idx="116">
                  <c:v>6210.0519999999988</c:v>
                </c:pt>
                <c:pt idx="117">
                  <c:v>6195.6089999999995</c:v>
                </c:pt>
                <c:pt idx="118">
                  <c:v>6169.5080000000007</c:v>
                </c:pt>
                <c:pt idx="119">
                  <c:v>6152.2710000000006</c:v>
                </c:pt>
                <c:pt idx="120">
                  <c:v>6146.1350000000002</c:v>
                </c:pt>
                <c:pt idx="121">
                  <c:v>6149.9270000000006</c:v>
                </c:pt>
                <c:pt idx="122">
                  <c:v>6133.4369999999999</c:v>
                </c:pt>
                <c:pt idx="123">
                  <c:v>6126.6650000000009</c:v>
                </c:pt>
                <c:pt idx="124">
                  <c:v>6120.0170000000007</c:v>
                </c:pt>
                <c:pt idx="125">
                  <c:v>6112.4720000000007</c:v>
                </c:pt>
                <c:pt idx="126">
                  <c:v>6105.6629999999996</c:v>
                </c:pt>
                <c:pt idx="127">
                  <c:v>6095.1400000000012</c:v>
                </c:pt>
                <c:pt idx="128">
                  <c:v>6066.1289999999999</c:v>
                </c:pt>
                <c:pt idx="129">
                  <c:v>6042.9989999999998</c:v>
                </c:pt>
                <c:pt idx="130">
                  <c:v>6023.71</c:v>
                </c:pt>
                <c:pt idx="131">
                  <c:v>6001.7919999999995</c:v>
                </c:pt>
                <c:pt idx="132">
                  <c:v>5988.3329999999996</c:v>
                </c:pt>
                <c:pt idx="133">
                  <c:v>5990.5079999999998</c:v>
                </c:pt>
                <c:pt idx="134">
                  <c:v>5947.2529999999997</c:v>
                </c:pt>
                <c:pt idx="135">
                  <c:v>5839.9920000000002</c:v>
                </c:pt>
                <c:pt idx="136">
                  <c:v>5814.6909999999998</c:v>
                </c:pt>
                <c:pt idx="137">
                  <c:v>5808.8509999999997</c:v>
                </c:pt>
                <c:pt idx="138">
                  <c:v>5793.9870000000001</c:v>
                </c:pt>
                <c:pt idx="139">
                  <c:v>5796.3990000000013</c:v>
                </c:pt>
                <c:pt idx="140">
                  <c:v>5800.9279999999999</c:v>
                </c:pt>
                <c:pt idx="141">
                  <c:v>5802.2690000000002</c:v>
                </c:pt>
                <c:pt idx="142">
                  <c:v>5808.4350000000004</c:v>
                </c:pt>
                <c:pt idx="143">
                  <c:v>5806.3919999999998</c:v>
                </c:pt>
                <c:pt idx="144">
                  <c:v>5824.8739999999998</c:v>
                </c:pt>
                <c:pt idx="145">
                  <c:v>5837.2220000000007</c:v>
                </c:pt>
                <c:pt idx="146">
                  <c:v>5861.137999999999</c:v>
                </c:pt>
                <c:pt idx="147">
                  <c:v>5895.3910000000005</c:v>
                </c:pt>
                <c:pt idx="148">
                  <c:v>5896.5860000000002</c:v>
                </c:pt>
                <c:pt idx="149">
                  <c:v>5901.3819999999996</c:v>
                </c:pt>
                <c:pt idx="150">
                  <c:v>5902.5140000000001</c:v>
                </c:pt>
                <c:pt idx="151">
                  <c:v>5916.415</c:v>
                </c:pt>
                <c:pt idx="152">
                  <c:v>5936.5129999999999</c:v>
                </c:pt>
                <c:pt idx="153">
                  <c:v>5951.0319999999992</c:v>
                </c:pt>
                <c:pt idx="154">
                  <c:v>5974.7259999999997</c:v>
                </c:pt>
                <c:pt idx="155">
                  <c:v>6007.277000000001</c:v>
                </c:pt>
                <c:pt idx="156">
                  <c:v>6041.9159999999983</c:v>
                </c:pt>
                <c:pt idx="157">
                  <c:v>6060.3280000000004</c:v>
                </c:pt>
                <c:pt idx="158">
                  <c:v>6085.4759999999997</c:v>
                </c:pt>
                <c:pt idx="159">
                  <c:v>6115.746000000001</c:v>
                </c:pt>
                <c:pt idx="160">
                  <c:v>6140.8630000000003</c:v>
                </c:pt>
                <c:pt idx="161">
                  <c:v>6168.4409999999998</c:v>
                </c:pt>
                <c:pt idx="162">
                  <c:v>6199.34</c:v>
                </c:pt>
                <c:pt idx="163">
                  <c:v>6206.1210000000001</c:v>
                </c:pt>
                <c:pt idx="164">
                  <c:v>6229.7419999999993</c:v>
                </c:pt>
                <c:pt idx="165">
                  <c:v>6248.277</c:v>
                </c:pt>
                <c:pt idx="166">
                  <c:v>6264.7070000000003</c:v>
                </c:pt>
                <c:pt idx="167">
                  <c:v>6276.2429999999995</c:v>
                </c:pt>
                <c:pt idx="168">
                  <c:v>6298.7620000000006</c:v>
                </c:pt>
                <c:pt idx="169">
                  <c:v>6313.0249999999987</c:v>
                </c:pt>
                <c:pt idx="170">
                  <c:v>6335.7870000000003</c:v>
                </c:pt>
                <c:pt idx="171">
                  <c:v>6351.3120000000008</c:v>
                </c:pt>
                <c:pt idx="172">
                  <c:v>6368.4850000000015</c:v>
                </c:pt>
                <c:pt idx="173">
                  <c:v>6386.061999999999</c:v>
                </c:pt>
                <c:pt idx="174">
                  <c:v>6404.813000000001</c:v>
                </c:pt>
                <c:pt idx="175">
                  <c:v>6408.1359999999986</c:v>
                </c:pt>
                <c:pt idx="176">
                  <c:v>6393.2589999999991</c:v>
                </c:pt>
                <c:pt idx="177">
                  <c:v>6380.8309999999992</c:v>
                </c:pt>
                <c:pt idx="178">
                  <c:v>6372.697000000001</c:v>
                </c:pt>
                <c:pt idx="179">
                  <c:v>6361.3180000000002</c:v>
                </c:pt>
                <c:pt idx="180">
                  <c:v>6326.652</c:v>
                </c:pt>
                <c:pt idx="181">
                  <c:v>6300.7380000000003</c:v>
                </c:pt>
                <c:pt idx="182">
                  <c:v>6275.8549999999987</c:v>
                </c:pt>
                <c:pt idx="183">
                  <c:v>6258.7959999999994</c:v>
                </c:pt>
                <c:pt idx="184">
                  <c:v>6248.9690000000001</c:v>
                </c:pt>
                <c:pt idx="185">
                  <c:v>6239.26</c:v>
                </c:pt>
                <c:pt idx="186">
                  <c:v>6233.1180000000004</c:v>
                </c:pt>
                <c:pt idx="187">
                  <c:v>6237.2290000000012</c:v>
                </c:pt>
                <c:pt idx="188">
                  <c:v>6246.3370000000004</c:v>
                </c:pt>
                <c:pt idx="189">
                  <c:v>6253.8789999999999</c:v>
                </c:pt>
                <c:pt idx="190">
                  <c:v>6255.1579999999994</c:v>
                </c:pt>
                <c:pt idx="191">
                  <c:v>6263.7560000000003</c:v>
                </c:pt>
                <c:pt idx="192">
                  <c:v>6254.6690000000008</c:v>
                </c:pt>
                <c:pt idx="193">
                  <c:v>6265.3250000000007</c:v>
                </c:pt>
                <c:pt idx="194">
                  <c:v>6254.2440000000006</c:v>
                </c:pt>
                <c:pt idx="195">
                  <c:v>6264.7150000000001</c:v>
                </c:pt>
                <c:pt idx="196">
                  <c:v>6266.9589999999998</c:v>
                </c:pt>
                <c:pt idx="197">
                  <c:v>6252.3880000000008</c:v>
                </c:pt>
                <c:pt idx="198">
                  <c:v>6240.2750000000015</c:v>
                </c:pt>
                <c:pt idx="199">
                  <c:v>6229.4390000000003</c:v>
                </c:pt>
                <c:pt idx="200">
                  <c:v>6216.6490000000003</c:v>
                </c:pt>
                <c:pt idx="201">
                  <c:v>6200.9249999999993</c:v>
                </c:pt>
                <c:pt idx="202">
                  <c:v>6184.4659999999994</c:v>
                </c:pt>
                <c:pt idx="203">
                  <c:v>6171.8149999999987</c:v>
                </c:pt>
                <c:pt idx="204">
                  <c:v>6164.1190000000015</c:v>
                </c:pt>
                <c:pt idx="205">
                  <c:v>6162.0950000000012</c:v>
                </c:pt>
                <c:pt idx="206">
                  <c:v>6152.5250000000015</c:v>
                </c:pt>
                <c:pt idx="207">
                  <c:v>6140.58</c:v>
                </c:pt>
                <c:pt idx="208">
                  <c:v>6131.5210000000006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89-4850-8F1A-C6A3061C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945471"/>
        <c:axId val="1696950271"/>
      </c:lineChart>
      <c:dateAx>
        <c:axId val="169694547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96950271"/>
        <c:crosses val="autoZero"/>
        <c:auto val="1"/>
        <c:lblOffset val="100"/>
        <c:baseTimeUnit val="months"/>
      </c:dateAx>
      <c:valAx>
        <c:axId val="1696950271"/>
        <c:scaling>
          <c:orientation val="minMax"/>
          <c:min val="5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696945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'T.2.2'!$B$2</c:f>
              <c:strCache>
                <c:ptCount val="1"/>
                <c:pt idx="0">
                  <c:v>Empleo asalariado en el sector privado</c:v>
                </c:pt>
              </c:strCache>
            </c:strRef>
          </c:tx>
          <c:spPr>
            <a:ln w="28575" cap="rnd">
              <a:solidFill>
                <a:schemeClr val="tx2"/>
              </a:solidFill>
              <a:round/>
            </a:ln>
            <a:effectLst/>
          </c:spPr>
          <c:marker>
            <c:symbol val="none"/>
          </c:marker>
          <c:dLbls>
            <c:dLbl>
              <c:idx val="54"/>
              <c:layout>
                <c:manualLayout>
                  <c:x val="-2.467159532906979E-2"/>
                  <c:y val="2.6024364050607429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27-4ACB-BC34-D1540C670527}"/>
                </c:ext>
              </c:extLst>
            </c:dLbl>
            <c:dLbl>
              <c:idx val="102"/>
              <c:layout>
                <c:manualLayout>
                  <c:x val="-2.4242518509301314E-2"/>
                  <c:y val="9.3687710582186744E-3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27-4ACB-BC34-D1540C670527}"/>
                </c:ext>
              </c:extLst>
            </c:dLbl>
            <c:dLbl>
              <c:idx val="138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27-4ACB-BC34-D1540C670527}"/>
                </c:ext>
              </c:extLst>
            </c:dLbl>
            <c:dLbl>
              <c:idx val="179"/>
              <c:layout>
                <c:manualLayout>
                  <c:x val="-1.9980446424727666E-16"/>
                  <c:y val="2.9147287736680284E-2"/>
                </c:manualLayout>
              </c:layout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FE-41F6-BD97-DA1B70EF5F2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2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'T.2.2'!$A$3:$A$225</c:f>
              <c:numCache>
                <c:formatCode>mmm\-yy</c:formatCode>
                <c:ptCount val="223"/>
                <c:pt idx="0">
                  <c:v>40909</c:v>
                </c:pt>
                <c:pt idx="1">
                  <c:v>40940</c:v>
                </c:pt>
                <c:pt idx="2">
                  <c:v>40969</c:v>
                </c:pt>
                <c:pt idx="3">
                  <c:v>41000</c:v>
                </c:pt>
                <c:pt idx="4">
                  <c:v>41030</c:v>
                </c:pt>
                <c:pt idx="5">
                  <c:v>41061</c:v>
                </c:pt>
                <c:pt idx="6">
                  <c:v>41091</c:v>
                </c:pt>
                <c:pt idx="7">
                  <c:v>41122</c:v>
                </c:pt>
                <c:pt idx="8">
                  <c:v>41153</c:v>
                </c:pt>
                <c:pt idx="9">
                  <c:v>41183</c:v>
                </c:pt>
                <c:pt idx="10">
                  <c:v>41214</c:v>
                </c:pt>
                <c:pt idx="11">
                  <c:v>41244</c:v>
                </c:pt>
                <c:pt idx="12">
                  <c:v>41275</c:v>
                </c:pt>
                <c:pt idx="13">
                  <c:v>41306</c:v>
                </c:pt>
                <c:pt idx="14">
                  <c:v>41334</c:v>
                </c:pt>
                <c:pt idx="15">
                  <c:v>41365</c:v>
                </c:pt>
                <c:pt idx="16">
                  <c:v>41395</c:v>
                </c:pt>
                <c:pt idx="17">
                  <c:v>41426</c:v>
                </c:pt>
                <c:pt idx="18">
                  <c:v>41456</c:v>
                </c:pt>
                <c:pt idx="19">
                  <c:v>41487</c:v>
                </c:pt>
                <c:pt idx="20">
                  <c:v>41518</c:v>
                </c:pt>
                <c:pt idx="21">
                  <c:v>41548</c:v>
                </c:pt>
                <c:pt idx="22">
                  <c:v>41579</c:v>
                </c:pt>
                <c:pt idx="23">
                  <c:v>41609</c:v>
                </c:pt>
                <c:pt idx="24">
                  <c:v>41640</c:v>
                </c:pt>
                <c:pt idx="25">
                  <c:v>41671</c:v>
                </c:pt>
                <c:pt idx="26">
                  <c:v>41699</c:v>
                </c:pt>
                <c:pt idx="27">
                  <c:v>41730</c:v>
                </c:pt>
                <c:pt idx="28">
                  <c:v>41760</c:v>
                </c:pt>
                <c:pt idx="29">
                  <c:v>41791</c:v>
                </c:pt>
                <c:pt idx="30">
                  <c:v>41821</c:v>
                </c:pt>
                <c:pt idx="31">
                  <c:v>41852</c:v>
                </c:pt>
                <c:pt idx="32">
                  <c:v>41883</c:v>
                </c:pt>
                <c:pt idx="33">
                  <c:v>41913</c:v>
                </c:pt>
                <c:pt idx="34">
                  <c:v>41944</c:v>
                </c:pt>
                <c:pt idx="35">
                  <c:v>41974</c:v>
                </c:pt>
                <c:pt idx="36">
                  <c:v>42005</c:v>
                </c:pt>
                <c:pt idx="37">
                  <c:v>42036</c:v>
                </c:pt>
                <c:pt idx="38">
                  <c:v>42064</c:v>
                </c:pt>
                <c:pt idx="39">
                  <c:v>42095</c:v>
                </c:pt>
                <c:pt idx="40">
                  <c:v>42125</c:v>
                </c:pt>
                <c:pt idx="41">
                  <c:v>42156</c:v>
                </c:pt>
                <c:pt idx="42">
                  <c:v>42186</c:v>
                </c:pt>
                <c:pt idx="43">
                  <c:v>42217</c:v>
                </c:pt>
                <c:pt idx="44">
                  <c:v>42248</c:v>
                </c:pt>
                <c:pt idx="45">
                  <c:v>42278</c:v>
                </c:pt>
                <c:pt idx="46">
                  <c:v>42309</c:v>
                </c:pt>
                <c:pt idx="47">
                  <c:v>42339</c:v>
                </c:pt>
                <c:pt idx="48">
                  <c:v>42370</c:v>
                </c:pt>
                <c:pt idx="49">
                  <c:v>42401</c:v>
                </c:pt>
                <c:pt idx="50">
                  <c:v>42430</c:v>
                </c:pt>
                <c:pt idx="51">
                  <c:v>42461</c:v>
                </c:pt>
                <c:pt idx="52">
                  <c:v>42491</c:v>
                </c:pt>
                <c:pt idx="53">
                  <c:v>42522</c:v>
                </c:pt>
                <c:pt idx="54">
                  <c:v>42552</c:v>
                </c:pt>
                <c:pt idx="55">
                  <c:v>42583</c:v>
                </c:pt>
                <c:pt idx="56">
                  <c:v>42614</c:v>
                </c:pt>
                <c:pt idx="57">
                  <c:v>42644</c:v>
                </c:pt>
                <c:pt idx="58">
                  <c:v>42675</c:v>
                </c:pt>
                <c:pt idx="59">
                  <c:v>42705</c:v>
                </c:pt>
                <c:pt idx="60">
                  <c:v>42736</c:v>
                </c:pt>
                <c:pt idx="61">
                  <c:v>42767</c:v>
                </c:pt>
                <c:pt idx="62">
                  <c:v>42795</c:v>
                </c:pt>
                <c:pt idx="63">
                  <c:v>42826</c:v>
                </c:pt>
                <c:pt idx="64">
                  <c:v>42856</c:v>
                </c:pt>
                <c:pt idx="65">
                  <c:v>42887</c:v>
                </c:pt>
                <c:pt idx="66">
                  <c:v>42917</c:v>
                </c:pt>
                <c:pt idx="67">
                  <c:v>42948</c:v>
                </c:pt>
                <c:pt idx="68">
                  <c:v>42979</c:v>
                </c:pt>
                <c:pt idx="69">
                  <c:v>43009</c:v>
                </c:pt>
                <c:pt idx="70">
                  <c:v>43040</c:v>
                </c:pt>
                <c:pt idx="71">
                  <c:v>43070</c:v>
                </c:pt>
                <c:pt idx="72">
                  <c:v>43101</c:v>
                </c:pt>
                <c:pt idx="73">
                  <c:v>43132</c:v>
                </c:pt>
                <c:pt idx="74">
                  <c:v>43160</c:v>
                </c:pt>
                <c:pt idx="75">
                  <c:v>43191</c:v>
                </c:pt>
                <c:pt idx="76">
                  <c:v>43221</c:v>
                </c:pt>
                <c:pt idx="77">
                  <c:v>43252</c:v>
                </c:pt>
                <c:pt idx="78">
                  <c:v>43282</c:v>
                </c:pt>
                <c:pt idx="79">
                  <c:v>43313</c:v>
                </c:pt>
                <c:pt idx="80">
                  <c:v>43344</c:v>
                </c:pt>
                <c:pt idx="81">
                  <c:v>43374</c:v>
                </c:pt>
                <c:pt idx="82">
                  <c:v>43405</c:v>
                </c:pt>
                <c:pt idx="83">
                  <c:v>43435</c:v>
                </c:pt>
                <c:pt idx="84">
                  <c:v>43466</c:v>
                </c:pt>
                <c:pt idx="85">
                  <c:v>43497</c:v>
                </c:pt>
                <c:pt idx="86">
                  <c:v>43525</c:v>
                </c:pt>
                <c:pt idx="87">
                  <c:v>43556</c:v>
                </c:pt>
                <c:pt idx="88">
                  <c:v>43586</c:v>
                </c:pt>
                <c:pt idx="89">
                  <c:v>43617</c:v>
                </c:pt>
                <c:pt idx="90">
                  <c:v>43647</c:v>
                </c:pt>
                <c:pt idx="91">
                  <c:v>43678</c:v>
                </c:pt>
                <c:pt idx="92">
                  <c:v>43709</c:v>
                </c:pt>
                <c:pt idx="93">
                  <c:v>43739</c:v>
                </c:pt>
                <c:pt idx="94">
                  <c:v>43770</c:v>
                </c:pt>
                <c:pt idx="95">
                  <c:v>43800</c:v>
                </c:pt>
                <c:pt idx="96">
                  <c:v>43831</c:v>
                </c:pt>
                <c:pt idx="97">
                  <c:v>43862</c:v>
                </c:pt>
                <c:pt idx="98">
                  <c:v>43891</c:v>
                </c:pt>
                <c:pt idx="99">
                  <c:v>43922</c:v>
                </c:pt>
                <c:pt idx="100">
                  <c:v>43952</c:v>
                </c:pt>
                <c:pt idx="101">
                  <c:v>43983</c:v>
                </c:pt>
                <c:pt idx="102">
                  <c:v>44013</c:v>
                </c:pt>
                <c:pt idx="103">
                  <c:v>44044</c:v>
                </c:pt>
                <c:pt idx="104">
                  <c:v>44075</c:v>
                </c:pt>
                <c:pt idx="105">
                  <c:v>44105</c:v>
                </c:pt>
                <c:pt idx="106">
                  <c:v>44136</c:v>
                </c:pt>
                <c:pt idx="107">
                  <c:v>44166</c:v>
                </c:pt>
                <c:pt idx="108">
                  <c:v>44197</c:v>
                </c:pt>
                <c:pt idx="109">
                  <c:v>44228</c:v>
                </c:pt>
                <c:pt idx="110">
                  <c:v>44256</c:v>
                </c:pt>
                <c:pt idx="111">
                  <c:v>44287</c:v>
                </c:pt>
                <c:pt idx="112">
                  <c:v>44317</c:v>
                </c:pt>
                <c:pt idx="113">
                  <c:v>44348</c:v>
                </c:pt>
                <c:pt idx="114">
                  <c:v>44378</c:v>
                </c:pt>
                <c:pt idx="115">
                  <c:v>44409</c:v>
                </c:pt>
                <c:pt idx="116">
                  <c:v>44440</c:v>
                </c:pt>
                <c:pt idx="117">
                  <c:v>44470</c:v>
                </c:pt>
                <c:pt idx="118">
                  <c:v>44501</c:v>
                </c:pt>
                <c:pt idx="119">
                  <c:v>44531</c:v>
                </c:pt>
                <c:pt idx="120">
                  <c:v>44562</c:v>
                </c:pt>
                <c:pt idx="121">
                  <c:v>44593</c:v>
                </c:pt>
                <c:pt idx="122">
                  <c:v>44621</c:v>
                </c:pt>
                <c:pt idx="123">
                  <c:v>44652</c:v>
                </c:pt>
                <c:pt idx="124">
                  <c:v>44682</c:v>
                </c:pt>
                <c:pt idx="125">
                  <c:v>44713</c:v>
                </c:pt>
                <c:pt idx="126">
                  <c:v>44743</c:v>
                </c:pt>
                <c:pt idx="127">
                  <c:v>44774</c:v>
                </c:pt>
                <c:pt idx="128">
                  <c:v>44805</c:v>
                </c:pt>
                <c:pt idx="129">
                  <c:v>44835</c:v>
                </c:pt>
                <c:pt idx="130">
                  <c:v>44866</c:v>
                </c:pt>
                <c:pt idx="131">
                  <c:v>44896</c:v>
                </c:pt>
                <c:pt idx="132">
                  <c:v>44927</c:v>
                </c:pt>
                <c:pt idx="133">
                  <c:v>44958</c:v>
                </c:pt>
                <c:pt idx="134">
                  <c:v>44986</c:v>
                </c:pt>
                <c:pt idx="135">
                  <c:v>45017</c:v>
                </c:pt>
                <c:pt idx="136">
                  <c:v>45047</c:v>
                </c:pt>
                <c:pt idx="137">
                  <c:v>45078</c:v>
                </c:pt>
                <c:pt idx="138">
                  <c:v>45108</c:v>
                </c:pt>
                <c:pt idx="139">
                  <c:v>45139</c:v>
                </c:pt>
                <c:pt idx="140">
                  <c:v>45170</c:v>
                </c:pt>
                <c:pt idx="141">
                  <c:v>45200</c:v>
                </c:pt>
                <c:pt idx="142">
                  <c:v>45231</c:v>
                </c:pt>
                <c:pt idx="143">
                  <c:v>45261</c:v>
                </c:pt>
                <c:pt idx="144">
                  <c:v>45292</c:v>
                </c:pt>
                <c:pt idx="145">
                  <c:v>45323</c:v>
                </c:pt>
                <c:pt idx="146">
                  <c:v>45352</c:v>
                </c:pt>
                <c:pt idx="147">
                  <c:v>45383</c:v>
                </c:pt>
                <c:pt idx="148">
                  <c:v>45413</c:v>
                </c:pt>
                <c:pt idx="149">
                  <c:v>45444</c:v>
                </c:pt>
                <c:pt idx="150">
                  <c:v>45474</c:v>
                </c:pt>
                <c:pt idx="151">
                  <c:v>45505</c:v>
                </c:pt>
                <c:pt idx="152">
                  <c:v>45536</c:v>
                </c:pt>
                <c:pt idx="153">
                  <c:v>45566</c:v>
                </c:pt>
                <c:pt idx="154">
                  <c:v>45597</c:v>
                </c:pt>
                <c:pt idx="155">
                  <c:v>45627</c:v>
                </c:pt>
                <c:pt idx="156">
                  <c:v>45658</c:v>
                </c:pt>
                <c:pt idx="157">
                  <c:v>45689</c:v>
                </c:pt>
                <c:pt idx="158">
                  <c:v>45717</c:v>
                </c:pt>
                <c:pt idx="159">
                  <c:v>45748</c:v>
                </c:pt>
                <c:pt idx="160">
                  <c:v>45778</c:v>
                </c:pt>
                <c:pt idx="161">
                  <c:v>45809</c:v>
                </c:pt>
                <c:pt idx="162">
                  <c:v>45839</c:v>
                </c:pt>
                <c:pt idx="163">
                  <c:v>45870</c:v>
                </c:pt>
                <c:pt idx="164">
                  <c:v>45901</c:v>
                </c:pt>
                <c:pt idx="165">
                  <c:v>45931</c:v>
                </c:pt>
                <c:pt idx="166">
                  <c:v>45962</c:v>
                </c:pt>
                <c:pt idx="167">
                  <c:v>45992</c:v>
                </c:pt>
                <c:pt idx="168">
                  <c:v>46023</c:v>
                </c:pt>
                <c:pt idx="169">
                  <c:v>46054</c:v>
                </c:pt>
                <c:pt idx="170">
                  <c:v>46082</c:v>
                </c:pt>
                <c:pt idx="171">
                  <c:v>46113</c:v>
                </c:pt>
                <c:pt idx="172">
                  <c:v>46143</c:v>
                </c:pt>
                <c:pt idx="213">
                  <c:v>45231</c:v>
                </c:pt>
                <c:pt idx="214">
                  <c:v>45261</c:v>
                </c:pt>
                <c:pt idx="215">
                  <c:v>45292</c:v>
                </c:pt>
                <c:pt idx="216">
                  <c:v>45323</c:v>
                </c:pt>
                <c:pt idx="217">
                  <c:v>45352</c:v>
                </c:pt>
                <c:pt idx="218">
                  <c:v>45383</c:v>
                </c:pt>
                <c:pt idx="219">
                  <c:v>45413</c:v>
                </c:pt>
                <c:pt idx="220">
                  <c:v>45444</c:v>
                </c:pt>
                <c:pt idx="221">
                  <c:v>45474</c:v>
                </c:pt>
                <c:pt idx="222">
                  <c:v>45505</c:v>
                </c:pt>
              </c:numCache>
            </c:numRef>
          </c:cat>
          <c:val>
            <c:numRef>
              <c:f>'T.2.2'!$B$3:$B$225</c:f>
              <c:numCache>
                <c:formatCode>#,##0.0</c:formatCode>
                <c:ptCount val="223"/>
                <c:pt idx="0">
                  <c:v>6068.2160000000003</c:v>
                </c:pt>
                <c:pt idx="1">
                  <c:v>6062.0940000000001</c:v>
                </c:pt>
                <c:pt idx="2">
                  <c:v>6072.366</c:v>
                </c:pt>
                <c:pt idx="3">
                  <c:v>6055.3029999999999</c:v>
                </c:pt>
                <c:pt idx="4">
                  <c:v>6065.665</c:v>
                </c:pt>
                <c:pt idx="5">
                  <c:v>6065.2340000000004</c:v>
                </c:pt>
                <c:pt idx="6">
                  <c:v>6063.1509999999998</c:v>
                </c:pt>
                <c:pt idx="7">
                  <c:v>6059.9610000000002</c:v>
                </c:pt>
                <c:pt idx="8">
                  <c:v>6058.5379999999996</c:v>
                </c:pt>
                <c:pt idx="9">
                  <c:v>6063.41</c:v>
                </c:pt>
                <c:pt idx="10">
                  <c:v>6068.9989999999998</c:v>
                </c:pt>
                <c:pt idx="11">
                  <c:v>6090.7520000000004</c:v>
                </c:pt>
                <c:pt idx="12">
                  <c:v>6090.41</c:v>
                </c:pt>
                <c:pt idx="13">
                  <c:v>6098.03</c:v>
                </c:pt>
                <c:pt idx="14">
                  <c:v>6105.4430000000002</c:v>
                </c:pt>
                <c:pt idx="15">
                  <c:v>6115.5209999999997</c:v>
                </c:pt>
                <c:pt idx="16">
                  <c:v>6109.2470000000003</c:v>
                </c:pt>
                <c:pt idx="17">
                  <c:v>6103.2309999999998</c:v>
                </c:pt>
                <c:pt idx="18">
                  <c:v>6110.3429999999998</c:v>
                </c:pt>
                <c:pt idx="19">
                  <c:v>6124.7060000000001</c:v>
                </c:pt>
                <c:pt idx="20">
                  <c:v>6115.5</c:v>
                </c:pt>
                <c:pt idx="21">
                  <c:v>6116.8059999999996</c:v>
                </c:pt>
                <c:pt idx="22">
                  <c:v>6126.6639999999998</c:v>
                </c:pt>
                <c:pt idx="23">
                  <c:v>6122.759</c:v>
                </c:pt>
                <c:pt idx="24">
                  <c:v>6115.6130000000003</c:v>
                </c:pt>
                <c:pt idx="25">
                  <c:v>6109.5209999999997</c:v>
                </c:pt>
                <c:pt idx="26">
                  <c:v>6090.4250000000002</c:v>
                </c:pt>
                <c:pt idx="27">
                  <c:v>6095.1610000000001</c:v>
                </c:pt>
                <c:pt idx="28">
                  <c:v>6104.1319999999996</c:v>
                </c:pt>
                <c:pt idx="29">
                  <c:v>6110.3149999999996</c:v>
                </c:pt>
                <c:pt idx="30">
                  <c:v>6112.2070000000003</c:v>
                </c:pt>
                <c:pt idx="31">
                  <c:v>6110.348</c:v>
                </c:pt>
                <c:pt idx="32">
                  <c:v>6120.076</c:v>
                </c:pt>
                <c:pt idx="33">
                  <c:v>6128.268</c:v>
                </c:pt>
                <c:pt idx="34">
                  <c:v>6135.1959999999999</c:v>
                </c:pt>
                <c:pt idx="35">
                  <c:v>6142.4309999999996</c:v>
                </c:pt>
                <c:pt idx="36">
                  <c:v>6163.5519999999997</c:v>
                </c:pt>
                <c:pt idx="37">
                  <c:v>6177.9470000000001</c:v>
                </c:pt>
                <c:pt idx="38">
                  <c:v>6187.7280000000001</c:v>
                </c:pt>
                <c:pt idx="39">
                  <c:v>6224.4949999999999</c:v>
                </c:pt>
                <c:pt idx="40">
                  <c:v>6228.5240000000003</c:v>
                </c:pt>
                <c:pt idx="41">
                  <c:v>6247.4939999999997</c:v>
                </c:pt>
                <c:pt idx="42">
                  <c:v>6253.2780000000002</c:v>
                </c:pt>
                <c:pt idx="43">
                  <c:v>6266.9380000000001</c:v>
                </c:pt>
                <c:pt idx="44">
                  <c:v>6260.5389999999998</c:v>
                </c:pt>
                <c:pt idx="45">
                  <c:v>6264.2479999999996</c:v>
                </c:pt>
                <c:pt idx="46">
                  <c:v>6253.6319999999996</c:v>
                </c:pt>
                <c:pt idx="47">
                  <c:v>6222.55</c:v>
                </c:pt>
                <c:pt idx="48">
                  <c:v>6208.3670000000002</c:v>
                </c:pt>
                <c:pt idx="49">
                  <c:v>6206.4889999999996</c:v>
                </c:pt>
                <c:pt idx="50">
                  <c:v>6198.9539999999997</c:v>
                </c:pt>
                <c:pt idx="51">
                  <c:v>6188.6760000000004</c:v>
                </c:pt>
                <c:pt idx="52">
                  <c:v>6179.52</c:v>
                </c:pt>
                <c:pt idx="53">
                  <c:v>6171.6530000000002</c:v>
                </c:pt>
                <c:pt idx="54">
                  <c:v>6169.2529999999997</c:v>
                </c:pt>
                <c:pt idx="55">
                  <c:v>6169.7820000000002</c:v>
                </c:pt>
                <c:pt idx="56">
                  <c:v>6172.96</c:v>
                </c:pt>
                <c:pt idx="57">
                  <c:v>6180.768</c:v>
                </c:pt>
                <c:pt idx="58">
                  <c:v>6184.7560000000003</c:v>
                </c:pt>
                <c:pt idx="59">
                  <c:v>6186.25</c:v>
                </c:pt>
                <c:pt idx="60">
                  <c:v>6192.7539999999999</c:v>
                </c:pt>
                <c:pt idx="61">
                  <c:v>6189.402</c:v>
                </c:pt>
                <c:pt idx="62">
                  <c:v>6201.6729999999998</c:v>
                </c:pt>
                <c:pt idx="63">
                  <c:v>6198.4719999999998</c:v>
                </c:pt>
                <c:pt idx="64">
                  <c:v>6212.8379999999997</c:v>
                </c:pt>
                <c:pt idx="65">
                  <c:v>6227.4530000000004</c:v>
                </c:pt>
                <c:pt idx="66">
                  <c:v>6235.6090000000004</c:v>
                </c:pt>
                <c:pt idx="67">
                  <c:v>6235.0550000000003</c:v>
                </c:pt>
                <c:pt idx="68">
                  <c:v>6245.8429999999998</c:v>
                </c:pt>
                <c:pt idx="69">
                  <c:v>6257.2629999999999</c:v>
                </c:pt>
                <c:pt idx="70">
                  <c:v>6269.6080000000002</c:v>
                </c:pt>
                <c:pt idx="71">
                  <c:v>6280.7629999999999</c:v>
                </c:pt>
                <c:pt idx="72">
                  <c:v>6275.1189999999997</c:v>
                </c:pt>
                <c:pt idx="73">
                  <c:v>6270.4480000000003</c:v>
                </c:pt>
                <c:pt idx="74">
                  <c:v>6278.9719999999998</c:v>
                </c:pt>
                <c:pt idx="75">
                  <c:v>6281.7929999999997</c:v>
                </c:pt>
                <c:pt idx="76">
                  <c:v>6275.308</c:v>
                </c:pt>
                <c:pt idx="77">
                  <c:v>6254.3270000000002</c:v>
                </c:pt>
                <c:pt idx="78">
                  <c:v>6244.0540000000001</c:v>
                </c:pt>
                <c:pt idx="79">
                  <c:v>6234.9210000000003</c:v>
                </c:pt>
                <c:pt idx="80">
                  <c:v>6210.0519999999997</c:v>
                </c:pt>
                <c:pt idx="81">
                  <c:v>6195.6090000000004</c:v>
                </c:pt>
                <c:pt idx="82">
                  <c:v>6169.5079999999998</c:v>
                </c:pt>
                <c:pt idx="83">
                  <c:v>6152.2709999999997</c:v>
                </c:pt>
                <c:pt idx="84">
                  <c:v>6146.1350000000002</c:v>
                </c:pt>
                <c:pt idx="85">
                  <c:v>6149.9269999999997</c:v>
                </c:pt>
                <c:pt idx="86">
                  <c:v>6133.4369999999999</c:v>
                </c:pt>
                <c:pt idx="87">
                  <c:v>6126.665</c:v>
                </c:pt>
                <c:pt idx="88">
                  <c:v>6120.0169999999998</c:v>
                </c:pt>
                <c:pt idx="89">
                  <c:v>6112.4719999999998</c:v>
                </c:pt>
                <c:pt idx="90">
                  <c:v>6105.6629999999996</c:v>
                </c:pt>
                <c:pt idx="91">
                  <c:v>6095.14</c:v>
                </c:pt>
                <c:pt idx="92">
                  <c:v>6066.1289999999999</c:v>
                </c:pt>
                <c:pt idx="93">
                  <c:v>6042.9989999999998</c:v>
                </c:pt>
                <c:pt idx="94">
                  <c:v>6023.71</c:v>
                </c:pt>
                <c:pt idx="95">
                  <c:v>6001.7920000000004</c:v>
                </c:pt>
                <c:pt idx="96">
                  <c:v>5988.3329999999996</c:v>
                </c:pt>
                <c:pt idx="97">
                  <c:v>5990.5079999999998</c:v>
                </c:pt>
                <c:pt idx="98">
                  <c:v>5947.2529999999997</c:v>
                </c:pt>
                <c:pt idx="99">
                  <c:v>5839.9920000000002</c:v>
                </c:pt>
                <c:pt idx="100">
                  <c:v>5814.6909999999998</c:v>
                </c:pt>
                <c:pt idx="101">
                  <c:v>5808.8509999999997</c:v>
                </c:pt>
                <c:pt idx="102">
                  <c:v>5793.9870000000001</c:v>
                </c:pt>
                <c:pt idx="103">
                  <c:v>5796.3990000000003</c:v>
                </c:pt>
                <c:pt idx="104">
                  <c:v>5800.9279999999999</c:v>
                </c:pt>
                <c:pt idx="105">
                  <c:v>5802.2690000000002</c:v>
                </c:pt>
                <c:pt idx="106">
                  <c:v>5808.4350000000004</c:v>
                </c:pt>
                <c:pt idx="107">
                  <c:v>5806.3919999999998</c:v>
                </c:pt>
                <c:pt idx="108">
                  <c:v>5824.8739999999998</c:v>
                </c:pt>
                <c:pt idx="109">
                  <c:v>5837.2219999999998</c:v>
                </c:pt>
                <c:pt idx="110">
                  <c:v>5861.1379999999999</c:v>
                </c:pt>
                <c:pt idx="111">
                  <c:v>5895.3909999999996</c:v>
                </c:pt>
                <c:pt idx="112">
                  <c:v>5896.5860000000002</c:v>
                </c:pt>
                <c:pt idx="113">
                  <c:v>5901.3819999999996</c:v>
                </c:pt>
                <c:pt idx="114">
                  <c:v>5902.5140000000001</c:v>
                </c:pt>
                <c:pt idx="115">
                  <c:v>5916.415</c:v>
                </c:pt>
                <c:pt idx="116">
                  <c:v>5936.5129999999999</c:v>
                </c:pt>
                <c:pt idx="117">
                  <c:v>5951.0320000000002</c:v>
                </c:pt>
                <c:pt idx="118">
                  <c:v>5974.7259999999997</c:v>
                </c:pt>
                <c:pt idx="119">
                  <c:v>6007.277</c:v>
                </c:pt>
                <c:pt idx="120">
                  <c:v>6041.9160000000002</c:v>
                </c:pt>
                <c:pt idx="121">
                  <c:v>6060.3280000000004</c:v>
                </c:pt>
                <c:pt idx="122">
                  <c:v>6085.4759999999997</c:v>
                </c:pt>
                <c:pt idx="123">
                  <c:v>6115.7460000000001</c:v>
                </c:pt>
                <c:pt idx="124">
                  <c:v>6140.8630000000003</c:v>
                </c:pt>
                <c:pt idx="125">
                  <c:v>6168.4409999999998</c:v>
                </c:pt>
                <c:pt idx="126">
                  <c:v>6199.34</c:v>
                </c:pt>
                <c:pt idx="127">
                  <c:v>6206.1210000000001</c:v>
                </c:pt>
                <c:pt idx="128">
                  <c:v>6229.7420000000002</c:v>
                </c:pt>
                <c:pt idx="129">
                  <c:v>6248.277</c:v>
                </c:pt>
                <c:pt idx="130">
                  <c:v>6264.7070000000003</c:v>
                </c:pt>
                <c:pt idx="131">
                  <c:v>6276.2430000000004</c:v>
                </c:pt>
                <c:pt idx="132">
                  <c:v>6298.7619999999997</c:v>
                </c:pt>
                <c:pt idx="133">
                  <c:v>6313.0249999999996</c:v>
                </c:pt>
                <c:pt idx="134">
                  <c:v>6335.7870000000003</c:v>
                </c:pt>
                <c:pt idx="135">
                  <c:v>6351.3119999999999</c:v>
                </c:pt>
                <c:pt idx="136">
                  <c:v>6368.4849999999997</c:v>
                </c:pt>
                <c:pt idx="137">
                  <c:v>6386.0619999999999</c:v>
                </c:pt>
                <c:pt idx="138">
                  <c:v>6404.8130000000001</c:v>
                </c:pt>
                <c:pt idx="139">
                  <c:v>6408.1360000000004</c:v>
                </c:pt>
                <c:pt idx="140">
                  <c:v>6393.259</c:v>
                </c:pt>
                <c:pt idx="141">
                  <c:v>6380.8310000000001</c:v>
                </c:pt>
                <c:pt idx="142">
                  <c:v>6372.6970000000001</c:v>
                </c:pt>
                <c:pt idx="143">
                  <c:v>6361.3180000000002</c:v>
                </c:pt>
                <c:pt idx="144">
                  <c:v>6326.652</c:v>
                </c:pt>
                <c:pt idx="145">
                  <c:v>6300.7380000000003</c:v>
                </c:pt>
                <c:pt idx="146">
                  <c:v>6275.8549999999996</c:v>
                </c:pt>
                <c:pt idx="147">
                  <c:v>6258.7960000000003</c:v>
                </c:pt>
                <c:pt idx="148">
                  <c:v>6248.9690000000001</c:v>
                </c:pt>
                <c:pt idx="149">
                  <c:v>6239.26</c:v>
                </c:pt>
                <c:pt idx="150">
                  <c:v>6233.1180000000004</c:v>
                </c:pt>
                <c:pt idx="151">
                  <c:v>6237.2290000000003</c:v>
                </c:pt>
                <c:pt idx="152">
                  <c:v>6246.3370000000004</c:v>
                </c:pt>
                <c:pt idx="153">
                  <c:v>6253.8789999999999</c:v>
                </c:pt>
                <c:pt idx="154">
                  <c:v>6255.1580000000004</c:v>
                </c:pt>
                <c:pt idx="155">
                  <c:v>6263.7560000000003</c:v>
                </c:pt>
                <c:pt idx="156">
                  <c:v>6254.6689999999999</c:v>
                </c:pt>
                <c:pt idx="157">
                  <c:v>6265.3249999999998</c:v>
                </c:pt>
                <c:pt idx="158">
                  <c:v>6254.2439999999997</c:v>
                </c:pt>
                <c:pt idx="159">
                  <c:v>6264.7150000000001</c:v>
                </c:pt>
                <c:pt idx="160">
                  <c:v>6266.9589999999998</c:v>
                </c:pt>
                <c:pt idx="161">
                  <c:v>6252.3879999999999</c:v>
                </c:pt>
                <c:pt idx="162">
                  <c:v>6240.2749999999996</c:v>
                </c:pt>
                <c:pt idx="163">
                  <c:v>6229.4390000000003</c:v>
                </c:pt>
                <c:pt idx="164">
                  <c:v>6216.6490000000003</c:v>
                </c:pt>
                <c:pt idx="165">
                  <c:v>6200.9250000000002</c:v>
                </c:pt>
                <c:pt idx="166">
                  <c:v>6184.4660000000003</c:v>
                </c:pt>
                <c:pt idx="167">
                  <c:v>6171.8149999999996</c:v>
                </c:pt>
                <c:pt idx="168">
                  <c:v>6164.1189999999997</c:v>
                </c:pt>
                <c:pt idx="169">
                  <c:v>6162.0950000000003</c:v>
                </c:pt>
                <c:pt idx="170">
                  <c:v>6152.5249999999996</c:v>
                </c:pt>
                <c:pt idx="171">
                  <c:v>6140.58</c:v>
                </c:pt>
                <c:pt idx="172">
                  <c:v>6131.5209999999997</c:v>
                </c:pt>
                <c:pt idx="210" formatCode="General">
                  <c:v>0</c:v>
                </c:pt>
                <c:pt idx="211" formatCode="General">
                  <c:v>0</c:v>
                </c:pt>
                <c:pt idx="212" formatCode="General">
                  <c:v>0</c:v>
                </c:pt>
                <c:pt idx="213" formatCode="General">
                  <c:v>100</c:v>
                </c:pt>
                <c:pt idx="214" formatCode="0">
                  <c:v>99.821441377175162</c:v>
                </c:pt>
                <c:pt idx="215" formatCode="0">
                  <c:v>99.277464470694269</c:v>
                </c:pt>
                <c:pt idx="216" formatCode="0">
                  <c:v>98.870823451985871</c:v>
                </c:pt>
                <c:pt idx="217" formatCode="0">
                  <c:v>98.480360826821027</c:v>
                </c:pt>
                <c:pt idx="218" formatCode="0">
                  <c:v>98.21267196604515</c:v>
                </c:pt>
                <c:pt idx="219" formatCode="0">
                  <c:v>98.05846723922383</c:v>
                </c:pt>
                <c:pt idx="220" formatCode="0">
                  <c:v>97.906114161712068</c:v>
                </c:pt>
                <c:pt idx="221" formatCode="0">
                  <c:v>97.809734245955838</c:v>
                </c:pt>
                <c:pt idx="222" formatCode="0">
                  <c:v>97.87424382486725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27-4ACB-BC34-D1540C670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434175"/>
        <c:axId val="546809103"/>
      </c:lineChart>
      <c:dateAx>
        <c:axId val="789434175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546809103"/>
        <c:crosses val="autoZero"/>
        <c:auto val="1"/>
        <c:lblOffset val="100"/>
        <c:baseTimeUnit val="months"/>
      </c:dateAx>
      <c:valAx>
        <c:axId val="5468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789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  <a:alpha val="20000"/>
      </a:schemeClr>
    </a:solidFill>
    <a:ln w="9525" cap="flat" cmpd="sng" algn="ctr">
      <a:solidFill>
        <a:schemeClr val="tx2">
          <a:alpha val="0"/>
        </a:schemeClr>
      </a:solidFill>
      <a:round/>
    </a:ln>
    <a:effectLst/>
  </c:spPr>
  <c:txPr>
    <a:bodyPr/>
    <a:lstStyle/>
    <a:p>
      <a:pPr>
        <a:defRPr sz="600"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Variación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164A6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'Cuadro 1'!$B$1:$P$1</c:f>
              <c:strCache>
                <c:ptCount val="15"/>
                <c:pt idx="0">
                  <c:v>Agro y Pesca</c:v>
                </c:pt>
                <c:pt idx="1">
                  <c:v>Minería</c:v>
                </c:pt>
                <c:pt idx="2">
                  <c:v>Industria</c:v>
                </c:pt>
                <c:pt idx="3">
                  <c:v>EGA</c:v>
                </c:pt>
                <c:pt idx="4">
                  <c:v>Construcción</c:v>
                </c:pt>
                <c:pt idx="5">
                  <c:v>Comercio</c:v>
                </c:pt>
                <c:pt idx="6">
                  <c:v>Hoteles y restaurantes</c:v>
                </c:pt>
                <c:pt idx="7">
                  <c:v>Transporte</c:v>
                </c:pt>
                <c:pt idx="8">
                  <c:v>Int. Financiera</c:v>
                </c:pt>
                <c:pt idx="9">
                  <c:v>Serv. Inmobiliarios</c:v>
                </c:pt>
                <c:pt idx="10">
                  <c:v>Educación</c:v>
                </c:pt>
                <c:pt idx="11">
                  <c:v>Salud</c:v>
                </c:pt>
                <c:pt idx="12">
                  <c:v>Serv. Personales</c:v>
                </c:pt>
                <c:pt idx="13">
                  <c:v>Sin especificar</c:v>
                </c:pt>
                <c:pt idx="14">
                  <c:v>Total</c:v>
                </c:pt>
              </c:strCache>
            </c:strRef>
          </c:cat>
          <c:val>
            <c:numRef>
              <c:f>'Cuadro 1'!$B$42:$N$42</c:f>
              <c:numCache>
                <c:formatCode>#,##0</c:formatCode>
                <c:ptCount val="13"/>
                <c:pt idx="0">
                  <c:v>1835.9999999999559</c:v>
                </c:pt>
                <c:pt idx="1">
                  <c:v>291.99999999998738</c:v>
                </c:pt>
                <c:pt idx="2">
                  <c:v>-3156.9999999999254</c:v>
                </c:pt>
                <c:pt idx="3">
                  <c:v>44.000000000011141</c:v>
                </c:pt>
                <c:pt idx="4">
                  <c:v>-1990.0000000000091</c:v>
                </c:pt>
                <c:pt idx="5">
                  <c:v>-4213.9999999999418</c:v>
                </c:pt>
                <c:pt idx="6">
                  <c:v>-396.99999999999136</c:v>
                </c:pt>
                <c:pt idx="7">
                  <c:v>-1696.0000000000264</c:v>
                </c:pt>
                <c:pt idx="8">
                  <c:v>-299.99999999998295</c:v>
                </c:pt>
                <c:pt idx="9">
                  <c:v>703.00000000008822</c:v>
                </c:pt>
                <c:pt idx="10">
                  <c:v>-361.99999999996635</c:v>
                </c:pt>
                <c:pt idx="11">
                  <c:v>245.9999999999809</c:v>
                </c:pt>
                <c:pt idx="12">
                  <c:v>-60.000000000002274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C-4E98-9D4B-150D644E05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99"/>
        <c:axId val="1829590495"/>
        <c:axId val="1829590015"/>
      </c:barChart>
      <c:catAx>
        <c:axId val="1829590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9590015"/>
        <c:crosses val="autoZero"/>
        <c:auto val="1"/>
        <c:lblAlgn val="ctr"/>
        <c:lblOffset val="100"/>
        <c:noMultiLvlLbl val="0"/>
      </c:catAx>
      <c:valAx>
        <c:axId val="18295900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8295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4902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Variación interanual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64A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164A60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'Cuadro 1'!$B$1:$P$1</c:f>
              <c:strCache>
                <c:ptCount val="15"/>
                <c:pt idx="0">
                  <c:v>Agro y Pesca</c:v>
                </c:pt>
                <c:pt idx="1">
                  <c:v>Minería</c:v>
                </c:pt>
                <c:pt idx="2">
                  <c:v>Industria</c:v>
                </c:pt>
                <c:pt idx="3">
                  <c:v>EGA</c:v>
                </c:pt>
                <c:pt idx="4">
                  <c:v>Construcción</c:v>
                </c:pt>
                <c:pt idx="5">
                  <c:v>Comercio</c:v>
                </c:pt>
                <c:pt idx="6">
                  <c:v>Hoteles y restaurantes</c:v>
                </c:pt>
                <c:pt idx="7">
                  <c:v>Transporte</c:v>
                </c:pt>
                <c:pt idx="8">
                  <c:v>Int. Financiera</c:v>
                </c:pt>
                <c:pt idx="9">
                  <c:v>Serv. Inmobiliarios</c:v>
                </c:pt>
                <c:pt idx="10">
                  <c:v>Educación</c:v>
                </c:pt>
                <c:pt idx="11">
                  <c:v>Salud</c:v>
                </c:pt>
                <c:pt idx="12">
                  <c:v>Serv. Personales</c:v>
                </c:pt>
                <c:pt idx="13">
                  <c:v>Sin especificar</c:v>
                </c:pt>
                <c:pt idx="14">
                  <c:v>Total</c:v>
                </c:pt>
              </c:strCache>
            </c:strRef>
          </c:cat>
          <c:val>
            <c:numRef>
              <c:f>'Cuadro 1'!$B$47:$N$47</c:f>
              <c:numCache>
                <c:formatCode>#,##0</c:formatCode>
                <c:ptCount val="13"/>
                <c:pt idx="0">
                  <c:v>2539.9999999999636</c:v>
                </c:pt>
                <c:pt idx="1">
                  <c:v>-3503</c:v>
                </c:pt>
                <c:pt idx="2">
                  <c:v>-52341.000000000124</c:v>
                </c:pt>
                <c:pt idx="3">
                  <c:v>81.00000000000307</c:v>
                </c:pt>
                <c:pt idx="4">
                  <c:v>-1423.0000000000018</c:v>
                </c:pt>
                <c:pt idx="5">
                  <c:v>-39154</c:v>
                </c:pt>
                <c:pt idx="6">
                  <c:v>-4178.9999999999736</c:v>
                </c:pt>
                <c:pt idx="7">
                  <c:v>-13914.999999999964</c:v>
                </c:pt>
                <c:pt idx="8">
                  <c:v>-6923.9999999999782</c:v>
                </c:pt>
                <c:pt idx="9">
                  <c:v>-18178.999999999975</c:v>
                </c:pt>
                <c:pt idx="10">
                  <c:v>398.00000000002456</c:v>
                </c:pt>
                <c:pt idx="11">
                  <c:v>-254.0000000000191</c:v>
                </c:pt>
                <c:pt idx="12">
                  <c:v>1334.0000000000032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D-4FE5-AECF-27D94BAAAC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99"/>
        <c:axId val="1829590495"/>
        <c:axId val="1829590015"/>
      </c:barChart>
      <c:catAx>
        <c:axId val="1829590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29590015"/>
        <c:crosses val="autoZero"/>
        <c:auto val="1"/>
        <c:lblAlgn val="ctr"/>
        <c:lblOffset val="100"/>
        <c:noMultiLvlLbl val="0"/>
      </c:catAx>
      <c:valAx>
        <c:axId val="182959001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82959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4902"/>
      </a:srgb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/>
              <a:t>Asalariados</a:t>
            </a:r>
            <a:r>
              <a:rPr lang="en-US" baseline="0"/>
              <a:t> registrados del sector Industria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431440563321657E-2"/>
          <c:y val="8.2953970662620127E-2"/>
          <c:w val="0.9379125186444206"/>
          <c:h val="0.85185125000497852"/>
        </c:manualLayout>
      </c:layout>
      <c:lineChart>
        <c:grouping val="standard"/>
        <c:varyColors val="0"/>
        <c:ser>
          <c:idx val="0"/>
          <c:order val="0"/>
          <c:tx>
            <c:strRef>
              <c:f>'A.2.2'!$X$3</c:f>
              <c:strCache>
                <c:ptCount val="1"/>
                <c:pt idx="0">
                  <c:v>Var. Mensual absoluta</c:v>
                </c:pt>
              </c:strCache>
            </c:strRef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5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AA5C-DD4A-A4DE-497B85F6C4DA}"/>
              </c:ext>
            </c:extLst>
          </c:dPt>
          <c:dPt>
            <c:idx val="5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3F84-3F41-9A68-CABCE0204783}"/>
              </c:ext>
            </c:extLst>
          </c:dPt>
          <c:dPt>
            <c:idx val="13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AA5C-DD4A-A4DE-497B85F6C4DA}"/>
              </c:ext>
            </c:extLst>
          </c:dPt>
          <c:dPt>
            <c:idx val="13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3F84-3F41-9A68-CABCE0204783}"/>
              </c:ext>
            </c:extLst>
          </c:dPt>
          <c:dPt>
            <c:idx val="17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AA5C-DD4A-A4DE-497B85F6C4DA}"/>
              </c:ext>
            </c:extLst>
          </c:dPt>
          <c:dPt>
            <c:idx val="17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3F84-3F41-9A68-CABCE0204783}"/>
              </c:ext>
            </c:extLst>
          </c:dPt>
          <c:dPt>
            <c:idx val="18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F75B-4E37-ACFB-4A8F086D6BFD}"/>
              </c:ext>
            </c:extLst>
          </c:dPt>
          <c:dPt>
            <c:idx val="18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0A4-4160-828A-47506726C603}"/>
              </c:ext>
            </c:extLst>
          </c:dPt>
          <c:dPt>
            <c:idx val="18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52EF-4E2B-BDBE-13A0E9DE138F}"/>
              </c:ext>
            </c:extLst>
          </c:dPt>
          <c:dPt>
            <c:idx val="1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9D3B-4B02-BA65-E96125E2578F}"/>
              </c:ext>
            </c:extLst>
          </c:dPt>
          <c:dPt>
            <c:idx val="18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A58E-4BF3-9BE6-C2109782959C}"/>
              </c:ext>
            </c:extLst>
          </c:dPt>
          <c:dPt>
            <c:idx val="19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4982-46A0-BF42-37EFEB782685}"/>
              </c:ext>
            </c:extLst>
          </c:dPt>
          <c:dPt>
            <c:idx val="19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3311-49F9-9A77-BC91FEE92C2B}"/>
              </c:ext>
            </c:extLst>
          </c:dPt>
          <c:dPt>
            <c:idx val="19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CF74-47B6-9672-892A090AF18F}"/>
              </c:ext>
            </c:extLst>
          </c:dPt>
          <c:dPt>
            <c:idx val="19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3AD-4AE5-B64A-43C7E1B8556D}"/>
              </c:ext>
            </c:extLst>
          </c:dPt>
          <c:dPt>
            <c:idx val="19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1128-4D7E-BA60-E0705FD8632D}"/>
              </c:ext>
            </c:extLst>
          </c:dPt>
          <c:dPt>
            <c:idx val="19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046B-4FFF-A76E-297DF0D7894B}"/>
              </c:ext>
            </c:extLst>
          </c:dPt>
          <c:dPt>
            <c:idx val="19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A263-456F-A5D7-4533C9CB7466}"/>
              </c:ext>
            </c:extLst>
          </c:dPt>
          <c:dPt>
            <c:idx val="19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7625-4F68-9236-E043ADCBD40A}"/>
              </c:ext>
            </c:extLst>
          </c:dPt>
          <c:dPt>
            <c:idx val="1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A4BF-4939-8F15-6B0314CD5BD1}"/>
              </c:ext>
            </c:extLst>
          </c:dPt>
          <c:dPt>
            <c:idx val="19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53CE-4A32-911B-7A7F224A90FD}"/>
              </c:ext>
            </c:extLst>
          </c:dPt>
          <c:dPt>
            <c:idx val="20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8D78-45A6-A58C-9F7EA402ED03}"/>
              </c:ext>
            </c:extLst>
          </c:dPt>
          <c:dPt>
            <c:idx val="2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3F84-3F41-9A68-CABCE0204783}"/>
              </c:ext>
            </c:extLst>
          </c:dPt>
          <c:dPt>
            <c:idx val="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E940-4FAC-9662-721DFC13252D}"/>
              </c:ext>
            </c:extLst>
          </c:dPt>
          <c:dPt>
            <c:idx val="20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12CA-475C-89D9-D4AF659699CA}"/>
              </c:ext>
            </c:extLst>
          </c:dPt>
          <c:dPt>
            <c:idx val="20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92DE-4F60-8122-02D58B564B41}"/>
              </c:ext>
            </c:extLst>
          </c:dPt>
          <c:dPt>
            <c:idx val="206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C8B-A64C-A08A-BC1A9193DD3C}"/>
              </c:ext>
            </c:extLst>
          </c:dPt>
          <c:dPt>
            <c:idx val="20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7272-394A-B657-C384396D84BC}"/>
              </c:ext>
            </c:extLst>
          </c:dPt>
          <c:dPt>
            <c:idx val="20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3F84-3F41-9A68-CABCE0204783}"/>
              </c:ext>
            </c:extLst>
          </c:dPt>
          <c:dLbls>
            <c:dLbl>
              <c:idx val="57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A5C-DD4A-A4DE-497B85F6C4DA}"/>
                </c:ext>
              </c:extLst>
            </c:dLbl>
            <c:dLbl>
              <c:idx val="5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84-3F41-9A68-CABCE0204783}"/>
                </c:ext>
              </c:extLst>
            </c:dLbl>
            <c:dLbl>
              <c:idx val="136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A5C-DD4A-A4DE-497B85F6C4DA}"/>
                </c:ext>
              </c:extLst>
            </c:dLbl>
            <c:dLbl>
              <c:idx val="1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84-3F41-9A68-CABCE0204783}"/>
                </c:ext>
              </c:extLst>
            </c:dLbl>
            <c:dLbl>
              <c:idx val="175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A5C-DD4A-A4DE-497B85F6C4DA}"/>
                </c:ext>
              </c:extLst>
            </c:dLbl>
            <c:dLbl>
              <c:idx val="17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84-3F41-9A68-CABCE0204783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2726356613242929E-2"/>
                      <c:h val="5.86366275612528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CF74-47B6-9672-892A090AF18F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954297612137909E-2"/>
                      <c:h val="7.683420163198646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C3AD-4AE5-B64A-43C7E1B8556D}"/>
                </c:ext>
              </c:extLst>
            </c:dLbl>
            <c:dLbl>
              <c:idx val="19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3.6239983554697444E-2"/>
                      <c:h val="0.141536687216817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1128-4D7E-BA60-E0705FD8632D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7576519130779323E-2"/>
                      <c:h val="7.48122489574604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046B-4FFF-A76E-297DF0D7894B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8848355883331487E-2"/>
                      <c:h val="6.2702265372168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A263-456F-A5D7-4533C9CB7466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631219733096744E-2"/>
                      <c:h val="5.66343042071197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7625-4F68-9236-E043ADCBD40A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7740725851170007E-2"/>
                      <c:h val="7.48381877022653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A4BF-4939-8F15-6B0314CD5BD1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1395304240139007E-2"/>
                      <c:h val="6.270226537216828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53CE-4A32-911B-7A7F224A90FD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4530666094166236E-2"/>
                      <c:h val="6.88005896647110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8D78-45A6-A58C-9F7EA402ED03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9128608303111722E-2"/>
                      <c:h val="4.451802860657774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3F84-3F41-9A68-CABCE0204783}"/>
                </c:ext>
              </c:extLst>
            </c:dLbl>
            <c:dLbl>
              <c:idx val="20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6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F84-3F41-9A68-CABCE02047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rgbClr val="1E5B78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'A.2.2'!$S$4:$S$303</c:f>
              <c:numCache>
                <c:formatCode>mmm\-yy</c:formatCode>
                <c:ptCount val="30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</c:numCache>
            </c:numRef>
          </c:cat>
          <c:val>
            <c:numRef>
              <c:f>'A.2.2'!$Y$4:$Y$303</c:f>
              <c:numCache>
                <c:formatCode>#,##0.000</c:formatCode>
                <c:ptCount val="300"/>
                <c:pt idx="0">
                  <c:v>93.445802052526489</c:v>
                </c:pt>
                <c:pt idx="1">
                  <c:v>93.089548418897408</c:v>
                </c:pt>
                <c:pt idx="2">
                  <c:v>92.358951998180032</c:v>
                </c:pt>
                <c:pt idx="3">
                  <c:v>91.681043199110221</c:v>
                </c:pt>
                <c:pt idx="4">
                  <c:v>91.429295897474788</c:v>
                </c:pt>
                <c:pt idx="5">
                  <c:v>91.656160739111755</c:v>
                </c:pt>
                <c:pt idx="6">
                  <c:v>91.609160536892404</c:v>
                </c:pt>
                <c:pt idx="7">
                  <c:v>91.74407876443972</c:v>
                </c:pt>
                <c:pt idx="8">
                  <c:v>91.939899775030966</c:v>
                </c:pt>
                <c:pt idx="9">
                  <c:v>92.221821996410597</c:v>
                </c:pt>
                <c:pt idx="10">
                  <c:v>92.183431915270091</c:v>
                </c:pt>
                <c:pt idx="11">
                  <c:v>92.197571471904141</c:v>
                </c:pt>
                <c:pt idx="12">
                  <c:v>92.298681150628141</c:v>
                </c:pt>
                <c:pt idx="13">
                  <c:v>92.765760471171106</c:v>
                </c:pt>
                <c:pt idx="14">
                  <c:v>93.063402087914852</c:v>
                </c:pt>
                <c:pt idx="15">
                  <c:v>93.358752938500032</c:v>
                </c:pt>
                <c:pt idx="16">
                  <c:v>93.640043224387654</c:v>
                </c:pt>
                <c:pt idx="17">
                  <c:v>93.990451454715512</c:v>
                </c:pt>
                <c:pt idx="18">
                  <c:v>94.158072343975135</c:v>
                </c:pt>
                <c:pt idx="19">
                  <c:v>94.464324081797741</c:v>
                </c:pt>
                <c:pt idx="20">
                  <c:v>94.591106139885255</c:v>
                </c:pt>
                <c:pt idx="21">
                  <c:v>94.71599239149667</c:v>
                </c:pt>
                <c:pt idx="22">
                  <c:v>94.875477111296476</c:v>
                </c:pt>
                <c:pt idx="23">
                  <c:v>95.380788529106937</c:v>
                </c:pt>
                <c:pt idx="24">
                  <c:v>95.814770228255114</c:v>
                </c:pt>
                <c:pt idx="25">
                  <c:v>96.279321806829955</c:v>
                </c:pt>
                <c:pt idx="26">
                  <c:v>96.573645762240588</c:v>
                </c:pt>
                <c:pt idx="27">
                  <c:v>97.100363994843391</c:v>
                </c:pt>
                <c:pt idx="28">
                  <c:v>97.507804403326517</c:v>
                </c:pt>
                <c:pt idx="29">
                  <c:v>97.781353479436817</c:v>
                </c:pt>
                <c:pt idx="30">
                  <c:v>98.107353201385195</c:v>
                </c:pt>
                <c:pt idx="31">
                  <c:v>98.37308207578171</c:v>
                </c:pt>
                <c:pt idx="32">
                  <c:v>98.701925507444201</c:v>
                </c:pt>
                <c:pt idx="33">
                  <c:v>98.929422284573192</c:v>
                </c:pt>
                <c:pt idx="34">
                  <c:v>99.144912287353705</c:v>
                </c:pt>
                <c:pt idx="35">
                  <c:v>99.270193498647657</c:v>
                </c:pt>
                <c:pt idx="36">
                  <c:v>99.171137610272751</c:v>
                </c:pt>
                <c:pt idx="37">
                  <c:v>99.053992568438616</c:v>
                </c:pt>
                <c:pt idx="38">
                  <c:v>99.081165794595677</c:v>
                </c:pt>
                <c:pt idx="39">
                  <c:v>98.978792244887643</c:v>
                </c:pt>
                <c:pt idx="40">
                  <c:v>98.967338414094684</c:v>
                </c:pt>
                <c:pt idx="41">
                  <c:v>98.938901316953562</c:v>
                </c:pt>
                <c:pt idx="42">
                  <c:v>99.040958898915591</c:v>
                </c:pt>
                <c:pt idx="43">
                  <c:v>99.124453375799391</c:v>
                </c:pt>
                <c:pt idx="44">
                  <c:v>99.100913778721463</c:v>
                </c:pt>
                <c:pt idx="45">
                  <c:v>99.160078739162302</c:v>
                </c:pt>
                <c:pt idx="46">
                  <c:v>99.347052652865187</c:v>
                </c:pt>
                <c:pt idx="47">
                  <c:v>99.796911731250475</c:v>
                </c:pt>
                <c:pt idx="48">
                  <c:v>99.771239351886962</c:v>
                </c:pt>
                <c:pt idx="49">
                  <c:v>99.815158868582699</c:v>
                </c:pt>
                <c:pt idx="50">
                  <c:v>99.938149313718057</c:v>
                </c:pt>
                <c:pt idx="51">
                  <c:v>99.945732539622369</c:v>
                </c:pt>
                <c:pt idx="52">
                  <c:v>99.958134273653343</c:v>
                </c:pt>
                <c:pt idx="53">
                  <c:v>99.881986046864341</c:v>
                </c:pt>
                <c:pt idx="54">
                  <c:v>99.948655241272959</c:v>
                </c:pt>
                <c:pt idx="55">
                  <c:v>99.944942620257336</c:v>
                </c:pt>
                <c:pt idx="56">
                  <c:v>99.970772983493845</c:v>
                </c:pt>
                <c:pt idx="57">
                  <c:v>100</c:v>
                </c:pt>
                <c:pt idx="58">
                  <c:v>99.958845201081886</c:v>
                </c:pt>
                <c:pt idx="59">
                  <c:v>99.917453426354228</c:v>
                </c:pt>
                <c:pt idx="60">
                  <c:v>99.56001491367762</c:v>
                </c:pt>
                <c:pt idx="61">
                  <c:v>99.372567048355705</c:v>
                </c:pt>
                <c:pt idx="62">
                  <c:v>98.994195672505754</c:v>
                </c:pt>
                <c:pt idx="63">
                  <c:v>98.920417203811837</c:v>
                </c:pt>
                <c:pt idx="64">
                  <c:v>98.781391395566345</c:v>
                </c:pt>
                <c:pt idx="65">
                  <c:v>98.699871717095107</c:v>
                </c:pt>
                <c:pt idx="66">
                  <c:v>98.536437400470163</c:v>
                </c:pt>
                <c:pt idx="67">
                  <c:v>98.403651955208403</c:v>
                </c:pt>
                <c:pt idx="68">
                  <c:v>98.335718889815723</c:v>
                </c:pt>
                <c:pt idx="69">
                  <c:v>98.269918606708629</c:v>
                </c:pt>
                <c:pt idx="70">
                  <c:v>98.203723363919011</c:v>
                </c:pt>
                <c:pt idx="71">
                  <c:v>98.160119814969292</c:v>
                </c:pt>
                <c:pt idx="72">
                  <c:v>98.219521751219645</c:v>
                </c:pt>
                <c:pt idx="73">
                  <c:v>98.461395060792185</c:v>
                </c:pt>
                <c:pt idx="74">
                  <c:v>98.458156391395562</c:v>
                </c:pt>
                <c:pt idx="75">
                  <c:v>98.882185106544313</c:v>
                </c:pt>
                <c:pt idx="76">
                  <c:v>99.119002932180678</c:v>
                </c:pt>
                <c:pt idx="77">
                  <c:v>99.168530876368138</c:v>
                </c:pt>
                <c:pt idx="78">
                  <c:v>99.246811885442725</c:v>
                </c:pt>
                <c:pt idx="79">
                  <c:v>99.291442329566991</c:v>
                </c:pt>
                <c:pt idx="80">
                  <c:v>99.397212532544671</c:v>
                </c:pt>
                <c:pt idx="81">
                  <c:v>99.325013902580821</c:v>
                </c:pt>
                <c:pt idx="82">
                  <c:v>99.16063168271782</c:v>
                </c:pt>
                <c:pt idx="83">
                  <c:v>98.909042364955397</c:v>
                </c:pt>
                <c:pt idx="84">
                  <c:v>98.469057278632988</c:v>
                </c:pt>
                <c:pt idx="85">
                  <c:v>98.260913525947274</c:v>
                </c:pt>
                <c:pt idx="86">
                  <c:v>97.866269811177673</c:v>
                </c:pt>
                <c:pt idx="87">
                  <c:v>97.678505978109769</c:v>
                </c:pt>
                <c:pt idx="88">
                  <c:v>97.154868431030565</c:v>
                </c:pt>
                <c:pt idx="89">
                  <c:v>96.915917823108629</c:v>
                </c:pt>
                <c:pt idx="90">
                  <c:v>96.639998988903216</c:v>
                </c:pt>
                <c:pt idx="91">
                  <c:v>96.371110437046582</c:v>
                </c:pt>
                <c:pt idx="92">
                  <c:v>96.111542933697336</c:v>
                </c:pt>
                <c:pt idx="93">
                  <c:v>95.854029220697143</c:v>
                </c:pt>
                <c:pt idx="94">
                  <c:v>95.463809054371737</c:v>
                </c:pt>
                <c:pt idx="95">
                  <c:v>95.303692399079907</c:v>
                </c:pt>
                <c:pt idx="96">
                  <c:v>95.167905260231038</c:v>
                </c:pt>
                <c:pt idx="97">
                  <c:v>94.908495740754802</c:v>
                </c:pt>
                <c:pt idx="98">
                  <c:v>94.882270417835741</c:v>
                </c:pt>
                <c:pt idx="99">
                  <c:v>94.716624326988693</c:v>
                </c:pt>
                <c:pt idx="100">
                  <c:v>94.532257147190407</c:v>
                </c:pt>
                <c:pt idx="101">
                  <c:v>94.414954121483291</c:v>
                </c:pt>
                <c:pt idx="102">
                  <c:v>94.304207426505897</c:v>
                </c:pt>
                <c:pt idx="103">
                  <c:v>94.20586246555952</c:v>
                </c:pt>
                <c:pt idx="104">
                  <c:v>94.07931738328152</c:v>
                </c:pt>
                <c:pt idx="105">
                  <c:v>94.164075731149353</c:v>
                </c:pt>
                <c:pt idx="106">
                  <c:v>94.254205530699423</c:v>
                </c:pt>
                <c:pt idx="107">
                  <c:v>94.211944844670271</c:v>
                </c:pt>
                <c:pt idx="108">
                  <c:v>94.015017946967973</c:v>
                </c:pt>
                <c:pt idx="109">
                  <c:v>93.764613508253078</c:v>
                </c:pt>
                <c:pt idx="110">
                  <c:v>93.609236369151432</c:v>
                </c:pt>
                <c:pt idx="111">
                  <c:v>93.385452213038093</c:v>
                </c:pt>
                <c:pt idx="112">
                  <c:v>93.033385152043678</c:v>
                </c:pt>
                <c:pt idx="113">
                  <c:v>92.468513814109855</c:v>
                </c:pt>
                <c:pt idx="114">
                  <c:v>92.021735421248195</c:v>
                </c:pt>
                <c:pt idx="115">
                  <c:v>91.651263239048546</c:v>
                </c:pt>
                <c:pt idx="116">
                  <c:v>91.003134400040437</c:v>
                </c:pt>
                <c:pt idx="117">
                  <c:v>90.432417658805392</c:v>
                </c:pt>
                <c:pt idx="118">
                  <c:v>89.70426998811962</c:v>
                </c:pt>
                <c:pt idx="119">
                  <c:v>89.515716235686668</c:v>
                </c:pt>
                <c:pt idx="120">
                  <c:v>89.203698086499344</c:v>
                </c:pt>
                <c:pt idx="121">
                  <c:v>88.968539091529536</c:v>
                </c:pt>
                <c:pt idx="122">
                  <c:v>88.489610980511117</c:v>
                </c:pt>
                <c:pt idx="123">
                  <c:v>88.17482811354617</c:v>
                </c:pt>
                <c:pt idx="124">
                  <c:v>87.94038004600489</c:v>
                </c:pt>
                <c:pt idx="125">
                  <c:v>87.713199236621918</c:v>
                </c:pt>
                <c:pt idx="126">
                  <c:v>87.520300927681291</c:v>
                </c:pt>
                <c:pt idx="127">
                  <c:v>87.300308384520108</c:v>
                </c:pt>
                <c:pt idx="128">
                  <c:v>86.771615353504714</c:v>
                </c:pt>
                <c:pt idx="129">
                  <c:v>86.38968934051212</c:v>
                </c:pt>
                <c:pt idx="130">
                  <c:v>85.920161269937566</c:v>
                </c:pt>
                <c:pt idx="131">
                  <c:v>85.708936831728224</c:v>
                </c:pt>
                <c:pt idx="132">
                  <c:v>85.689346831475447</c:v>
                </c:pt>
                <c:pt idx="133">
                  <c:v>85.726078081949396</c:v>
                </c:pt>
                <c:pt idx="134">
                  <c:v>85.512088925962431</c:v>
                </c:pt>
                <c:pt idx="135">
                  <c:v>85.090903920527794</c:v>
                </c:pt>
                <c:pt idx="136">
                  <c:v>84.983711862693056</c:v>
                </c:pt>
                <c:pt idx="137">
                  <c:v>85.103226662622276</c:v>
                </c:pt>
                <c:pt idx="138">
                  <c:v>85.272427390611966</c:v>
                </c:pt>
                <c:pt idx="139">
                  <c:v>85.547003361896813</c:v>
                </c:pt>
                <c:pt idx="140">
                  <c:v>85.879480422638451</c:v>
                </c:pt>
                <c:pt idx="141">
                  <c:v>86.208323854300943</c:v>
                </c:pt>
                <c:pt idx="142">
                  <c:v>86.422786961906922</c:v>
                </c:pt>
                <c:pt idx="143">
                  <c:v>86.49198389828365</c:v>
                </c:pt>
                <c:pt idx="144">
                  <c:v>86.666240110209543</c:v>
                </c:pt>
                <c:pt idx="145">
                  <c:v>86.843813983468578</c:v>
                </c:pt>
                <c:pt idx="146">
                  <c:v>87.227951770683248</c:v>
                </c:pt>
                <c:pt idx="147">
                  <c:v>87.66074859078384</c:v>
                </c:pt>
                <c:pt idx="148">
                  <c:v>87.765333914713977</c:v>
                </c:pt>
                <c:pt idx="149">
                  <c:v>87.85617464169259</c:v>
                </c:pt>
                <c:pt idx="150">
                  <c:v>87.838796415661889</c:v>
                </c:pt>
                <c:pt idx="151">
                  <c:v>87.966289401177931</c:v>
                </c:pt>
                <c:pt idx="152">
                  <c:v>88.229648517479333</c:v>
                </c:pt>
                <c:pt idx="153">
                  <c:v>88.318277470235842</c:v>
                </c:pt>
                <c:pt idx="154">
                  <c:v>88.655336063294669</c:v>
                </c:pt>
                <c:pt idx="155">
                  <c:v>89.079285786506915</c:v>
                </c:pt>
                <c:pt idx="156">
                  <c:v>89.456867242991834</c:v>
                </c:pt>
                <c:pt idx="157">
                  <c:v>89.587756881777509</c:v>
                </c:pt>
                <c:pt idx="158">
                  <c:v>90.041723540860957</c:v>
                </c:pt>
                <c:pt idx="159">
                  <c:v>90.518834837339796</c:v>
                </c:pt>
                <c:pt idx="160">
                  <c:v>90.963717423725384</c:v>
                </c:pt>
                <c:pt idx="161">
                  <c:v>91.409231945602983</c:v>
                </c:pt>
                <c:pt idx="162">
                  <c:v>91.842265741513117</c:v>
                </c:pt>
                <c:pt idx="163">
                  <c:v>91.883736508177236</c:v>
                </c:pt>
                <c:pt idx="164">
                  <c:v>92.107678648163599</c:v>
                </c:pt>
                <c:pt idx="165">
                  <c:v>92.383676474305503</c:v>
                </c:pt>
                <c:pt idx="166">
                  <c:v>92.621047243497387</c:v>
                </c:pt>
                <c:pt idx="167">
                  <c:v>92.840486843103051</c:v>
                </c:pt>
                <c:pt idx="168">
                  <c:v>93.059768458835734</c:v>
                </c:pt>
                <c:pt idx="169">
                  <c:v>93.232681807841061</c:v>
                </c:pt>
                <c:pt idx="170">
                  <c:v>93.53324612623544</c:v>
                </c:pt>
                <c:pt idx="171">
                  <c:v>93.826227218725521</c:v>
                </c:pt>
                <c:pt idx="172">
                  <c:v>94.030105406840065</c:v>
                </c:pt>
                <c:pt idx="173">
                  <c:v>94.23967101438285</c:v>
                </c:pt>
                <c:pt idx="174">
                  <c:v>94.547186623189504</c:v>
                </c:pt>
                <c:pt idx="175">
                  <c:v>94.633445817850898</c:v>
                </c:pt>
                <c:pt idx="176">
                  <c:v>94.492761178938849</c:v>
                </c:pt>
                <c:pt idx="177">
                  <c:v>94.475777912590686</c:v>
                </c:pt>
                <c:pt idx="178">
                  <c:v>94.309104926569091</c:v>
                </c:pt>
                <c:pt idx="179">
                  <c:v>94.166919440863467</c:v>
                </c:pt>
                <c:pt idx="180">
                  <c:v>93.893528348626162</c:v>
                </c:pt>
                <c:pt idx="181">
                  <c:v>93.641386087308192</c:v>
                </c:pt>
                <c:pt idx="182">
                  <c:v>93.352433583579781</c:v>
                </c:pt>
                <c:pt idx="183">
                  <c:v>92.975010110967872</c:v>
                </c:pt>
                <c:pt idx="184">
                  <c:v>92.582420186547353</c:v>
                </c:pt>
                <c:pt idx="185">
                  <c:v>92.245835545107553</c:v>
                </c:pt>
                <c:pt idx="186">
                  <c:v>92.092670180227998</c:v>
                </c:pt>
                <c:pt idx="187">
                  <c:v>92.08974747857738</c:v>
                </c:pt>
                <c:pt idx="188">
                  <c:v>92.215028689871332</c:v>
                </c:pt>
                <c:pt idx="189">
                  <c:v>92.414799297287729</c:v>
                </c:pt>
                <c:pt idx="190">
                  <c:v>92.335807360784599</c:v>
                </c:pt>
                <c:pt idx="191">
                  <c:v>92.194411794444022</c:v>
                </c:pt>
                <c:pt idx="192">
                  <c:v>92.183905866889106</c:v>
                </c:pt>
                <c:pt idx="193">
                  <c:v>92.144093930891529</c:v>
                </c:pt>
                <c:pt idx="194">
                  <c:v>91.926155178079412</c:v>
                </c:pt>
                <c:pt idx="195">
                  <c:v>91.801031950658469</c:v>
                </c:pt>
                <c:pt idx="196">
                  <c:v>91.684992795935401</c:v>
                </c:pt>
                <c:pt idx="197">
                  <c:v>91.455600212330339</c:v>
                </c:pt>
                <c:pt idx="198">
                  <c:v>91.142950127650963</c:v>
                </c:pt>
                <c:pt idx="199">
                  <c:v>90.860869922398336</c:v>
                </c:pt>
                <c:pt idx="200">
                  <c:v>90.475626248072587</c:v>
                </c:pt>
                <c:pt idx="201">
                  <c:v>90.0229234599732</c:v>
                </c:pt>
                <c:pt idx="202">
                  <c:v>89.582701397841319</c:v>
                </c:pt>
                <c:pt idx="203">
                  <c:v>89.182686231389496</c:v>
                </c:pt>
                <c:pt idx="204">
                  <c:v>88.831330097823596</c:v>
                </c:pt>
                <c:pt idx="205">
                  <c:v>88.491901746669711</c:v>
                </c:pt>
                <c:pt idx="206">
                  <c:v>88.097652991582606</c:v>
                </c:pt>
                <c:pt idx="207">
                  <c:v>87.799853390965836</c:v>
                </c:pt>
                <c:pt idx="208">
                  <c:v>87.550475847425488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0D-467A-B8D0-B8FF2257B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091391"/>
        <c:axId val="1758091871"/>
      </c:lineChart>
      <c:dateAx>
        <c:axId val="17580913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58091871"/>
        <c:crosses val="autoZero"/>
        <c:auto val="1"/>
        <c:lblOffset val="100"/>
        <c:baseTimeUnit val="months"/>
      </c:dateAx>
      <c:valAx>
        <c:axId val="1758091871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5809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/>
              <a:t>Asalariados</a:t>
            </a:r>
            <a:r>
              <a:rPr lang="en-US" baseline="0"/>
              <a:t> registrados del sector Comercio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431440563321657E-2"/>
          <c:y val="8.2953970662620127E-2"/>
          <c:w val="0.9379125186444206"/>
          <c:h val="0.85185125000497852"/>
        </c:manualLayout>
      </c:layout>
      <c:lineChart>
        <c:grouping val="standard"/>
        <c:varyColors val="0"/>
        <c:ser>
          <c:idx val="0"/>
          <c:order val="0"/>
          <c:tx>
            <c:strRef>
              <c:f>'A.2.2'!$X$3</c:f>
              <c:strCache>
                <c:ptCount val="1"/>
                <c:pt idx="0">
                  <c:v>Var. Mensual absoluta</c:v>
                </c:pt>
              </c:strCache>
            </c:strRef>
          </c:tx>
          <c:spPr>
            <a:ln w="285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DF0-4A74-9D32-845C4835CBC4}"/>
              </c:ext>
            </c:extLst>
          </c:dPt>
          <c:dPt>
            <c:idx val="196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DF0-4A74-9D32-845C4835CBC4}"/>
              </c:ext>
            </c:extLst>
          </c:dPt>
          <c:dLbls>
            <c:dLbl>
              <c:idx val="0"/>
              <c:layout>
                <c:manualLayout>
                  <c:x val="-3.4209745018668442E-2"/>
                  <c:y val="3.7924757281553395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240374662674198E-2"/>
                      <c:h val="9.00080906148867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6DF0-4A74-9D32-845C4835CBC4}"/>
                </c:ext>
              </c:extLst>
            </c:dLbl>
            <c:dLbl>
              <c:idx val="196"/>
              <c:layout>
                <c:manualLayout>
                  <c:x val="-1.075887414762253E-16"/>
                  <c:y val="-4.8038025889967653E-2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472769028871394E-2"/>
                      <c:h val="0.1061893203883495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6DF0-4A74-9D32-845C4835CB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'A.2.2'!$S$4:$S$200</c:f>
              <c:numCache>
                <c:formatCode>mmm\-yy</c:formatCode>
                <c:ptCount val="197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</c:numCache>
            </c:numRef>
          </c:cat>
          <c:val>
            <c:numRef>
              <c:f>'A.2.2'!$AG$4:$AG$200</c:f>
              <c:numCache>
                <c:formatCode>#,##0.000</c:formatCode>
                <c:ptCount val="197"/>
                <c:pt idx="0">
                  <c:v>79.745794624173584</c:v>
                </c:pt>
                <c:pt idx="1">
                  <c:v>79.927721716692631</c:v>
                </c:pt>
                <c:pt idx="2">
                  <c:v>79.922001738237896</c:v>
                </c:pt>
                <c:pt idx="3">
                  <c:v>79.907701792101022</c:v>
                </c:pt>
                <c:pt idx="4">
                  <c:v>79.877433572777974</c:v>
                </c:pt>
                <c:pt idx="5">
                  <c:v>79.963868802760842</c:v>
                </c:pt>
                <c:pt idx="6">
                  <c:v>79.945755537654122</c:v>
                </c:pt>
                <c:pt idx="7">
                  <c:v>80.077156153822926</c:v>
                </c:pt>
                <c:pt idx="8">
                  <c:v>80.244465523624299</c:v>
                </c:pt>
                <c:pt idx="9">
                  <c:v>80.369987273047926</c:v>
                </c:pt>
                <c:pt idx="10">
                  <c:v>80.621984101637651</c:v>
                </c:pt>
                <c:pt idx="11">
                  <c:v>80.564863761235387</c:v>
                </c:pt>
                <c:pt idx="12">
                  <c:v>80.666075602226343</c:v>
                </c:pt>
                <c:pt idx="13">
                  <c:v>81.155054315962062</c:v>
                </c:pt>
                <c:pt idx="14">
                  <c:v>81.514380184723521</c:v>
                </c:pt>
                <c:pt idx="15">
                  <c:v>81.890627656413599</c:v>
                </c:pt>
                <c:pt idx="16">
                  <c:v>82.110131829614545</c:v>
                </c:pt>
                <c:pt idx="17">
                  <c:v>82.422982873431181</c:v>
                </c:pt>
                <c:pt idx="18">
                  <c:v>82.778813199803608</c:v>
                </c:pt>
                <c:pt idx="19">
                  <c:v>83.051544950291785</c:v>
                </c:pt>
                <c:pt idx="20">
                  <c:v>83.410314710036801</c:v>
                </c:pt>
                <c:pt idx="21">
                  <c:v>83.699411954437196</c:v>
                </c:pt>
                <c:pt idx="22">
                  <c:v>83.972779258087002</c:v>
                </c:pt>
                <c:pt idx="23">
                  <c:v>84.349582838793523</c:v>
                </c:pt>
                <c:pt idx="24">
                  <c:v>84.73456916645614</c:v>
                </c:pt>
                <c:pt idx="25">
                  <c:v>85.027479729826339</c:v>
                </c:pt>
                <c:pt idx="26">
                  <c:v>85.13425266098163</c:v>
                </c:pt>
                <c:pt idx="27">
                  <c:v>85.577471547079384</c:v>
                </c:pt>
                <c:pt idx="28">
                  <c:v>85.906608640663009</c:v>
                </c:pt>
                <c:pt idx="29">
                  <c:v>86.233124077454846</c:v>
                </c:pt>
                <c:pt idx="30">
                  <c:v>86.553919535791962</c:v>
                </c:pt>
                <c:pt idx="31">
                  <c:v>86.838726796351281</c:v>
                </c:pt>
                <c:pt idx="32">
                  <c:v>87.065937051637107</c:v>
                </c:pt>
                <c:pt idx="33">
                  <c:v>87.282660679755878</c:v>
                </c:pt>
                <c:pt idx="34">
                  <c:v>87.607110568772413</c:v>
                </c:pt>
                <c:pt idx="35">
                  <c:v>87.78593933962847</c:v>
                </c:pt>
                <c:pt idx="36">
                  <c:v>87.738193408360388</c:v>
                </c:pt>
                <c:pt idx="37">
                  <c:v>87.701490213275761</c:v>
                </c:pt>
                <c:pt idx="38">
                  <c:v>87.787289890096957</c:v>
                </c:pt>
                <c:pt idx="39">
                  <c:v>87.83932580520613</c:v>
                </c:pt>
                <c:pt idx="40">
                  <c:v>87.999882422665081</c:v>
                </c:pt>
                <c:pt idx="41">
                  <c:v>87.945383739054577</c:v>
                </c:pt>
                <c:pt idx="42">
                  <c:v>87.922027160364351</c:v>
                </c:pt>
                <c:pt idx="43">
                  <c:v>87.98637691798028</c:v>
                </c:pt>
                <c:pt idx="44">
                  <c:v>88.025940102292267</c:v>
                </c:pt>
                <c:pt idx="45">
                  <c:v>88.178552305230752</c:v>
                </c:pt>
                <c:pt idx="46">
                  <c:v>88.268483077602625</c:v>
                </c:pt>
                <c:pt idx="47">
                  <c:v>88.626458395895597</c:v>
                </c:pt>
                <c:pt idx="48">
                  <c:v>88.650768304328267</c:v>
                </c:pt>
                <c:pt idx="49">
                  <c:v>88.714005843911309</c:v>
                </c:pt>
                <c:pt idx="50">
                  <c:v>88.834045947315815</c:v>
                </c:pt>
                <c:pt idx="51">
                  <c:v>88.797898861247617</c:v>
                </c:pt>
                <c:pt idx="52">
                  <c:v>88.814661575885836</c:v>
                </c:pt>
                <c:pt idx="53">
                  <c:v>88.853430318745794</c:v>
                </c:pt>
                <c:pt idx="54">
                  <c:v>88.911106768164501</c:v>
                </c:pt>
                <c:pt idx="55">
                  <c:v>89.021772462434839</c:v>
                </c:pt>
                <c:pt idx="56">
                  <c:v>89.126718178250414</c:v>
                </c:pt>
                <c:pt idx="57">
                  <c:v>89.156986397573448</c:v>
                </c:pt>
                <c:pt idx="58">
                  <c:v>89.257244908821946</c:v>
                </c:pt>
                <c:pt idx="59">
                  <c:v>89.418039858716526</c:v>
                </c:pt>
                <c:pt idx="60">
                  <c:v>89.520681694321169</c:v>
                </c:pt>
                <c:pt idx="61">
                  <c:v>89.513690609543133</c:v>
                </c:pt>
                <c:pt idx="62">
                  <c:v>89.088267211971271</c:v>
                </c:pt>
                <c:pt idx="63">
                  <c:v>89.10765158340125</c:v>
                </c:pt>
                <c:pt idx="64">
                  <c:v>89.161911934576139</c:v>
                </c:pt>
                <c:pt idx="65">
                  <c:v>89.236112766197479</c:v>
                </c:pt>
                <c:pt idx="66">
                  <c:v>89.278774272172441</c:v>
                </c:pt>
                <c:pt idx="67">
                  <c:v>89.240084973457712</c:v>
                </c:pt>
                <c:pt idx="68">
                  <c:v>89.210611195586708</c:v>
                </c:pt>
                <c:pt idx="69">
                  <c:v>89.221733375915392</c:v>
                </c:pt>
                <c:pt idx="70">
                  <c:v>89.257403797112346</c:v>
                </c:pt>
                <c:pt idx="71">
                  <c:v>89.334782394541861</c:v>
                </c:pt>
                <c:pt idx="72">
                  <c:v>89.541496060364821</c:v>
                </c:pt>
                <c:pt idx="73">
                  <c:v>89.776730174316327</c:v>
                </c:pt>
                <c:pt idx="74">
                  <c:v>89.931964034046587</c:v>
                </c:pt>
                <c:pt idx="75">
                  <c:v>90.352223562180129</c:v>
                </c:pt>
                <c:pt idx="76">
                  <c:v>90.490297486546126</c:v>
                </c:pt>
                <c:pt idx="77">
                  <c:v>90.746584298976913</c:v>
                </c:pt>
                <c:pt idx="78">
                  <c:v>90.885690997230569</c:v>
                </c:pt>
                <c:pt idx="79">
                  <c:v>90.992225595950259</c:v>
                </c:pt>
                <c:pt idx="80">
                  <c:v>91.107975715513689</c:v>
                </c:pt>
                <c:pt idx="81">
                  <c:v>91.215781420556638</c:v>
                </c:pt>
                <c:pt idx="82">
                  <c:v>91.291730023372466</c:v>
                </c:pt>
                <c:pt idx="83">
                  <c:v>91.293954459438211</c:v>
                </c:pt>
                <c:pt idx="84">
                  <c:v>91.408433472678354</c:v>
                </c:pt>
                <c:pt idx="85">
                  <c:v>91.607043835690433</c:v>
                </c:pt>
                <c:pt idx="86">
                  <c:v>91.73200947609763</c:v>
                </c:pt>
                <c:pt idx="87">
                  <c:v>91.759656038628918</c:v>
                </c:pt>
                <c:pt idx="88">
                  <c:v>91.68108577902133</c:v>
                </c:pt>
                <c:pt idx="89">
                  <c:v>91.665594170706385</c:v>
                </c:pt>
                <c:pt idx="90">
                  <c:v>91.727322271530554</c:v>
                </c:pt>
                <c:pt idx="91">
                  <c:v>91.827104117907808</c:v>
                </c:pt>
                <c:pt idx="92">
                  <c:v>91.970500800002526</c:v>
                </c:pt>
                <c:pt idx="93">
                  <c:v>92.135665177883368</c:v>
                </c:pt>
                <c:pt idx="94">
                  <c:v>92.26555635529327</c:v>
                </c:pt>
                <c:pt idx="95">
                  <c:v>92.300908999909439</c:v>
                </c:pt>
                <c:pt idx="96">
                  <c:v>92.373044283755405</c:v>
                </c:pt>
                <c:pt idx="97">
                  <c:v>92.277949641945227</c:v>
                </c:pt>
                <c:pt idx="98">
                  <c:v>92.332527769700945</c:v>
                </c:pt>
                <c:pt idx="99">
                  <c:v>92.3432527293036</c:v>
                </c:pt>
                <c:pt idx="100">
                  <c:v>92.589052914567347</c:v>
                </c:pt>
                <c:pt idx="101">
                  <c:v>92.683194226635067</c:v>
                </c:pt>
                <c:pt idx="102">
                  <c:v>92.790841043387616</c:v>
                </c:pt>
                <c:pt idx="103">
                  <c:v>92.841129187302272</c:v>
                </c:pt>
                <c:pt idx="104">
                  <c:v>92.947584341876748</c:v>
                </c:pt>
                <c:pt idx="105">
                  <c:v>93.216026108523877</c:v>
                </c:pt>
                <c:pt idx="106">
                  <c:v>93.434100287111136</c:v>
                </c:pt>
                <c:pt idx="107">
                  <c:v>93.571220881734675</c:v>
                </c:pt>
                <c:pt idx="108">
                  <c:v>93.609671848013804</c:v>
                </c:pt>
                <c:pt idx="109">
                  <c:v>93.492094513110658</c:v>
                </c:pt>
                <c:pt idx="110">
                  <c:v>93.585679716161962</c:v>
                </c:pt>
                <c:pt idx="111">
                  <c:v>93.58981081171261</c:v>
                </c:pt>
                <c:pt idx="112">
                  <c:v>93.4534052143959</c:v>
                </c:pt>
                <c:pt idx="113">
                  <c:v>93.197912843417171</c:v>
                </c:pt>
                <c:pt idx="114">
                  <c:v>92.954416538364356</c:v>
                </c:pt>
                <c:pt idx="115">
                  <c:v>92.738010686826414</c:v>
                </c:pt>
                <c:pt idx="116">
                  <c:v>92.316003387498341</c:v>
                </c:pt>
                <c:pt idx="117">
                  <c:v>91.857292893085656</c:v>
                </c:pt>
                <c:pt idx="118">
                  <c:v>91.248194631800217</c:v>
                </c:pt>
                <c:pt idx="119">
                  <c:v>90.645610790421571</c:v>
                </c:pt>
                <c:pt idx="120">
                  <c:v>90.517944049077414</c:v>
                </c:pt>
                <c:pt idx="121">
                  <c:v>90.415461101763185</c:v>
                </c:pt>
                <c:pt idx="122">
                  <c:v>90.092600095650738</c:v>
                </c:pt>
                <c:pt idx="123">
                  <c:v>89.817246688370787</c:v>
                </c:pt>
                <c:pt idx="124">
                  <c:v>89.628010734492904</c:v>
                </c:pt>
                <c:pt idx="125">
                  <c:v>89.518457258255424</c:v>
                </c:pt>
                <c:pt idx="126">
                  <c:v>89.462925800757262</c:v>
                </c:pt>
                <c:pt idx="127">
                  <c:v>89.324692988100864</c:v>
                </c:pt>
                <c:pt idx="128">
                  <c:v>89.069995058574165</c:v>
                </c:pt>
                <c:pt idx="129">
                  <c:v>88.809418262302316</c:v>
                </c:pt>
                <c:pt idx="130">
                  <c:v>88.615812880438156</c:v>
                </c:pt>
                <c:pt idx="131">
                  <c:v>88.376447670935988</c:v>
                </c:pt>
                <c:pt idx="132">
                  <c:v>88.44016187539026</c:v>
                </c:pt>
                <c:pt idx="133">
                  <c:v>88.526835437808728</c:v>
                </c:pt>
                <c:pt idx="134">
                  <c:v>88.289138555355891</c:v>
                </c:pt>
                <c:pt idx="135">
                  <c:v>87.465461657872197</c:v>
                </c:pt>
                <c:pt idx="136">
                  <c:v>87.240555282797317</c:v>
                </c:pt>
                <c:pt idx="137">
                  <c:v>87.049651001870103</c:v>
                </c:pt>
                <c:pt idx="138">
                  <c:v>86.899660455723392</c:v>
                </c:pt>
                <c:pt idx="139">
                  <c:v>86.863275037219566</c:v>
                </c:pt>
                <c:pt idx="140">
                  <c:v>86.89799212867409</c:v>
                </c:pt>
                <c:pt idx="141">
                  <c:v>86.818786315904873</c:v>
                </c:pt>
                <c:pt idx="142">
                  <c:v>86.784704777611992</c:v>
                </c:pt>
                <c:pt idx="143">
                  <c:v>86.500930290940332</c:v>
                </c:pt>
                <c:pt idx="144">
                  <c:v>86.569728920687723</c:v>
                </c:pt>
                <c:pt idx="145">
                  <c:v>86.829431831362314</c:v>
                </c:pt>
                <c:pt idx="146">
                  <c:v>87.207983183263352</c:v>
                </c:pt>
                <c:pt idx="147">
                  <c:v>87.559682414085131</c:v>
                </c:pt>
                <c:pt idx="148">
                  <c:v>87.585819537857518</c:v>
                </c:pt>
                <c:pt idx="149">
                  <c:v>87.537596941718178</c:v>
                </c:pt>
                <c:pt idx="150">
                  <c:v>87.510824264784148</c:v>
                </c:pt>
                <c:pt idx="151">
                  <c:v>87.675591421938975</c:v>
                </c:pt>
                <c:pt idx="152">
                  <c:v>88.007350172314347</c:v>
                </c:pt>
                <c:pt idx="153">
                  <c:v>88.274918053364203</c:v>
                </c:pt>
                <c:pt idx="154">
                  <c:v>88.712655293442822</c:v>
                </c:pt>
                <c:pt idx="155">
                  <c:v>89.056727886324964</c:v>
                </c:pt>
                <c:pt idx="156">
                  <c:v>89.612598570323144</c:v>
                </c:pt>
                <c:pt idx="157">
                  <c:v>90.001477661100822</c:v>
                </c:pt>
                <c:pt idx="158">
                  <c:v>90.422531630686407</c:v>
                </c:pt>
                <c:pt idx="159">
                  <c:v>90.968948461405233</c:v>
                </c:pt>
                <c:pt idx="160">
                  <c:v>91.452048308395803</c:v>
                </c:pt>
                <c:pt idx="161">
                  <c:v>91.934592046369943</c:v>
                </c:pt>
                <c:pt idx="162">
                  <c:v>92.459400069593059</c:v>
                </c:pt>
                <c:pt idx="163">
                  <c:v>92.66500151738316</c:v>
                </c:pt>
                <c:pt idx="164">
                  <c:v>93.060077251486788</c:v>
                </c:pt>
                <c:pt idx="165">
                  <c:v>93.473584027277937</c:v>
                </c:pt>
                <c:pt idx="166">
                  <c:v>93.910209049323683</c:v>
                </c:pt>
                <c:pt idx="167">
                  <c:v>94.358035695843327</c:v>
                </c:pt>
                <c:pt idx="168">
                  <c:v>94.826041155244965</c:v>
                </c:pt>
                <c:pt idx="169">
                  <c:v>95.151047153277943</c:v>
                </c:pt>
                <c:pt idx="170">
                  <c:v>95.508148585973657</c:v>
                </c:pt>
                <c:pt idx="171">
                  <c:v>95.947871929682393</c:v>
                </c:pt>
                <c:pt idx="172">
                  <c:v>96.286860097271415</c:v>
                </c:pt>
                <c:pt idx="173">
                  <c:v>96.792839858080967</c:v>
                </c:pt>
                <c:pt idx="174">
                  <c:v>97.27665470237838</c:v>
                </c:pt>
                <c:pt idx="175">
                  <c:v>97.609525670786624</c:v>
                </c:pt>
                <c:pt idx="176">
                  <c:v>97.703428650418743</c:v>
                </c:pt>
                <c:pt idx="177">
                  <c:v>97.86875191659</c:v>
                </c:pt>
                <c:pt idx="178">
                  <c:v>97.972188193646687</c:v>
                </c:pt>
                <c:pt idx="179">
                  <c:v>98.072685037330814</c:v>
                </c:pt>
                <c:pt idx="180">
                  <c:v>97.806864927475445</c:v>
                </c:pt>
                <c:pt idx="181">
                  <c:v>97.680707624890147</c:v>
                </c:pt>
                <c:pt idx="182">
                  <c:v>97.535165950874912</c:v>
                </c:pt>
                <c:pt idx="183">
                  <c:v>97.483209479910954</c:v>
                </c:pt>
                <c:pt idx="184">
                  <c:v>97.473596738341158</c:v>
                </c:pt>
                <c:pt idx="185">
                  <c:v>97.523964326401028</c:v>
                </c:pt>
                <c:pt idx="186">
                  <c:v>97.591015184953918</c:v>
                </c:pt>
                <c:pt idx="187">
                  <c:v>97.879397432047455</c:v>
                </c:pt>
                <c:pt idx="188">
                  <c:v>98.279875368025003</c:v>
                </c:pt>
                <c:pt idx="189">
                  <c:v>98.639836789948092</c:v>
                </c:pt>
                <c:pt idx="190">
                  <c:v>98.987722701800024</c:v>
                </c:pt>
                <c:pt idx="191">
                  <c:v>99.302798181682391</c:v>
                </c:pt>
                <c:pt idx="192">
                  <c:v>99.328935305454777</c:v>
                </c:pt>
                <c:pt idx="193">
                  <c:v>99.504824642938274</c:v>
                </c:pt>
                <c:pt idx="194">
                  <c:v>99.546612263316021</c:v>
                </c:pt>
                <c:pt idx="195">
                  <c:v>99.808619054201557</c:v>
                </c:pt>
                <c:pt idx="196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6DF0-4A74-9D32-845C4835C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091391"/>
        <c:axId val="1758091871"/>
      </c:lineChart>
      <c:dateAx>
        <c:axId val="175809139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58091871"/>
        <c:crosses val="autoZero"/>
        <c:auto val="1"/>
        <c:lblOffset val="100"/>
        <c:baseTimeUnit val="months"/>
      </c:dateAx>
      <c:valAx>
        <c:axId val="1758091871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5809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r>
              <a:rPr lang="en-US"/>
              <a:t>Asalariados registrados del sector Construcción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5791765098761918E-2"/>
          <c:y val="6.4476653833753228E-2"/>
          <c:w val="0.93533074528399796"/>
          <c:h val="0.86806879267976678"/>
        </c:manualLayout>
      </c:layout>
      <c:lineChart>
        <c:grouping val="standard"/>
        <c:varyColors val="0"/>
        <c:ser>
          <c:idx val="0"/>
          <c:order val="0"/>
          <c:tx>
            <c:strRef>
              <c:f>'A.2.2'!$AA$2</c:f>
              <c:strCache>
                <c:ptCount val="1"/>
                <c:pt idx="0">
                  <c:v>Construcción</c:v>
                </c:pt>
              </c:strCache>
            </c:strRef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13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D6BE-4EF0-BF58-B06C1C3CC2D2}"/>
              </c:ext>
            </c:extLst>
          </c:dPt>
          <c:dPt>
            <c:idx val="13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25E-0642-B829-260B430C6590}"/>
              </c:ext>
            </c:extLst>
          </c:dPt>
          <c:dPt>
            <c:idx val="13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AC31-9548-9450-D29D9D9B0C53}"/>
              </c:ext>
            </c:extLst>
          </c:dPt>
          <c:dPt>
            <c:idx val="13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425E-0642-B829-260B430C6590}"/>
              </c:ext>
            </c:extLst>
          </c:dPt>
          <c:dPt>
            <c:idx val="1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66C5-425E-A127-83386F5BBE9A}"/>
              </c:ext>
            </c:extLst>
          </c:dPt>
          <c:dPt>
            <c:idx val="15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357F-438A-9118-527E397351FB}"/>
              </c:ext>
            </c:extLst>
          </c:dPt>
          <c:dPt>
            <c:idx val="15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425E-0642-B829-260B430C6590}"/>
              </c:ext>
            </c:extLst>
          </c:dPt>
          <c:dPt>
            <c:idx val="17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AC31-9548-9450-D29D9D9B0C53}"/>
              </c:ext>
            </c:extLst>
          </c:dPt>
          <c:dPt>
            <c:idx val="17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425E-0642-B829-260B430C6590}"/>
              </c:ext>
            </c:extLst>
          </c:dPt>
          <c:dPt>
            <c:idx val="18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09D3-4720-9C1B-C6458CC574FD}"/>
              </c:ext>
            </c:extLst>
          </c:dPt>
          <c:dPt>
            <c:idx val="18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5236-4BE3-A63C-1FD522C24397}"/>
              </c:ext>
            </c:extLst>
          </c:dPt>
          <c:dPt>
            <c:idx val="18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D75A-4723-BABB-64BF2030D182}"/>
              </c:ext>
            </c:extLst>
          </c:dPt>
          <c:dPt>
            <c:idx val="1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752E-4F6B-8EF2-9E65D01528DC}"/>
              </c:ext>
            </c:extLst>
          </c:dPt>
          <c:dPt>
            <c:idx val="18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BAD-4A3F-A3F2-433A70FE35A7}"/>
              </c:ext>
            </c:extLst>
          </c:dPt>
          <c:dPt>
            <c:idx val="19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3B93-4BDC-B0E4-0405D6D63BD9}"/>
              </c:ext>
            </c:extLst>
          </c:dPt>
          <c:dPt>
            <c:idx val="19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184D-4044-912C-B02FC85C204C}"/>
              </c:ext>
            </c:extLst>
          </c:dPt>
          <c:dPt>
            <c:idx val="19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DFFC-453E-AD8E-F01F101E0DE6}"/>
              </c:ext>
            </c:extLst>
          </c:dPt>
          <c:dPt>
            <c:idx val="19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357F-438A-9118-527E397351FB}"/>
              </c:ext>
            </c:extLst>
          </c:dPt>
          <c:dPt>
            <c:idx val="19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AE3F-4753-83B0-94B2BD175C08}"/>
              </c:ext>
            </c:extLst>
          </c:dPt>
          <c:dPt>
            <c:idx val="19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07EE-4DB4-AC86-5238EE3382CD}"/>
              </c:ext>
            </c:extLst>
          </c:dPt>
          <c:dPt>
            <c:idx val="19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B74E-4FBD-AB8F-E453BCEA47ED}"/>
              </c:ext>
            </c:extLst>
          </c:dPt>
          <c:dPt>
            <c:idx val="19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ED1F-4584-803D-A4FBDC853923}"/>
              </c:ext>
            </c:extLst>
          </c:dPt>
          <c:dPt>
            <c:idx val="1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66C5-425E-A127-83386F5BBE9A}"/>
              </c:ext>
            </c:extLst>
          </c:dPt>
          <c:dPt>
            <c:idx val="19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7F1A-4F4C-A5E1-282CA01470B6}"/>
              </c:ext>
            </c:extLst>
          </c:dPt>
          <c:dPt>
            <c:idx val="20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D6BE-4EF0-BF58-B06C1C3CC2D2}"/>
              </c:ext>
            </c:extLst>
          </c:dPt>
          <c:dPt>
            <c:idx val="2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425E-0642-B829-260B430C6590}"/>
              </c:ext>
            </c:extLst>
          </c:dPt>
          <c:dPt>
            <c:idx val="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CAAC-4050-89F2-37D65CE3AE23}"/>
              </c:ext>
            </c:extLst>
          </c:dPt>
          <c:dPt>
            <c:idx val="20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50B8-45BA-901E-F5A66127F692}"/>
              </c:ext>
            </c:extLst>
          </c:dPt>
          <c:dPt>
            <c:idx val="20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23C9-4714-9FA2-DC51339DBA66}"/>
              </c:ext>
            </c:extLst>
          </c:dPt>
          <c:dPt>
            <c:idx val="20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82D6-9D4A-9CFF-C02529136FE6}"/>
              </c:ext>
            </c:extLst>
          </c:dPt>
          <c:dPt>
            <c:idx val="20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9675-6B4C-B857-DCB5A568612D}"/>
              </c:ext>
            </c:extLst>
          </c:dPt>
          <c:dPt>
            <c:idx val="208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425E-0642-B829-260B430C6590}"/>
              </c:ext>
            </c:extLst>
          </c:dPt>
          <c:dLbls>
            <c:dLbl>
              <c:idx val="13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7481586828078204E-2"/>
                      <c:h val="6.06980273141122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D6BE-4EF0-BF58-B06C1C3CC2D2}"/>
                </c:ext>
              </c:extLst>
            </c:dLbl>
            <c:dLbl>
              <c:idx val="13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rgbClr val="1D5B79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514636345112938E-2"/>
                      <c:h val="4.38906719074356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F-AC31-9548-9450-D29D9D9B0C53}"/>
                </c:ext>
              </c:extLst>
            </c:dLbl>
            <c:dLbl>
              <c:idx val="1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5E-0642-B829-260B430C6590}"/>
                </c:ext>
              </c:extLst>
            </c:dLbl>
            <c:dLbl>
              <c:idx val="15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8465434111484962E-2"/>
                      <c:h val="6.67678300455235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357F-438A-9118-527E397351FB}"/>
                </c:ext>
              </c:extLst>
            </c:dLbl>
            <c:dLbl>
              <c:idx val="15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3443407679766899E-2"/>
                      <c:h val="7.688416793120890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25E-0642-B829-260B430C6590}"/>
                </c:ext>
              </c:extLst>
            </c:dLbl>
            <c:dLbl>
              <c:idx val="172"/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222454980769758E-2"/>
                      <c:h val="5.01607678942121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AC31-9548-9450-D29D9D9B0C53}"/>
                </c:ext>
              </c:extLst>
            </c:dLbl>
            <c:dLbl>
              <c:idx val="17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25E-0642-B829-260B430C6590}"/>
                </c:ext>
              </c:extLst>
            </c:dLbl>
            <c:dLbl>
              <c:idx val="192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6167400881057266E-2"/>
                      <c:h val="6.06980273141122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DFFC-453E-AD8E-F01F101E0DE6}"/>
                </c:ext>
              </c:extLst>
            </c:dLbl>
            <c:dLbl>
              <c:idx val="193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2195243215743398E-2"/>
                      <c:h val="7.08143651997976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357F-438A-9118-527E397351FB}"/>
                </c:ext>
              </c:extLst>
            </c:dLbl>
            <c:dLbl>
              <c:idx val="19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2488928971984226E-2"/>
                      <c:h val="7.08143651997976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7EE-4DB4-AC86-5238EE3382CD}"/>
                </c:ext>
              </c:extLst>
            </c:dLbl>
            <c:dLbl>
              <c:idx val="19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6651982378854616E-2"/>
                      <c:h val="7.28376327769347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B74E-4FBD-AB8F-E453BCEA47ED}"/>
                </c:ext>
              </c:extLst>
            </c:dLbl>
            <c:dLbl>
              <c:idx val="197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3648987709135477E-2"/>
                      <c:h val="6.67678300455235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ED1F-4584-803D-A4FBDC853923}"/>
                </c:ext>
              </c:extLst>
            </c:dLbl>
            <c:dLbl>
              <c:idx val="198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785609397944199E-2"/>
                      <c:h val="6.676783004552351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66C5-425E-A127-83386F5BBE9A}"/>
                </c:ext>
              </c:extLst>
            </c:dLbl>
            <c:dLbl>
              <c:idx val="19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8502202643171809E-2"/>
                      <c:h val="6.06980273141122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7F1A-4F4C-A5E1-282CA01470B6}"/>
                </c:ext>
              </c:extLst>
            </c:dLbl>
            <c:dLbl>
              <c:idx val="200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5.3340617665082607E-2"/>
                      <c:h val="6.272129489124936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D6BE-4EF0-BF58-B06C1C3CC2D2}"/>
                </c:ext>
              </c:extLst>
            </c:dLbl>
            <c:dLbl>
              <c:idx val="20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1431775873830752E-2"/>
                      <c:h val="5.66514921598381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7-425E-0642-B829-260B430C6590}"/>
                </c:ext>
              </c:extLst>
            </c:dLbl>
            <c:dLbl>
              <c:idx val="208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rgbClr val="1D5B79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5444331985653822E-2"/>
                      <c:h val="5.016076789421212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D-425E-0642-B829-260B430C659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rgbClr val="1D5B79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'A.2.2'!$S$4:$S$303</c:f>
              <c:numCache>
                <c:formatCode>mmm\-yy</c:formatCode>
                <c:ptCount val="300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</c:numCache>
            </c:numRef>
          </c:cat>
          <c:val>
            <c:numRef>
              <c:f>'A.2.2'!$AC$4:$AC$303</c:f>
              <c:numCache>
                <c:formatCode>#,##0.000</c:formatCode>
                <c:ptCount val="300"/>
                <c:pt idx="0">
                  <c:v>85.753075097337401</c:v>
                </c:pt>
                <c:pt idx="1">
                  <c:v>85.365211594719796</c:v>
                </c:pt>
                <c:pt idx="2">
                  <c:v>84.696481417792896</c:v>
                </c:pt>
                <c:pt idx="3">
                  <c:v>84.240471125717036</c:v>
                </c:pt>
                <c:pt idx="4">
                  <c:v>83.968096263178225</c:v>
                </c:pt>
                <c:pt idx="5">
                  <c:v>84.024779106746323</c:v>
                </c:pt>
                <c:pt idx="6">
                  <c:v>83.591696706450819</c:v>
                </c:pt>
                <c:pt idx="7">
                  <c:v>83.358596473350573</c:v>
                </c:pt>
                <c:pt idx="8">
                  <c:v>82.758437676470464</c:v>
                </c:pt>
                <c:pt idx="9">
                  <c:v>82.428106198598002</c:v>
                </c:pt>
                <c:pt idx="10">
                  <c:v>82.234068299642075</c:v>
                </c:pt>
                <c:pt idx="11">
                  <c:v>82.22982239375682</c:v>
                </c:pt>
                <c:pt idx="12">
                  <c:v>82.425558655066851</c:v>
                </c:pt>
                <c:pt idx="13">
                  <c:v>82.947805078952612</c:v>
                </c:pt>
                <c:pt idx="14">
                  <c:v>83.041427303722386</c:v>
                </c:pt>
                <c:pt idx="15">
                  <c:v>83.164770869688908</c:v>
                </c:pt>
                <c:pt idx="16">
                  <c:v>83.042488780193707</c:v>
                </c:pt>
                <c:pt idx="17">
                  <c:v>83.078154389629816</c:v>
                </c:pt>
                <c:pt idx="18">
                  <c:v>83.346071050989096</c:v>
                </c:pt>
                <c:pt idx="19">
                  <c:v>84.392474556408985</c:v>
                </c:pt>
                <c:pt idx="20">
                  <c:v>85.310014818211542</c:v>
                </c:pt>
                <c:pt idx="21">
                  <c:v>85.890854743313767</c:v>
                </c:pt>
                <c:pt idx="22">
                  <c:v>87.080557572360846</c:v>
                </c:pt>
                <c:pt idx="23">
                  <c:v>88.569596766318085</c:v>
                </c:pt>
                <c:pt idx="24">
                  <c:v>89.799847996569312</c:v>
                </c:pt>
                <c:pt idx="25">
                  <c:v>90.751143210159611</c:v>
                </c:pt>
                <c:pt idx="26">
                  <c:v>90.847525273754798</c:v>
                </c:pt>
                <c:pt idx="27">
                  <c:v>92.172460205247091</c:v>
                </c:pt>
                <c:pt idx="28">
                  <c:v>93.117598855303768</c:v>
                </c:pt>
                <c:pt idx="29">
                  <c:v>93.123755418837391</c:v>
                </c:pt>
                <c:pt idx="30">
                  <c:v>93.368319597827792</c:v>
                </c:pt>
                <c:pt idx="31">
                  <c:v>93.595475562688691</c:v>
                </c:pt>
                <c:pt idx="32">
                  <c:v>94.377571426751757</c:v>
                </c:pt>
                <c:pt idx="33">
                  <c:v>94.914890816530161</c:v>
                </c:pt>
                <c:pt idx="34">
                  <c:v>95.399136382742938</c:v>
                </c:pt>
                <c:pt idx="35">
                  <c:v>95.079631964877876</c:v>
                </c:pt>
                <c:pt idx="36">
                  <c:v>94.087788350083429</c:v>
                </c:pt>
                <c:pt idx="37">
                  <c:v>93.529027135584514</c:v>
                </c:pt>
                <c:pt idx="38">
                  <c:v>93.653219882728095</c:v>
                </c:pt>
                <c:pt idx="39">
                  <c:v>92.847346945707613</c:v>
                </c:pt>
                <c:pt idx="40">
                  <c:v>92.445047363080164</c:v>
                </c:pt>
                <c:pt idx="41">
                  <c:v>91.793088514399997</c:v>
                </c:pt>
                <c:pt idx="42">
                  <c:v>91.155565745729689</c:v>
                </c:pt>
                <c:pt idx="43">
                  <c:v>90.153319661516392</c:v>
                </c:pt>
                <c:pt idx="44">
                  <c:v>89.341927046845086</c:v>
                </c:pt>
                <c:pt idx="45">
                  <c:v>89.328340148012288</c:v>
                </c:pt>
                <c:pt idx="46">
                  <c:v>89.382687743343482</c:v>
                </c:pt>
                <c:pt idx="47">
                  <c:v>89.25870729149419</c:v>
                </c:pt>
                <c:pt idx="48">
                  <c:v>89.524076409322319</c:v>
                </c:pt>
                <c:pt idx="49">
                  <c:v>89.824686545998034</c:v>
                </c:pt>
                <c:pt idx="50">
                  <c:v>90.422934685229777</c:v>
                </c:pt>
                <c:pt idx="51">
                  <c:v>90.917795016155679</c:v>
                </c:pt>
                <c:pt idx="52">
                  <c:v>90.822686724326076</c:v>
                </c:pt>
                <c:pt idx="53">
                  <c:v>90.38450923696827</c:v>
                </c:pt>
                <c:pt idx="54">
                  <c:v>90.668348045397224</c:v>
                </c:pt>
                <c:pt idx="55">
                  <c:v>90.808462939610479</c:v>
                </c:pt>
                <c:pt idx="56">
                  <c:v>90.842430186692496</c:v>
                </c:pt>
                <c:pt idx="57">
                  <c:v>91.539183342462039</c:v>
                </c:pt>
                <c:pt idx="58">
                  <c:v>90.429728134646169</c:v>
                </c:pt>
                <c:pt idx="59">
                  <c:v>90.233567282747615</c:v>
                </c:pt>
                <c:pt idx="60">
                  <c:v>89.737008589467621</c:v>
                </c:pt>
                <c:pt idx="61">
                  <c:v>89.315390135062273</c:v>
                </c:pt>
                <c:pt idx="62">
                  <c:v>88.701432144055104</c:v>
                </c:pt>
                <c:pt idx="63">
                  <c:v>88.644961595781282</c:v>
                </c:pt>
                <c:pt idx="64">
                  <c:v>89.175487536143265</c:v>
                </c:pt>
                <c:pt idx="65">
                  <c:v>89.707499543565135</c:v>
                </c:pt>
                <c:pt idx="66">
                  <c:v>89.805367674220136</c:v>
                </c:pt>
                <c:pt idx="67">
                  <c:v>90.07731794617041</c:v>
                </c:pt>
                <c:pt idx="68">
                  <c:v>90.491081474688031</c:v>
                </c:pt>
                <c:pt idx="69">
                  <c:v>91.152805906904263</c:v>
                </c:pt>
                <c:pt idx="70">
                  <c:v>91.663163794311345</c:v>
                </c:pt>
                <c:pt idx="71">
                  <c:v>92.049541229869106</c:v>
                </c:pt>
                <c:pt idx="72">
                  <c:v>93.033105328187304</c:v>
                </c:pt>
                <c:pt idx="73">
                  <c:v>93.545798463831247</c:v>
                </c:pt>
                <c:pt idx="74">
                  <c:v>94.669477456362699</c:v>
                </c:pt>
                <c:pt idx="75">
                  <c:v>96.121577269118262</c:v>
                </c:pt>
                <c:pt idx="76">
                  <c:v>97.067352805057723</c:v>
                </c:pt>
                <c:pt idx="77">
                  <c:v>98.43135007069435</c:v>
                </c:pt>
                <c:pt idx="78">
                  <c:v>98.350465563580329</c:v>
                </c:pt>
                <c:pt idx="79">
                  <c:v>97.675578823119807</c:v>
                </c:pt>
                <c:pt idx="80">
                  <c:v>97.378790001740825</c:v>
                </c:pt>
                <c:pt idx="81">
                  <c:v>96.500099778788311</c:v>
                </c:pt>
                <c:pt idx="82">
                  <c:v>94.818084162346466</c:v>
                </c:pt>
                <c:pt idx="83">
                  <c:v>91.815804110886077</c:v>
                </c:pt>
                <c:pt idx="84">
                  <c:v>89.512612463432134</c:v>
                </c:pt>
                <c:pt idx="85">
                  <c:v>88.136302070728306</c:v>
                </c:pt>
                <c:pt idx="86">
                  <c:v>86.878452452222945</c:v>
                </c:pt>
                <c:pt idx="87">
                  <c:v>86.277232178871515</c:v>
                </c:pt>
                <c:pt idx="88">
                  <c:v>86.099116426985276</c:v>
                </c:pt>
                <c:pt idx="89">
                  <c:v>85.919939198627731</c:v>
                </c:pt>
                <c:pt idx="90">
                  <c:v>85.866440784473568</c:v>
                </c:pt>
                <c:pt idx="91">
                  <c:v>86.346015854212581</c:v>
                </c:pt>
                <c:pt idx="92">
                  <c:v>86.680593237970299</c:v>
                </c:pt>
                <c:pt idx="93">
                  <c:v>86.995214864067322</c:v>
                </c:pt>
                <c:pt idx="94">
                  <c:v>87.818283719923073</c:v>
                </c:pt>
                <c:pt idx="95">
                  <c:v>88.766182208805162</c:v>
                </c:pt>
                <c:pt idx="96">
                  <c:v>89.400520548061536</c:v>
                </c:pt>
                <c:pt idx="97">
                  <c:v>90.004288364944117</c:v>
                </c:pt>
                <c:pt idx="98">
                  <c:v>91.201421529290386</c:v>
                </c:pt>
                <c:pt idx="99">
                  <c:v>91.775468004976204</c:v>
                </c:pt>
                <c:pt idx="100">
                  <c:v>92.77495425036409</c:v>
                </c:pt>
                <c:pt idx="101">
                  <c:v>94.242976210189326</c:v>
                </c:pt>
                <c:pt idx="102">
                  <c:v>94.94185231890151</c:v>
                </c:pt>
                <c:pt idx="103">
                  <c:v>95.38809702744129</c:v>
                </c:pt>
                <c:pt idx="104">
                  <c:v>96.393102950480014</c:v>
                </c:pt>
                <c:pt idx="105">
                  <c:v>97.045910980337212</c:v>
                </c:pt>
                <c:pt idx="106">
                  <c:v>97.742876431401044</c:v>
                </c:pt>
                <c:pt idx="107">
                  <c:v>98.041363615134102</c:v>
                </c:pt>
                <c:pt idx="108">
                  <c:v>98.103566136353024</c:v>
                </c:pt>
                <c:pt idx="109">
                  <c:v>98.21693182348919</c:v>
                </c:pt>
                <c:pt idx="110">
                  <c:v>98.855303773336558</c:v>
                </c:pt>
                <c:pt idx="111">
                  <c:v>98.825794727434086</c:v>
                </c:pt>
                <c:pt idx="112">
                  <c:v>98.656170787318331</c:v>
                </c:pt>
                <c:pt idx="113">
                  <c:v>97.862186386776557</c:v>
                </c:pt>
                <c:pt idx="114">
                  <c:v>97.140806976872568</c:v>
                </c:pt>
                <c:pt idx="115">
                  <c:v>96.649131075360586</c:v>
                </c:pt>
                <c:pt idx="116">
                  <c:v>95.424399522760183</c:v>
                </c:pt>
                <c:pt idx="117">
                  <c:v>94.781357076439036</c:v>
                </c:pt>
                <c:pt idx="118">
                  <c:v>94.304754140819711</c:v>
                </c:pt>
                <c:pt idx="119">
                  <c:v>95.026770436606498</c:v>
                </c:pt>
                <c:pt idx="120">
                  <c:v>95.684036667643227</c:v>
                </c:pt>
                <c:pt idx="121">
                  <c:v>97.056525745050351</c:v>
                </c:pt>
                <c:pt idx="122">
                  <c:v>96.929573159081357</c:v>
                </c:pt>
                <c:pt idx="123">
                  <c:v>96.667388470667163</c:v>
                </c:pt>
                <c:pt idx="124">
                  <c:v>96.461886625821052</c:v>
                </c:pt>
                <c:pt idx="125">
                  <c:v>95.453696273368422</c:v>
                </c:pt>
                <c:pt idx="126">
                  <c:v>94.655890557529915</c:v>
                </c:pt>
                <c:pt idx="127">
                  <c:v>93.832184815791379</c:v>
                </c:pt>
                <c:pt idx="128">
                  <c:v>91.306295404656069</c:v>
                </c:pt>
                <c:pt idx="129">
                  <c:v>88.484890943907331</c:v>
                </c:pt>
                <c:pt idx="130">
                  <c:v>86.855312265148328</c:v>
                </c:pt>
                <c:pt idx="131">
                  <c:v>85.1964368357811</c:v>
                </c:pt>
                <c:pt idx="132">
                  <c:v>83.114244589654433</c:v>
                </c:pt>
                <c:pt idx="133">
                  <c:v>81.859154809974484</c:v>
                </c:pt>
                <c:pt idx="134">
                  <c:v>78.579404808913011</c:v>
                </c:pt>
                <c:pt idx="135">
                  <c:v>70.608990281121436</c:v>
                </c:pt>
                <c:pt idx="136">
                  <c:v>69.010194420030487</c:v>
                </c:pt>
                <c:pt idx="137">
                  <c:v>68.781976978698296</c:v>
                </c:pt>
                <c:pt idx="138">
                  <c:v>67.389956734219041</c:v>
                </c:pt>
                <c:pt idx="139">
                  <c:v>67.828983402753892</c:v>
                </c:pt>
                <c:pt idx="140">
                  <c:v>68.486037338496359</c:v>
                </c:pt>
                <c:pt idx="141">
                  <c:v>69.764904191133709</c:v>
                </c:pt>
                <c:pt idx="142">
                  <c:v>71.03655300376613</c:v>
                </c:pt>
                <c:pt idx="143">
                  <c:v>71.87872843610549</c:v>
                </c:pt>
                <c:pt idx="144">
                  <c:v>73.477099706607902</c:v>
                </c:pt>
                <c:pt idx="145">
                  <c:v>74.626466429745122</c:v>
                </c:pt>
                <c:pt idx="146">
                  <c:v>75.866483243532429</c:v>
                </c:pt>
                <c:pt idx="147">
                  <c:v>77.047057374926226</c:v>
                </c:pt>
                <c:pt idx="148">
                  <c:v>77.325376505704384</c:v>
                </c:pt>
                <c:pt idx="149">
                  <c:v>78.418484975862029</c:v>
                </c:pt>
                <c:pt idx="150">
                  <c:v>79.362137558858876</c:v>
                </c:pt>
                <c:pt idx="151">
                  <c:v>80.282013068898323</c:v>
                </c:pt>
                <c:pt idx="152">
                  <c:v>81.222268927186974</c:v>
                </c:pt>
                <c:pt idx="153">
                  <c:v>82.379278280917632</c:v>
                </c:pt>
                <c:pt idx="154">
                  <c:v>83.301701334488229</c:v>
                </c:pt>
                <c:pt idx="155">
                  <c:v>84.379524543458984</c:v>
                </c:pt>
                <c:pt idx="156">
                  <c:v>85.538869145426517</c:v>
                </c:pt>
                <c:pt idx="157">
                  <c:v>86.703945720339163</c:v>
                </c:pt>
                <c:pt idx="158">
                  <c:v>87.743131185754137</c:v>
                </c:pt>
                <c:pt idx="159">
                  <c:v>89.248092526781065</c:v>
                </c:pt>
                <c:pt idx="160">
                  <c:v>90.308295226328013</c:v>
                </c:pt>
                <c:pt idx="161">
                  <c:v>91.349391349391354</c:v>
                </c:pt>
                <c:pt idx="162">
                  <c:v>92.287099664148855</c:v>
                </c:pt>
                <c:pt idx="163">
                  <c:v>92.361615312434992</c:v>
                </c:pt>
                <c:pt idx="164">
                  <c:v>93.68994696863551</c:v>
                </c:pt>
                <c:pt idx="165">
                  <c:v>94.766284110546422</c:v>
                </c:pt>
                <c:pt idx="166">
                  <c:v>95.870856526594238</c:v>
                </c:pt>
                <c:pt idx="167">
                  <c:v>96.419852157557088</c:v>
                </c:pt>
                <c:pt idx="168">
                  <c:v>97.087308562718405</c:v>
                </c:pt>
                <c:pt idx="169">
                  <c:v>97.484088467695031</c:v>
                </c:pt>
                <c:pt idx="170">
                  <c:v>98.899248899248917</c:v>
                </c:pt>
                <c:pt idx="171">
                  <c:v>99.823370315173605</c:v>
                </c:pt>
                <c:pt idx="172">
                  <c:v>100</c:v>
                </c:pt>
                <c:pt idx="173">
                  <c:v>99.935462230544204</c:v>
                </c:pt>
                <c:pt idx="174">
                  <c:v>99.465228153752747</c:v>
                </c:pt>
                <c:pt idx="175">
                  <c:v>98.719434785008559</c:v>
                </c:pt>
                <c:pt idx="176">
                  <c:v>97.345671935835881</c:v>
                </c:pt>
                <c:pt idx="177">
                  <c:v>95.399560973331475</c:v>
                </c:pt>
                <c:pt idx="178">
                  <c:v>93.609699347404259</c:v>
                </c:pt>
                <c:pt idx="179">
                  <c:v>90.70125381600792</c:v>
                </c:pt>
                <c:pt idx="180">
                  <c:v>86.412888871905267</c:v>
                </c:pt>
                <c:pt idx="181">
                  <c:v>83.72055995006815</c:v>
                </c:pt>
                <c:pt idx="182">
                  <c:v>81.550265156822547</c:v>
                </c:pt>
                <c:pt idx="183">
                  <c:v>79.908585646290575</c:v>
                </c:pt>
                <c:pt idx="184">
                  <c:v>79.658501789649335</c:v>
                </c:pt>
                <c:pt idx="185">
                  <c:v>79.140288976354555</c:v>
                </c:pt>
                <c:pt idx="186">
                  <c:v>78.936273198568287</c:v>
                </c:pt>
                <c:pt idx="187">
                  <c:v>79.11990862810535</c:v>
                </c:pt>
                <c:pt idx="188">
                  <c:v>79.381668725931021</c:v>
                </c:pt>
                <c:pt idx="189">
                  <c:v>79.089338105731542</c:v>
                </c:pt>
                <c:pt idx="190">
                  <c:v>79.212257081109541</c:v>
                </c:pt>
                <c:pt idx="191">
                  <c:v>79.953592248674227</c:v>
                </c:pt>
                <c:pt idx="192">
                  <c:v>80.387099239558253</c:v>
                </c:pt>
                <c:pt idx="193">
                  <c:v>80.895971059905477</c:v>
                </c:pt>
                <c:pt idx="194">
                  <c:v>80.228514654744174</c:v>
                </c:pt>
                <c:pt idx="195">
                  <c:v>80.610858479710942</c:v>
                </c:pt>
                <c:pt idx="196">
                  <c:v>80.590902722050274</c:v>
                </c:pt>
                <c:pt idx="197">
                  <c:v>80.525091180828895</c:v>
                </c:pt>
                <c:pt idx="198">
                  <c:v>80.539314965544477</c:v>
                </c:pt>
                <c:pt idx="199">
                  <c:v>80.315555725391789</c:v>
                </c:pt>
                <c:pt idx="200">
                  <c:v>80.037661185202182</c:v>
                </c:pt>
                <c:pt idx="201">
                  <c:v>79.94828486631765</c:v>
                </c:pt>
                <c:pt idx="202">
                  <c:v>79.739598592057618</c:v>
                </c:pt>
                <c:pt idx="203">
                  <c:v>80.08521533111697</c:v>
                </c:pt>
                <c:pt idx="204">
                  <c:v>80.825489022210334</c:v>
                </c:pt>
                <c:pt idx="205">
                  <c:v>80.85096445752184</c:v>
                </c:pt>
                <c:pt idx="206">
                  <c:v>80.832707062215263</c:v>
                </c:pt>
                <c:pt idx="207">
                  <c:v>80.711274153897122</c:v>
                </c:pt>
                <c:pt idx="208">
                  <c:v>80.288806518314729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88-4167-8AA6-0FE4D0960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537999"/>
        <c:axId val="1851538479"/>
      </c:lineChart>
      <c:dateAx>
        <c:axId val="1851537999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851538479"/>
        <c:crosses val="autoZero"/>
        <c:auto val="1"/>
        <c:lblOffset val="100"/>
        <c:baseTimeUnit val="months"/>
      </c:dateAx>
      <c:valAx>
        <c:axId val="1851538479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851537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 sz="600"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s-AR" b="0"/>
              <a:t>Composición sectorial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1097729594845582"/>
          <c:y val="0.19897086112643564"/>
          <c:w val="0.58995803651235523"/>
          <c:h val="0.69404617416453518"/>
        </c:manualLayout>
      </c:layout>
      <c:pieChart>
        <c:varyColors val="1"/>
        <c:ser>
          <c:idx val="0"/>
          <c:order val="0"/>
          <c:tx>
            <c:v>Composición sectorial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6B25-47C0-AAD5-F67BC1EE5A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6B25-47C0-AAD5-F67BC1EE5A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6B25-47C0-AAD5-F67BC1EE5A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6B25-47C0-AAD5-F67BC1EE5A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6B25-47C0-AAD5-F67BC1EE5A9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6B25-47C0-AAD5-F67BC1EE5A9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6B25-47C0-AAD5-F67BC1EE5A9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6B25-47C0-AAD5-F67BC1EE5A9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6B25-47C0-AAD5-F67BC1EE5A9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6B25-47C0-AAD5-F67BC1EE5A9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6B25-47C0-AAD5-F67BC1EE5A9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6B25-47C0-AAD5-F67BC1EE5A9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6B25-47C0-AAD5-F67BC1EE5A97}"/>
              </c:ext>
            </c:extLst>
          </c:dPt>
          <c:dLbls>
            <c:dLbl>
              <c:idx val="0"/>
              <c:layout>
                <c:manualLayout>
                  <c:x val="3.4039166869165721E-2"/>
                  <c:y val="6.518882591905311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6B25-47C0-AAD5-F67BC1EE5A97}"/>
                </c:ext>
              </c:extLst>
            </c:dLbl>
            <c:dLbl>
              <c:idx val="1"/>
              <c:layout>
                <c:manualLayout>
                  <c:x val="1.4437827107020393E-2"/>
                  <c:y val="4.258354648344114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6B25-47C0-AAD5-F67BC1EE5A9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9-6B25-47C0-AAD5-F67BC1EE5A97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spc="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A0B489C-6879-435D-B87D-D7276BEDA2A8}" type="CATEGORYNAME">
                      <a:rPr lang="en-US"/>
                      <a:pPr>
                        <a:defRPr sz="800" b="1" i="0" u="none" strike="noStrike" kern="1200" spc="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[NOMBRE DE CATEGORÍA]</a:t>
                    </a:fld>
                    <a:r>
                      <a:rPr lang="en-US" baseline="0"/>
                      <a:t>
</a:t>
                    </a:r>
                    <a:fld id="{BA385057-1196-410F-BAB8-25BA7B1342D5}" type="PERCENTAGE">
                      <a:rPr lang="en-US" baseline="0"/>
                      <a:pPr>
                        <a:defRPr sz="800" b="1" i="0" u="none" strike="noStrike" kern="1200" spc="0" baseline="0">
                          <a:solidFill>
                            <a:schemeClr val="accent4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B-6B25-47C0-AAD5-F67BC1EE5A97}"/>
                </c:ext>
              </c:extLst>
            </c:dLbl>
            <c:dLbl>
              <c:idx val="4"/>
              <c:layout>
                <c:manualLayout>
                  <c:x val="-7.330246779972658E-3"/>
                  <c:y val="6.0606060606060606E-3"/>
                </c:manualLayout>
              </c:layout>
              <c:tx>
                <c:rich>
                  <a:bodyPr/>
                  <a:lstStyle/>
                  <a:p>
                    <a:fld id="{910A4BD5-3EDE-4976-BB45-25673FEB0886}" type="CATEGORYNAME">
                      <a:rPr lang="en-US" baseline="0"/>
                      <a:pPr/>
                      <a:t>[NOMBRE DE CATEGORÍA]</a:t>
                    </a:fld>
                    <a:r>
                      <a:rPr lang="en-US" baseline="0"/>
                      <a:t>
</a:t>
                    </a:r>
                    <a:fld id="{CAC9C6E0-C224-4B4B-8950-1C7220F31E98}" type="PERCENTAGE">
                      <a:rPr lang="en-US" baseline="0"/>
                      <a:pPr/>
                      <a:t>[PORCENTAJE]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7D-6B25-47C0-AAD5-F67BC1EE5A97}"/>
                </c:ext>
              </c:extLst>
            </c:dLbl>
            <c:dLbl>
              <c:idx val="5"/>
              <c:layout>
                <c:manualLayout>
                  <c:x val="1.4660493559945316E-2"/>
                  <c:y val="-2.02020202020202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6B25-47C0-AAD5-F67BC1EE5A97}"/>
                </c:ext>
              </c:extLst>
            </c:dLbl>
            <c:dLbl>
              <c:idx val="6"/>
              <c:layout>
                <c:manualLayout>
                  <c:x val="4.3981480679835948E-2"/>
                  <c:y val="2.020202020202020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6B25-47C0-AAD5-F67BC1EE5A97}"/>
                </c:ext>
              </c:extLst>
            </c:dLbl>
            <c:dLbl>
              <c:idx val="7"/>
              <c:layout>
                <c:manualLayout>
                  <c:x val="-2.3456789695912531E-2"/>
                  <c:y val="-3.434335480792173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6670140164707763E-2"/>
                      <c:h val="9.48979559373260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83-6B25-47C0-AAD5-F67BC1EE5A97}"/>
                </c:ext>
              </c:extLst>
            </c:dLbl>
            <c:dLbl>
              <c:idx val="8"/>
              <c:layout>
                <c:manualLayout>
                  <c:x val="-2.4922839051907036E-2"/>
                  <c:y val="-3.83838383838383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6B25-47C0-AAD5-F67BC1EE5A97}"/>
                </c:ext>
              </c:extLst>
            </c:dLbl>
            <c:dLbl>
              <c:idx val="9"/>
              <c:layout>
                <c:manualLayout>
                  <c:x val="1.3194444203950783E-2"/>
                  <c:y val="-0.121212121212121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6B25-47C0-AAD5-F67BC1EE5A97}"/>
                </c:ext>
              </c:extLst>
            </c:dLbl>
            <c:dLbl>
              <c:idx val="10"/>
              <c:layout>
                <c:manualLayout>
                  <c:x val="4.1049381967846882E-2"/>
                  <c:y val="-4.16665871311540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6B25-47C0-AAD5-F67BC1EE5A97}"/>
                </c:ext>
              </c:extLst>
            </c:dLbl>
            <c:dLbl>
              <c:idx val="11"/>
              <c:layout>
                <c:manualLayout>
                  <c:x val="4.3896865390234005E-2"/>
                  <c:y val="-2.561759325538853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6B25-47C0-AAD5-F67BC1EE5A97}"/>
                </c:ext>
              </c:extLst>
            </c:dLbl>
            <c:dLbl>
              <c:idx val="12"/>
              <c:layout>
                <c:manualLayout>
                  <c:x val="6.4960877838031963E-2"/>
                  <c:y val="-1.212121212121212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6B25-47C0-AAD5-F67BC1EE5A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'Cuadro 1'!$B$1:$O$1</c:f>
              <c:strCache>
                <c:ptCount val="14"/>
                <c:pt idx="0">
                  <c:v>Agro y Pesca</c:v>
                </c:pt>
                <c:pt idx="1">
                  <c:v>Minería</c:v>
                </c:pt>
                <c:pt idx="2">
                  <c:v>Industria</c:v>
                </c:pt>
                <c:pt idx="3">
                  <c:v>EGA</c:v>
                </c:pt>
                <c:pt idx="4">
                  <c:v>Construcción</c:v>
                </c:pt>
                <c:pt idx="5">
                  <c:v>Comercio</c:v>
                </c:pt>
                <c:pt idx="6">
                  <c:v>Hoteles y restaurantes</c:v>
                </c:pt>
                <c:pt idx="7">
                  <c:v>Transporte</c:v>
                </c:pt>
                <c:pt idx="8">
                  <c:v>Int. Financiera</c:v>
                </c:pt>
                <c:pt idx="9">
                  <c:v>Serv. Inmobiliarios</c:v>
                </c:pt>
                <c:pt idx="10">
                  <c:v>Educación</c:v>
                </c:pt>
                <c:pt idx="11">
                  <c:v>Salud</c:v>
                </c:pt>
                <c:pt idx="12">
                  <c:v>Serv. Personales</c:v>
                </c:pt>
                <c:pt idx="13">
                  <c:v>Sin especificar</c:v>
                </c:pt>
              </c:strCache>
            </c:strRef>
          </c:cat>
          <c:val>
            <c:numRef>
              <c:f>'Cuadro 1'!$B$90:$O$90</c:f>
              <c:numCache>
                <c:formatCode>0.0%</c:formatCode>
                <c:ptCount val="14"/>
                <c:pt idx="0">
                  <c:v>5.4898613247838492E-2</c:v>
                </c:pt>
                <c:pt idx="1">
                  <c:v>1.4138743062284216E-2</c:v>
                </c:pt>
                <c:pt idx="2">
                  <c:v>0.18076216325443553</c:v>
                </c:pt>
                <c:pt idx="3">
                  <c:v>1.2453353743712203E-2</c:v>
                </c:pt>
                <c:pt idx="4">
                  <c:v>6.1680291072965417E-2</c:v>
                </c:pt>
                <c:pt idx="5">
                  <c:v>0.19890529609211155</c:v>
                </c:pt>
                <c:pt idx="6">
                  <c:v>4.5149971760677324E-2</c:v>
                </c:pt>
                <c:pt idx="7">
                  <c:v>8.2153514601026392E-2</c:v>
                </c:pt>
                <c:pt idx="8">
                  <c:v>2.3402023739297312E-2</c:v>
                </c:pt>
                <c:pt idx="9">
                  <c:v>0.14332039309659053</c:v>
                </c:pt>
                <c:pt idx="10">
                  <c:v>6.9116618861779971E-2</c:v>
                </c:pt>
                <c:pt idx="11">
                  <c:v>5.3830525900506569E-2</c:v>
                </c:pt>
                <c:pt idx="12">
                  <c:v>6.0162723082902263E-2</c:v>
                </c:pt>
                <c:pt idx="13">
                  <c:v>2.5768483872109381E-5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6B25-47C0-AAD5-F67BC1EE5A9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9.093782880664146E-2"/>
          <c:y val="8.8517956499747086E-2"/>
          <c:w val="0.85806324207954499"/>
          <c:h val="0.82431537484218109"/>
        </c:manualLayout>
      </c:layout>
      <c:lineChart>
        <c:grouping val="standard"/>
        <c:varyColors val="0"/>
        <c:ser>
          <c:idx val="0"/>
          <c:order val="0"/>
          <c:tx>
            <c:strRef>
              <c:f>A.4!$J$3</c:f>
              <c:strCache>
                <c:ptCount val="1"/>
                <c:pt idx="0">
                  <c:v>Remuneración real promedio</c:v>
                </c:pt>
              </c:strCache>
            </c:strRef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52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92B-4C32-9DB7-811F2BAEE8B1}"/>
              </c:ext>
            </c:extLst>
          </c:dPt>
          <c:dPt>
            <c:idx val="11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A-C79C-4099-9914-C35BE27C1CAF}"/>
              </c:ext>
            </c:extLst>
          </c:dPt>
          <c:dPt>
            <c:idx val="115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79C-4099-9914-C35BE27C1CAF}"/>
              </c:ext>
            </c:extLst>
          </c:dPt>
          <c:dPt>
            <c:idx val="11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C79C-4099-9914-C35BE27C1CAF}"/>
              </c:ext>
            </c:extLst>
          </c:dPt>
          <c:dPt>
            <c:idx val="11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2-9CEA-4D0C-8D29-162A6007D90A}"/>
              </c:ext>
            </c:extLst>
          </c:dPt>
          <c:dPt>
            <c:idx val="11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EBE5-4A5B-B6B0-C19311341B6C}"/>
              </c:ext>
            </c:extLst>
          </c:dPt>
          <c:dPt>
            <c:idx val="16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C-C79C-4099-9914-C35BE27C1CAF}"/>
              </c:ext>
            </c:extLst>
          </c:dPt>
          <c:dPt>
            <c:idx val="18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E92B-4C32-9DB7-811F2BAEE8B1}"/>
              </c:ext>
            </c:extLst>
          </c:dPt>
          <c:dPt>
            <c:idx val="18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8F3C-47FC-A37E-73D967540EF5}"/>
              </c:ext>
            </c:extLst>
          </c:dPt>
          <c:dPt>
            <c:idx val="18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FA29-46D6-9BDF-D772097E12F7}"/>
              </c:ext>
            </c:extLst>
          </c:dPt>
          <c:dPt>
            <c:idx val="18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E9F0-4A51-86FC-845ADF5D749B}"/>
              </c:ext>
            </c:extLst>
          </c:dPt>
          <c:dPt>
            <c:idx val="1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C0B7-46FE-B908-42DEE51D39E0}"/>
              </c:ext>
            </c:extLst>
          </c:dPt>
          <c:dPt>
            <c:idx val="18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B3C8-4D84-A86D-CA44BFED1203}"/>
              </c:ext>
            </c:extLst>
          </c:dPt>
          <c:dPt>
            <c:idx val="19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E6BA-4843-9C28-6E885348F52D}"/>
              </c:ext>
            </c:extLst>
          </c:dPt>
          <c:dPt>
            <c:idx val="19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BFE7-491B-AF12-78DAA3D97403}"/>
              </c:ext>
            </c:extLst>
          </c:dPt>
          <c:dPt>
            <c:idx val="19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9-C79C-4099-9914-C35BE27C1CAF}"/>
              </c:ext>
            </c:extLst>
          </c:dPt>
          <c:dPt>
            <c:idx val="19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E-EBE5-4A5B-B6B0-C19311341B6C}"/>
              </c:ext>
            </c:extLst>
          </c:dPt>
          <c:dPt>
            <c:idx val="19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78AA-4B53-ACB3-6F1372577318}"/>
              </c:ext>
            </c:extLst>
          </c:dPt>
          <c:dPt>
            <c:idx val="19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9CEA-4D0C-8D29-162A6007D90A}"/>
              </c:ext>
            </c:extLst>
          </c:dPt>
          <c:dPt>
            <c:idx val="19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3-5116-491B-9503-0EAFC10AFEE7}"/>
              </c:ext>
            </c:extLst>
          </c:dPt>
          <c:dPt>
            <c:idx val="19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DEB7-4D0A-AAA2-D8FE0FABA66F}"/>
              </c:ext>
            </c:extLst>
          </c:dPt>
          <c:dPt>
            <c:idx val="19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5-B507-4FFB-91AD-7E22C2EAAF7B}"/>
              </c:ext>
            </c:extLst>
          </c:dPt>
          <c:dPt>
            <c:idx val="19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6-E08E-4173-8CC2-3A686E30DFFC}"/>
              </c:ext>
            </c:extLst>
          </c:dPt>
          <c:dPt>
            <c:idx val="20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C910-40AA-B3F5-76CCD7F9403F}"/>
              </c:ext>
            </c:extLst>
          </c:dPt>
          <c:dPt>
            <c:idx val="20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C076-4FD2-8648-988743BBC5FE}"/>
              </c:ext>
            </c:extLst>
          </c:dPt>
          <c:dPt>
            <c:idx val="20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9-7BF7-489D-BE5D-58D57451E0A7}"/>
              </c:ext>
            </c:extLst>
          </c:dPt>
          <c:dPt>
            <c:idx val="20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A-790E-4628-9E29-1F9F070B12B9}"/>
              </c:ext>
            </c:extLst>
          </c:dPt>
          <c:dPt>
            <c:idx val="20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B-4EBF-45E2-A61F-5537B54155B2}"/>
              </c:ext>
            </c:extLst>
          </c:dPt>
          <c:dPt>
            <c:idx val="20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C-C5ED-4C76-9890-358B2E5796AC}"/>
              </c:ext>
            </c:extLst>
          </c:dPt>
          <c:dPt>
            <c:idx val="20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35BC-3B43-BE92-FE0FAC9CE6BB}"/>
              </c:ext>
            </c:extLst>
          </c:dPt>
          <c:dPt>
            <c:idx val="20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E-BEA6-8347-9024-D5DBE0493601}"/>
              </c:ext>
            </c:extLst>
          </c:dPt>
          <c:dPt>
            <c:idx val="209"/>
            <c:marker>
              <c:symbol val="circle"/>
              <c:size val="5"/>
              <c:spPr>
                <a:solidFill>
                  <a:srgbClr val="164A6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B5D6-AF4A-98D3-A4AFB9551A3D}"/>
              </c:ext>
            </c:extLst>
          </c:dPt>
          <c:dLbls>
            <c:dLbl>
              <c:idx val="52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6844268693041"/>
                      <c:h val="7.5823225294723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92B-4C32-9DB7-811F2BAEE8B1}"/>
                </c:ext>
              </c:extLst>
            </c:dLbl>
            <c:dLbl>
              <c:idx val="20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0596127195956895"/>
                      <c:h val="8.99768940164051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B-4EBF-45E2-A61F-5537B54155B2}"/>
                </c:ext>
              </c:extLst>
            </c:dLbl>
            <c:dLbl>
              <c:idx val="20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EA6-8347-9024-D5DBE0493601}"/>
                </c:ext>
              </c:extLst>
            </c:dLbl>
            <c:dLbl>
              <c:idx val="209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b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5D6-AF4A-98D3-A4AFB9551A3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E5B78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A.4!$A$4:$A$305</c:f>
              <c:numCache>
                <c:formatCode>mmm\-yy</c:formatCode>
                <c:ptCount val="30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  <c:pt idx="192">
                  <c:v>45658</c:v>
                </c:pt>
                <c:pt idx="193">
                  <c:v>45689</c:v>
                </c:pt>
                <c:pt idx="194">
                  <c:v>45717</c:v>
                </c:pt>
                <c:pt idx="195">
                  <c:v>45748</c:v>
                </c:pt>
                <c:pt idx="196">
                  <c:v>45778</c:v>
                </c:pt>
                <c:pt idx="197">
                  <c:v>45809</c:v>
                </c:pt>
                <c:pt idx="198">
                  <c:v>45839</c:v>
                </c:pt>
                <c:pt idx="199">
                  <c:v>45870</c:v>
                </c:pt>
                <c:pt idx="200">
                  <c:v>45901</c:v>
                </c:pt>
                <c:pt idx="201">
                  <c:v>45931</c:v>
                </c:pt>
                <c:pt idx="202">
                  <c:v>45962</c:v>
                </c:pt>
                <c:pt idx="203">
                  <c:v>45992</c:v>
                </c:pt>
                <c:pt idx="204">
                  <c:v>46023</c:v>
                </c:pt>
                <c:pt idx="205">
                  <c:v>46054</c:v>
                </c:pt>
                <c:pt idx="206">
                  <c:v>46082</c:v>
                </c:pt>
                <c:pt idx="207">
                  <c:v>46113</c:v>
                </c:pt>
                <c:pt idx="208">
                  <c:v>46143</c:v>
                </c:pt>
                <c:pt idx="209">
                  <c:v>46174</c:v>
                </c:pt>
              </c:numCache>
            </c:numRef>
          </c:cat>
          <c:val>
            <c:numRef>
              <c:f>A.4!$J$4:$J$305</c:f>
              <c:numCache>
                <c:formatCode>#,##0</c:formatCode>
                <c:ptCount val="302"/>
                <c:pt idx="0">
                  <c:v>2216195.9096175376</c:v>
                </c:pt>
                <c:pt idx="1">
                  <c:v>2237749.1349530793</c:v>
                </c:pt>
                <c:pt idx="2">
                  <c:v>2187875.7257447061</c:v>
                </c:pt>
                <c:pt idx="3">
                  <c:v>2218445.9312919639</c:v>
                </c:pt>
                <c:pt idx="4">
                  <c:v>2227952.8862350364</c:v>
                </c:pt>
                <c:pt idx="5">
                  <c:v>2260909.852423626</c:v>
                </c:pt>
                <c:pt idx="6">
                  <c:v>2257888.4853536715</c:v>
                </c:pt>
                <c:pt idx="7">
                  <c:v>2269227.0314078666</c:v>
                </c:pt>
                <c:pt idx="8">
                  <c:v>2280054.7097063363</c:v>
                </c:pt>
                <c:pt idx="9">
                  <c:v>2276793.5442631496</c:v>
                </c:pt>
                <c:pt idx="10">
                  <c:v>2280928.0808693189</c:v>
                </c:pt>
                <c:pt idx="11">
                  <c:v>2282457.3057175353</c:v>
                </c:pt>
                <c:pt idx="12">
                  <c:v>2282311.8712642072</c:v>
                </c:pt>
                <c:pt idx="13">
                  <c:v>2266345.2367235241</c:v>
                </c:pt>
                <c:pt idx="14">
                  <c:v>2244176.1297344249</c:v>
                </c:pt>
                <c:pt idx="15">
                  <c:v>2239852.2996750074</c:v>
                </c:pt>
                <c:pt idx="16">
                  <c:v>2242490.2571838992</c:v>
                </c:pt>
                <c:pt idx="17">
                  <c:v>2287329.6110709864</c:v>
                </c:pt>
                <c:pt idx="18">
                  <c:v>2308543.4422840634</c:v>
                </c:pt>
                <c:pt idx="19">
                  <c:v>2340020.497924719</c:v>
                </c:pt>
                <c:pt idx="20">
                  <c:v>2370976.4229420028</c:v>
                </c:pt>
                <c:pt idx="21">
                  <c:v>2361519.8325970555</c:v>
                </c:pt>
                <c:pt idx="22">
                  <c:v>2362316.798433057</c:v>
                </c:pt>
                <c:pt idx="23">
                  <c:v>2365303.8073585397</c:v>
                </c:pt>
                <c:pt idx="24">
                  <c:v>2419586.2706953981</c:v>
                </c:pt>
                <c:pt idx="25">
                  <c:v>2388528.010925456</c:v>
                </c:pt>
                <c:pt idx="26">
                  <c:v>2429550.9630011148</c:v>
                </c:pt>
                <c:pt idx="27">
                  <c:v>2389643.3913947539</c:v>
                </c:pt>
                <c:pt idx="28">
                  <c:v>2467266.3275761288</c:v>
                </c:pt>
                <c:pt idx="29">
                  <c:v>2461700.5277618258</c:v>
                </c:pt>
                <c:pt idx="30">
                  <c:v>2467670.5311610498</c:v>
                </c:pt>
                <c:pt idx="31">
                  <c:v>2480343.8792529879</c:v>
                </c:pt>
                <c:pt idx="32">
                  <c:v>2497241.0671357349</c:v>
                </c:pt>
                <c:pt idx="33">
                  <c:v>2525313.6820683777</c:v>
                </c:pt>
                <c:pt idx="34">
                  <c:v>2530275.8487789403</c:v>
                </c:pt>
                <c:pt idx="35">
                  <c:v>2551063.9311922495</c:v>
                </c:pt>
                <c:pt idx="36">
                  <c:v>2579623.9753043493</c:v>
                </c:pt>
                <c:pt idx="37">
                  <c:v>2523112.0575386905</c:v>
                </c:pt>
                <c:pt idx="38">
                  <c:v>2566990.7875311514</c:v>
                </c:pt>
                <c:pt idx="39">
                  <c:v>2543408.4109628052</c:v>
                </c:pt>
                <c:pt idx="40">
                  <c:v>2566382.8652344737</c:v>
                </c:pt>
                <c:pt idx="41">
                  <c:v>2584461.9467975241</c:v>
                </c:pt>
                <c:pt idx="42">
                  <c:v>2589081.1071336847</c:v>
                </c:pt>
                <c:pt idx="43">
                  <c:v>2592639.0390020832</c:v>
                </c:pt>
                <c:pt idx="44">
                  <c:v>2577646.5177005511</c:v>
                </c:pt>
                <c:pt idx="45">
                  <c:v>2587905.345506453</c:v>
                </c:pt>
                <c:pt idx="46">
                  <c:v>2625957.1266958029</c:v>
                </c:pt>
                <c:pt idx="47">
                  <c:v>2650825.3044757508</c:v>
                </c:pt>
                <c:pt idx="48">
                  <c:v>2651078.4629173628</c:v>
                </c:pt>
                <c:pt idx="49">
                  <c:v>2654000.8474466619</c:v>
                </c:pt>
                <c:pt idx="50">
                  <c:v>2635970.9360811603</c:v>
                </c:pt>
                <c:pt idx="51">
                  <c:v>2609677.290941787</c:v>
                </c:pt>
                <c:pt idx="52">
                  <c:v>2664095.5304687899</c:v>
                </c:pt>
                <c:pt idx="53">
                  <c:v>2653149.6177325193</c:v>
                </c:pt>
                <c:pt idx="54">
                  <c:v>2613141.1350544081</c:v>
                </c:pt>
                <c:pt idx="55">
                  <c:v>2602582.6836448302</c:v>
                </c:pt>
                <c:pt idx="56">
                  <c:v>2596628.5340449065</c:v>
                </c:pt>
                <c:pt idx="57">
                  <c:v>2577682.616601855</c:v>
                </c:pt>
                <c:pt idx="58">
                  <c:v>2575816.0469613979</c:v>
                </c:pt>
                <c:pt idx="59">
                  <c:v>2572587.5880538668</c:v>
                </c:pt>
                <c:pt idx="60">
                  <c:v>2501916.9719977132</c:v>
                </c:pt>
                <c:pt idx="61">
                  <c:v>2439468.2122727404</c:v>
                </c:pt>
                <c:pt idx="62">
                  <c:v>2456022.9069908396</c:v>
                </c:pt>
                <c:pt idx="63">
                  <c:v>2482162.60953097</c:v>
                </c:pt>
                <c:pt idx="64">
                  <c:v>2447993.4008702366</c:v>
                </c:pt>
                <c:pt idx="65">
                  <c:v>2458277.4360328582</c:v>
                </c:pt>
                <c:pt idx="66">
                  <c:v>2482211.5487139244</c:v>
                </c:pt>
                <c:pt idx="67">
                  <c:v>2486288.1123351832</c:v>
                </c:pt>
                <c:pt idx="68">
                  <c:v>2501027.8658954492</c:v>
                </c:pt>
                <c:pt idx="69">
                  <c:v>2520984.7029885948</c:v>
                </c:pt>
                <c:pt idx="70">
                  <c:v>2526642.6155694621</c:v>
                </c:pt>
                <c:pt idx="71">
                  <c:v>2531498.9426066815</c:v>
                </c:pt>
                <c:pt idx="72">
                  <c:v>2548361.0590771614</c:v>
                </c:pt>
                <c:pt idx="73">
                  <c:v>2565330.2599277147</c:v>
                </c:pt>
                <c:pt idx="74">
                  <c:v>2556941.8310498577</c:v>
                </c:pt>
                <c:pt idx="75">
                  <c:v>2488700.6024717963</c:v>
                </c:pt>
                <c:pt idx="76">
                  <c:v>2533624.6954797427</c:v>
                </c:pt>
                <c:pt idx="77">
                  <c:v>2625947.7739101634</c:v>
                </c:pt>
                <c:pt idx="78">
                  <c:v>2603617.9793337514</c:v>
                </c:pt>
                <c:pt idx="79">
                  <c:v>2613739.2862541471</c:v>
                </c:pt>
                <c:pt idx="80">
                  <c:v>2655891.5070221457</c:v>
                </c:pt>
                <c:pt idx="81">
                  <c:v>2613361.5567319356</c:v>
                </c:pt>
                <c:pt idx="82">
                  <c:v>2626970.6035324088</c:v>
                </c:pt>
                <c:pt idx="83">
                  <c:v>2605052.124380426</c:v>
                </c:pt>
                <c:pt idx="84">
                  <c:v>2534503.5003993139</c:v>
                </c:pt>
                <c:pt idx="85">
                  <c:v>2454829.8661373733</c:v>
                </c:pt>
                <c:pt idx="86">
                  <c:v>2485792.553975625</c:v>
                </c:pt>
                <c:pt idx="87">
                  <c:v>2412695.1931736493</c:v>
                </c:pt>
                <c:pt idx="88">
                  <c:v>2377588.4064859576</c:v>
                </c:pt>
                <c:pt idx="89">
                  <c:v>2358129.1607197439</c:v>
                </c:pt>
                <c:pt idx="90">
                  <c:v>2369059.6906736544</c:v>
                </c:pt>
                <c:pt idx="91">
                  <c:v>2423735.2980781929</c:v>
                </c:pt>
                <c:pt idx="92">
                  <c:v>2438454.1572478986</c:v>
                </c:pt>
                <c:pt idx="93">
                  <c:v>2456154.3008035235</c:v>
                </c:pt>
                <c:pt idx="94">
                  <c:v>2474197.8647939838</c:v>
                </c:pt>
                <c:pt idx="95">
                  <c:v>2521593.872801777</c:v>
                </c:pt>
                <c:pt idx="96">
                  <c:v>2546458.2875010925</c:v>
                </c:pt>
                <c:pt idx="97">
                  <c:v>2521710.0196145233</c:v>
                </c:pt>
                <c:pt idx="98">
                  <c:v>2492706.3747111019</c:v>
                </c:pt>
                <c:pt idx="99">
                  <c:v>2458553.872307973</c:v>
                </c:pt>
                <c:pt idx="100">
                  <c:v>2452726.5052109133</c:v>
                </c:pt>
                <c:pt idx="101">
                  <c:v>2518018.8714936739</c:v>
                </c:pt>
                <c:pt idx="102">
                  <c:v>2547169.282947883</c:v>
                </c:pt>
                <c:pt idx="103">
                  <c:v>2547851.7630121023</c:v>
                </c:pt>
                <c:pt idx="104">
                  <c:v>2542309.8373487615</c:v>
                </c:pt>
                <c:pt idx="105">
                  <c:v>2545460.7766847792</c:v>
                </c:pt>
                <c:pt idx="106">
                  <c:v>2545499.2675651074</c:v>
                </c:pt>
                <c:pt idx="107">
                  <c:v>2513173.1619569194</c:v>
                </c:pt>
                <c:pt idx="108">
                  <c:v>2508139.516572</c:v>
                </c:pt>
                <c:pt idx="109">
                  <c:v>2493574.2656376171</c:v>
                </c:pt>
                <c:pt idx="110">
                  <c:v>2470457.5464662514</c:v>
                </c:pt>
                <c:pt idx="111">
                  <c:v>2460422.2310367487</c:v>
                </c:pt>
                <c:pt idx="112">
                  <c:v>2458510.7781147878</c:v>
                </c:pt>
                <c:pt idx="113">
                  <c:v>2427110.6965272049</c:v>
                </c:pt>
                <c:pt idx="114">
                  <c:v>2396622.0011974419</c:v>
                </c:pt>
                <c:pt idx="115">
                  <c:v>2386002.3871329529</c:v>
                </c:pt>
                <c:pt idx="116">
                  <c:v>2316951.7354533207</c:v>
                </c:pt>
                <c:pt idx="117">
                  <c:v>2255683.9549062382</c:v>
                </c:pt>
                <c:pt idx="118">
                  <c:v>2313482.7606611513</c:v>
                </c:pt>
                <c:pt idx="119">
                  <c:v>2295411.2173334509</c:v>
                </c:pt>
                <c:pt idx="120">
                  <c:v>2297318.4575559818</c:v>
                </c:pt>
                <c:pt idx="121">
                  <c:v>2272224.367833239</c:v>
                </c:pt>
                <c:pt idx="122">
                  <c:v>2260130.8587545655</c:v>
                </c:pt>
                <c:pt idx="123">
                  <c:v>2213934.1880472656</c:v>
                </c:pt>
                <c:pt idx="124">
                  <c:v>2255614.8108398709</c:v>
                </c:pt>
                <c:pt idx="125">
                  <c:v>2260749.9008234902</c:v>
                </c:pt>
                <c:pt idx="126">
                  <c:v>2290288.2179438761</c:v>
                </c:pt>
                <c:pt idx="127">
                  <c:v>2288020.7781917974</c:v>
                </c:pt>
                <c:pt idx="128">
                  <c:v>2231090.6922888551</c:v>
                </c:pt>
                <c:pt idx="129">
                  <c:v>2274063.652744696</c:v>
                </c:pt>
                <c:pt idx="130">
                  <c:v>2219519.995731507</c:v>
                </c:pt>
                <c:pt idx="131">
                  <c:v>2201370.4346113196</c:v>
                </c:pt>
                <c:pt idx="132">
                  <c:v>2256162.2789805843</c:v>
                </c:pt>
                <c:pt idx="133">
                  <c:v>2275228.2354024006</c:v>
                </c:pt>
                <c:pt idx="134">
                  <c:v>2256065.5819788487</c:v>
                </c:pt>
                <c:pt idx="135">
                  <c:v>2128387.8918294297</c:v>
                </c:pt>
                <c:pt idx="136">
                  <c:v>2140355.0423743422</c:v>
                </c:pt>
                <c:pt idx="137">
                  <c:v>2195114.3786253938</c:v>
                </c:pt>
                <c:pt idx="138">
                  <c:v>2177819.8825453124</c:v>
                </c:pt>
                <c:pt idx="139">
                  <c:v>2190760.3535390003</c:v>
                </c:pt>
                <c:pt idx="140">
                  <c:v>2197654.2359151598</c:v>
                </c:pt>
                <c:pt idx="141">
                  <c:v>2215265.5713616591</c:v>
                </c:pt>
                <c:pt idx="142">
                  <c:v>2205781.6522437017</c:v>
                </c:pt>
                <c:pt idx="143">
                  <c:v>2194808.8984434875</c:v>
                </c:pt>
                <c:pt idx="144">
                  <c:v>2192941.2403920046</c:v>
                </c:pt>
                <c:pt idx="145">
                  <c:v>2222564.8315962665</c:v>
                </c:pt>
                <c:pt idx="146">
                  <c:v>2171380.336984484</c:v>
                </c:pt>
                <c:pt idx="147">
                  <c:v>2158201.2786279805</c:v>
                </c:pt>
                <c:pt idx="148">
                  <c:v>2174589.6699958476</c:v>
                </c:pt>
                <c:pt idx="149">
                  <c:v>2179652.7827287074</c:v>
                </c:pt>
                <c:pt idx="150">
                  <c:v>2235167.019959114</c:v>
                </c:pt>
                <c:pt idx="151">
                  <c:v>2250630.6740177926</c:v>
                </c:pt>
                <c:pt idx="152">
                  <c:v>2238499.943498218</c:v>
                </c:pt>
                <c:pt idx="153">
                  <c:v>2247153.4567085123</c:v>
                </c:pt>
                <c:pt idx="154">
                  <c:v>2274277.0484723654</c:v>
                </c:pt>
                <c:pt idx="155">
                  <c:v>2262613.3433905663</c:v>
                </c:pt>
                <c:pt idx="156">
                  <c:v>2274765.8369453945</c:v>
                </c:pt>
                <c:pt idx="157">
                  <c:v>2255611.8406396899</c:v>
                </c:pt>
                <c:pt idx="158">
                  <c:v>2233920.2861462827</c:v>
                </c:pt>
                <c:pt idx="159">
                  <c:v>2188090.9887486412</c:v>
                </c:pt>
                <c:pt idx="160">
                  <c:v>2246179.9320973284</c:v>
                </c:pt>
                <c:pt idx="161">
                  <c:v>2211411.0464521688</c:v>
                </c:pt>
                <c:pt idx="162">
                  <c:v>2182636.5602110117</c:v>
                </c:pt>
                <c:pt idx="163">
                  <c:v>2179125.2096690666</c:v>
                </c:pt>
                <c:pt idx="164">
                  <c:v>2191869.0440475391</c:v>
                </c:pt>
                <c:pt idx="165">
                  <c:v>2174781.6752757081</c:v>
                </c:pt>
                <c:pt idx="166">
                  <c:v>2224773.8410137235</c:v>
                </c:pt>
                <c:pt idx="167">
                  <c:v>2299358.840879255</c:v>
                </c:pt>
                <c:pt idx="168">
                  <c:v>2255647.6609375114</c:v>
                </c:pt>
                <c:pt idx="169">
                  <c:v>2250484.7941288254</c:v>
                </c:pt>
                <c:pt idx="170">
                  <c:v>2209243.486337889</c:v>
                </c:pt>
                <c:pt idx="171">
                  <c:v>2180082.2700873488</c:v>
                </c:pt>
                <c:pt idx="172">
                  <c:v>2192883.5267585446</c:v>
                </c:pt>
                <c:pt idx="173">
                  <c:v>2215957.0166694089</c:v>
                </c:pt>
                <c:pt idx="174">
                  <c:v>2289733.970880738</c:v>
                </c:pt>
                <c:pt idx="175">
                  <c:v>2256173.1200760109</c:v>
                </c:pt>
                <c:pt idx="176">
                  <c:v>2221600.6810548338</c:v>
                </c:pt>
                <c:pt idx="177">
                  <c:v>2244856.9594530785</c:v>
                </c:pt>
                <c:pt idx="178">
                  <c:v>2201785.7805546909</c:v>
                </c:pt>
                <c:pt idx="179">
                  <c:v>1959903.367049542</c:v>
                </c:pt>
                <c:pt idx="180">
                  <c:v>1988574.1343051894</c:v>
                </c:pt>
                <c:pt idx="181">
                  <c:v>1982871.3678761201</c:v>
                </c:pt>
                <c:pt idx="182">
                  <c:v>1969342.4921790422</c:v>
                </c:pt>
                <c:pt idx="183">
                  <c:v>2031240.9240229304</c:v>
                </c:pt>
                <c:pt idx="184">
                  <c:v>2069560.8691074783</c:v>
                </c:pt>
                <c:pt idx="185">
                  <c:v>2119068.7968913703</c:v>
                </c:pt>
                <c:pt idx="186">
                  <c:v>2163914.8658894533</c:v>
                </c:pt>
                <c:pt idx="187">
                  <c:v>2175537.090546309</c:v>
                </c:pt>
                <c:pt idx="188">
                  <c:v>2181257.1514550452</c:v>
                </c:pt>
                <c:pt idx="189">
                  <c:v>2228201.5870195841</c:v>
                </c:pt>
                <c:pt idx="190">
                  <c:v>2255126.8281785701</c:v>
                </c:pt>
                <c:pt idx="191">
                  <c:v>2267109.5583255468</c:v>
                </c:pt>
                <c:pt idx="192">
                  <c:v>2277151.3486744631</c:v>
                </c:pt>
                <c:pt idx="193">
                  <c:v>2280887.7249863292</c:v>
                </c:pt>
                <c:pt idx="194">
                  <c:v>2239143.4670317336</c:v>
                </c:pt>
                <c:pt idx="195">
                  <c:v>2192322.1604770194</c:v>
                </c:pt>
                <c:pt idx="196">
                  <c:v>2206087.7864794116</c:v>
                </c:pt>
                <c:pt idx="197">
                  <c:v>2247929.3223094549</c:v>
                </c:pt>
                <c:pt idx="198">
                  <c:v>2261569.4413972688</c:v>
                </c:pt>
                <c:pt idx="199">
                  <c:v>2272101.1987777278</c:v>
                </c:pt>
                <c:pt idx="200">
                  <c:v>2268389.616777027</c:v>
                </c:pt>
                <c:pt idx="201" formatCode="0.00">
                  <c:v>2260525.5782761481</c:v>
                </c:pt>
                <c:pt idx="202" formatCode="0.00">
                  <c:v>2257692.848882806</c:v>
                </c:pt>
                <c:pt idx="203" formatCode="0.00">
                  <c:v>2261510.3377691465</c:v>
                </c:pt>
                <c:pt idx="204" formatCode="0.00">
                  <c:v>2262498.9240483097</c:v>
                </c:pt>
                <c:pt idx="205" formatCode="0.00">
                  <c:v>2251804.4677340393</c:v>
                </c:pt>
                <c:pt idx="206" formatCode="0.00">
                  <c:v>2186413.2563480679</c:v>
                </c:pt>
                <c:pt idx="207" formatCode="0.00">
                  <c:v>2191473.9885093402</c:v>
                </c:pt>
                <c:pt idx="208" formatCode="0.00">
                  <c:v>2156890.4921129402</c:v>
                </c:pt>
                <c:pt idx="209" formatCode="0.00">
                  <c:v>2156890.4921129402</c:v>
                </c:pt>
                <c:pt idx="212">
                  <c:v>2664095.5304687899</c:v>
                </c:pt>
                <c:pt idx="213" formatCode="0%">
                  <c:v>-0.1507440712344924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B-4C32-9DB7-811F2BAEE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090175"/>
        <c:axId val="1707089215"/>
      </c:lineChart>
      <c:dateAx>
        <c:axId val="17070901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07089215"/>
        <c:crosses val="autoZero"/>
        <c:auto val="1"/>
        <c:lblOffset val="100"/>
        <c:baseTimeUnit val="months"/>
      </c:dateAx>
      <c:valAx>
        <c:axId val="1707089215"/>
        <c:scaling>
          <c:orientation val="minMax"/>
          <c:min val="1700000.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70709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D8EAED">
        <a:alpha val="15000"/>
      </a:srgbClr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Poppins" panose="00000500000000000000" pitchFamily="2" charset="0"/>
              <a:ea typeface="+mn-ea"/>
              <a:cs typeface="Poppins" panose="00000500000000000000" pitchFamily="2" charset="0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6.139814702905097E-2"/>
          <c:y val="6.8181818181818177E-2"/>
          <c:w val="0.938601852970949"/>
          <c:h val="0.81542400381770463"/>
        </c:manualLayout>
      </c:layout>
      <c:lineChart>
        <c:grouping val="standard"/>
        <c:varyColors val="0"/>
        <c:ser>
          <c:idx val="0"/>
          <c:order val="0"/>
          <c:tx>
            <c:strRef>
              <c:f>A.4!$J$3</c:f>
              <c:strCache>
                <c:ptCount val="1"/>
                <c:pt idx="0">
                  <c:v>Remuneración real promedio</c:v>
                </c:pt>
              </c:strCache>
            </c:strRef>
          </c:tx>
          <c:spPr>
            <a:ln w="15875" cap="rnd">
              <a:solidFill>
                <a:srgbClr val="1E5B78"/>
              </a:solidFill>
              <a:round/>
            </a:ln>
            <a:effectLst/>
          </c:spPr>
          <c:marker>
            <c:symbol val="none"/>
          </c:marker>
          <c:dPt>
            <c:idx val="52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9CB-4345-979C-CDB393419CA5}"/>
              </c:ext>
            </c:extLst>
          </c:dPt>
          <c:dPt>
            <c:idx val="17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29CB-4345-979C-CDB393419CA5}"/>
              </c:ext>
            </c:extLst>
          </c:dPt>
          <c:dPt>
            <c:idx val="18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29CB-4345-979C-CDB393419CA5}"/>
              </c:ext>
            </c:extLst>
          </c:dPt>
          <c:dPt>
            <c:idx val="18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3EC4-4619-AC52-B4A446E55274}"/>
              </c:ext>
            </c:extLst>
          </c:dPt>
          <c:dPt>
            <c:idx val="186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2D1E-484C-89AA-B00D4E262214}"/>
              </c:ext>
            </c:extLst>
          </c:dPt>
          <c:dPt>
            <c:idx val="187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14AF-41AD-8075-5326D6D65FA8}"/>
              </c:ext>
            </c:extLst>
          </c:dPt>
          <c:dPt>
            <c:idx val="18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4940-4ABF-9211-59076B8BFB27}"/>
              </c:ext>
            </c:extLst>
          </c:dPt>
          <c:dPt>
            <c:idx val="189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3607-4005-9040-31E926CE5985}"/>
              </c:ext>
            </c:extLst>
          </c:dPt>
          <c:dPt>
            <c:idx val="190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8D6-43D6-A5E9-BDF5C43297C7}"/>
              </c:ext>
            </c:extLst>
          </c:dPt>
          <c:dPt>
            <c:idx val="191"/>
            <c:marker>
              <c:symbol val="circle"/>
              <c:size val="5"/>
              <c:spPr>
                <a:solidFill>
                  <a:srgbClr val="1E5B78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F8EF-4DD7-B7F6-DA9D747E1D41}"/>
              </c:ext>
            </c:extLst>
          </c:dPt>
          <c:dLbls>
            <c:dLbl>
              <c:idx val="52"/>
              <c:layout>
                <c:manualLayout>
                  <c:x val="-2.6388888407901566E-2"/>
                  <c:y val="-3.2323232323232323E-2"/>
                </c:manualLayout>
              </c:layout>
              <c:tx>
                <c:rich>
                  <a:bodyPr/>
                  <a:lstStyle/>
                  <a:p>
                    <a:fld id="{4B767F99-2097-4929-9D8B-AA1D54914BA6}" type="CATEGORYNAME">
                      <a:rPr lang="en-US"/>
                      <a:pPr/>
                      <a:t>[NOMBRE DE CATEGORÍA]</a:t>
                    </a:fld>
                    <a:br>
                      <a:rPr lang="en-US"/>
                    </a:br>
                    <a:fld id="{DD154CEE-6ACC-409C-AC9A-D2C56D34B774}" type="VALUE">
                      <a:rPr lang="en-US"/>
                      <a:pPr/>
                      <a:t>[VALOR]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CB-4345-979C-CDB393419CA5}"/>
                </c:ext>
              </c:extLst>
            </c:dLbl>
            <c:dLbl>
              <c:idx val="191"/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1E5B78"/>
                      </a:solidFill>
                      <a:latin typeface="Poppins" panose="00000500000000000000" pitchFamily="2" charset="0"/>
                      <a:ea typeface="+mn-ea"/>
                      <a:cs typeface="Poppins" panose="00000500000000000000" pitchFamily="2" charset="0"/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6843872351080856E-2"/>
                      <c:h val="0.1283939948323984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8EF-4DD7-B7F6-DA9D747E1D4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E5B78"/>
                    </a:solidFill>
                    <a:latin typeface="Poppins" panose="00000500000000000000" pitchFamily="2" charset="0"/>
                    <a:ea typeface="+mn-ea"/>
                    <a:cs typeface="Poppins" panose="00000500000000000000" pitchFamily="2" charset="0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A.4!$A$4:$A$195</c:f>
              <c:numCache>
                <c:formatCode>mmm\-yy</c:formatCode>
                <c:ptCount val="19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  <c:pt idx="12">
                  <c:v>40179</c:v>
                </c:pt>
                <c:pt idx="13">
                  <c:v>40210</c:v>
                </c:pt>
                <c:pt idx="14">
                  <c:v>40238</c:v>
                </c:pt>
                <c:pt idx="15">
                  <c:v>40269</c:v>
                </c:pt>
                <c:pt idx="16">
                  <c:v>40299</c:v>
                </c:pt>
                <c:pt idx="17">
                  <c:v>40330</c:v>
                </c:pt>
                <c:pt idx="18">
                  <c:v>40360</c:v>
                </c:pt>
                <c:pt idx="19">
                  <c:v>40391</c:v>
                </c:pt>
                <c:pt idx="20">
                  <c:v>40422</c:v>
                </c:pt>
                <c:pt idx="21">
                  <c:v>40452</c:v>
                </c:pt>
                <c:pt idx="22">
                  <c:v>40483</c:v>
                </c:pt>
                <c:pt idx="23">
                  <c:v>40513</c:v>
                </c:pt>
                <c:pt idx="24">
                  <c:v>40544</c:v>
                </c:pt>
                <c:pt idx="25">
                  <c:v>40575</c:v>
                </c:pt>
                <c:pt idx="26">
                  <c:v>40603</c:v>
                </c:pt>
                <c:pt idx="27">
                  <c:v>40634</c:v>
                </c:pt>
                <c:pt idx="28">
                  <c:v>40664</c:v>
                </c:pt>
                <c:pt idx="29">
                  <c:v>40695</c:v>
                </c:pt>
                <c:pt idx="30">
                  <c:v>40725</c:v>
                </c:pt>
                <c:pt idx="31">
                  <c:v>40756</c:v>
                </c:pt>
                <c:pt idx="32">
                  <c:v>40787</c:v>
                </c:pt>
                <c:pt idx="33">
                  <c:v>40817</c:v>
                </c:pt>
                <c:pt idx="34">
                  <c:v>40848</c:v>
                </c:pt>
                <c:pt idx="35">
                  <c:v>40878</c:v>
                </c:pt>
                <c:pt idx="36">
                  <c:v>40909</c:v>
                </c:pt>
                <c:pt idx="37">
                  <c:v>40940</c:v>
                </c:pt>
                <c:pt idx="38">
                  <c:v>40969</c:v>
                </c:pt>
                <c:pt idx="39">
                  <c:v>41000</c:v>
                </c:pt>
                <c:pt idx="40">
                  <c:v>41030</c:v>
                </c:pt>
                <c:pt idx="41">
                  <c:v>41061</c:v>
                </c:pt>
                <c:pt idx="42">
                  <c:v>41091</c:v>
                </c:pt>
                <c:pt idx="43">
                  <c:v>41122</c:v>
                </c:pt>
                <c:pt idx="44">
                  <c:v>41153</c:v>
                </c:pt>
                <c:pt idx="45">
                  <c:v>41183</c:v>
                </c:pt>
                <c:pt idx="46">
                  <c:v>41214</c:v>
                </c:pt>
                <c:pt idx="47">
                  <c:v>41244</c:v>
                </c:pt>
                <c:pt idx="48">
                  <c:v>41275</c:v>
                </c:pt>
                <c:pt idx="49">
                  <c:v>41306</c:v>
                </c:pt>
                <c:pt idx="50">
                  <c:v>41334</c:v>
                </c:pt>
                <c:pt idx="51">
                  <c:v>41365</c:v>
                </c:pt>
                <c:pt idx="52">
                  <c:v>41395</c:v>
                </c:pt>
                <c:pt idx="53">
                  <c:v>41426</c:v>
                </c:pt>
                <c:pt idx="54">
                  <c:v>41456</c:v>
                </c:pt>
                <c:pt idx="55">
                  <c:v>41487</c:v>
                </c:pt>
                <c:pt idx="56">
                  <c:v>41518</c:v>
                </c:pt>
                <c:pt idx="57">
                  <c:v>41548</c:v>
                </c:pt>
                <c:pt idx="58">
                  <c:v>41579</c:v>
                </c:pt>
                <c:pt idx="59">
                  <c:v>41609</c:v>
                </c:pt>
                <c:pt idx="60">
                  <c:v>41640</c:v>
                </c:pt>
                <c:pt idx="61">
                  <c:v>41671</c:v>
                </c:pt>
                <c:pt idx="62">
                  <c:v>41699</c:v>
                </c:pt>
                <c:pt idx="63">
                  <c:v>41730</c:v>
                </c:pt>
                <c:pt idx="64">
                  <c:v>41760</c:v>
                </c:pt>
                <c:pt idx="65">
                  <c:v>41791</c:v>
                </c:pt>
                <c:pt idx="66">
                  <c:v>41821</c:v>
                </c:pt>
                <c:pt idx="67">
                  <c:v>41852</c:v>
                </c:pt>
                <c:pt idx="68">
                  <c:v>41883</c:v>
                </c:pt>
                <c:pt idx="69">
                  <c:v>41913</c:v>
                </c:pt>
                <c:pt idx="70">
                  <c:v>41944</c:v>
                </c:pt>
                <c:pt idx="71">
                  <c:v>41974</c:v>
                </c:pt>
                <c:pt idx="72">
                  <c:v>42005</c:v>
                </c:pt>
                <c:pt idx="73">
                  <c:v>42036</c:v>
                </c:pt>
                <c:pt idx="74">
                  <c:v>42064</c:v>
                </c:pt>
                <c:pt idx="75">
                  <c:v>42095</c:v>
                </c:pt>
                <c:pt idx="76">
                  <c:v>42125</c:v>
                </c:pt>
                <c:pt idx="77">
                  <c:v>42156</c:v>
                </c:pt>
                <c:pt idx="78">
                  <c:v>42186</c:v>
                </c:pt>
                <c:pt idx="79">
                  <c:v>42217</c:v>
                </c:pt>
                <c:pt idx="80">
                  <c:v>42248</c:v>
                </c:pt>
                <c:pt idx="81">
                  <c:v>42278</c:v>
                </c:pt>
                <c:pt idx="82">
                  <c:v>42309</c:v>
                </c:pt>
                <c:pt idx="83">
                  <c:v>42339</c:v>
                </c:pt>
                <c:pt idx="84">
                  <c:v>42370</c:v>
                </c:pt>
                <c:pt idx="85">
                  <c:v>42401</c:v>
                </c:pt>
                <c:pt idx="86">
                  <c:v>42430</c:v>
                </c:pt>
                <c:pt idx="87">
                  <c:v>42461</c:v>
                </c:pt>
                <c:pt idx="88">
                  <c:v>42491</c:v>
                </c:pt>
                <c:pt idx="89">
                  <c:v>42522</c:v>
                </c:pt>
                <c:pt idx="90">
                  <c:v>42552</c:v>
                </c:pt>
                <c:pt idx="91">
                  <c:v>42583</c:v>
                </c:pt>
                <c:pt idx="92">
                  <c:v>42614</c:v>
                </c:pt>
                <c:pt idx="93">
                  <c:v>42644</c:v>
                </c:pt>
                <c:pt idx="94">
                  <c:v>42675</c:v>
                </c:pt>
                <c:pt idx="95">
                  <c:v>42705</c:v>
                </c:pt>
                <c:pt idx="96">
                  <c:v>42736</c:v>
                </c:pt>
                <c:pt idx="97">
                  <c:v>42767</c:v>
                </c:pt>
                <c:pt idx="98">
                  <c:v>42795</c:v>
                </c:pt>
                <c:pt idx="99">
                  <c:v>42826</c:v>
                </c:pt>
                <c:pt idx="100">
                  <c:v>42856</c:v>
                </c:pt>
                <c:pt idx="101">
                  <c:v>42887</c:v>
                </c:pt>
                <c:pt idx="102">
                  <c:v>42917</c:v>
                </c:pt>
                <c:pt idx="103">
                  <c:v>42948</c:v>
                </c:pt>
                <c:pt idx="104">
                  <c:v>42979</c:v>
                </c:pt>
                <c:pt idx="105">
                  <c:v>43009</c:v>
                </c:pt>
                <c:pt idx="106">
                  <c:v>43040</c:v>
                </c:pt>
                <c:pt idx="107">
                  <c:v>43070</c:v>
                </c:pt>
                <c:pt idx="108">
                  <c:v>43101</c:v>
                </c:pt>
                <c:pt idx="109">
                  <c:v>43132</c:v>
                </c:pt>
                <c:pt idx="110">
                  <c:v>43160</c:v>
                </c:pt>
                <c:pt idx="111">
                  <c:v>43191</c:v>
                </c:pt>
                <c:pt idx="112">
                  <c:v>43221</c:v>
                </c:pt>
                <c:pt idx="113">
                  <c:v>43252</c:v>
                </c:pt>
                <c:pt idx="114">
                  <c:v>43282</c:v>
                </c:pt>
                <c:pt idx="115">
                  <c:v>43313</c:v>
                </c:pt>
                <c:pt idx="116">
                  <c:v>43344</c:v>
                </c:pt>
                <c:pt idx="117">
                  <c:v>43374</c:v>
                </c:pt>
                <c:pt idx="118">
                  <c:v>43405</c:v>
                </c:pt>
                <c:pt idx="119">
                  <c:v>43435</c:v>
                </c:pt>
                <c:pt idx="120">
                  <c:v>43466</c:v>
                </c:pt>
                <c:pt idx="121">
                  <c:v>43497</c:v>
                </c:pt>
                <c:pt idx="122">
                  <c:v>43525</c:v>
                </c:pt>
                <c:pt idx="123">
                  <c:v>43556</c:v>
                </c:pt>
                <c:pt idx="124">
                  <c:v>43586</c:v>
                </c:pt>
                <c:pt idx="125">
                  <c:v>43617</c:v>
                </c:pt>
                <c:pt idx="126">
                  <c:v>43647</c:v>
                </c:pt>
                <c:pt idx="127">
                  <c:v>43678</c:v>
                </c:pt>
                <c:pt idx="128">
                  <c:v>43709</c:v>
                </c:pt>
                <c:pt idx="129">
                  <c:v>43739</c:v>
                </c:pt>
                <c:pt idx="130">
                  <c:v>43770</c:v>
                </c:pt>
                <c:pt idx="131">
                  <c:v>43800</c:v>
                </c:pt>
                <c:pt idx="132">
                  <c:v>43831</c:v>
                </c:pt>
                <c:pt idx="133">
                  <c:v>43862</c:v>
                </c:pt>
                <c:pt idx="134">
                  <c:v>43891</c:v>
                </c:pt>
                <c:pt idx="135">
                  <c:v>43922</c:v>
                </c:pt>
                <c:pt idx="136">
                  <c:v>43952</c:v>
                </c:pt>
                <c:pt idx="137">
                  <c:v>43983</c:v>
                </c:pt>
                <c:pt idx="138">
                  <c:v>44013</c:v>
                </c:pt>
                <c:pt idx="139">
                  <c:v>44044</c:v>
                </c:pt>
                <c:pt idx="140">
                  <c:v>44075</c:v>
                </c:pt>
                <c:pt idx="141">
                  <c:v>44105</c:v>
                </c:pt>
                <c:pt idx="142">
                  <c:v>44136</c:v>
                </c:pt>
                <c:pt idx="143">
                  <c:v>44166</c:v>
                </c:pt>
                <c:pt idx="144">
                  <c:v>44197</c:v>
                </c:pt>
                <c:pt idx="145">
                  <c:v>44228</c:v>
                </c:pt>
                <c:pt idx="146">
                  <c:v>44256</c:v>
                </c:pt>
                <c:pt idx="147">
                  <c:v>44287</c:v>
                </c:pt>
                <c:pt idx="148">
                  <c:v>44317</c:v>
                </c:pt>
                <c:pt idx="149">
                  <c:v>44348</c:v>
                </c:pt>
                <c:pt idx="150">
                  <c:v>44378</c:v>
                </c:pt>
                <c:pt idx="151">
                  <c:v>44409</c:v>
                </c:pt>
                <c:pt idx="152">
                  <c:v>44440</c:v>
                </c:pt>
                <c:pt idx="153">
                  <c:v>44470</c:v>
                </c:pt>
                <c:pt idx="154">
                  <c:v>44501</c:v>
                </c:pt>
                <c:pt idx="155">
                  <c:v>44531</c:v>
                </c:pt>
                <c:pt idx="156">
                  <c:v>44562</c:v>
                </c:pt>
                <c:pt idx="157">
                  <c:v>44593</c:v>
                </c:pt>
                <c:pt idx="158">
                  <c:v>44621</c:v>
                </c:pt>
                <c:pt idx="159">
                  <c:v>44652</c:v>
                </c:pt>
                <c:pt idx="160">
                  <c:v>44682</c:v>
                </c:pt>
                <c:pt idx="161">
                  <c:v>44713</c:v>
                </c:pt>
                <c:pt idx="162">
                  <c:v>44743</c:v>
                </c:pt>
                <c:pt idx="163">
                  <c:v>44774</c:v>
                </c:pt>
                <c:pt idx="164">
                  <c:v>44805</c:v>
                </c:pt>
                <c:pt idx="165">
                  <c:v>44835</c:v>
                </c:pt>
                <c:pt idx="166">
                  <c:v>44866</c:v>
                </c:pt>
                <c:pt idx="167">
                  <c:v>44896</c:v>
                </c:pt>
                <c:pt idx="168">
                  <c:v>44927</c:v>
                </c:pt>
                <c:pt idx="169">
                  <c:v>44958</c:v>
                </c:pt>
                <c:pt idx="170">
                  <c:v>44986</c:v>
                </c:pt>
                <c:pt idx="171">
                  <c:v>45017</c:v>
                </c:pt>
                <c:pt idx="172">
                  <c:v>45047</c:v>
                </c:pt>
                <c:pt idx="173">
                  <c:v>45078</c:v>
                </c:pt>
                <c:pt idx="174">
                  <c:v>45108</c:v>
                </c:pt>
                <c:pt idx="175">
                  <c:v>45139</c:v>
                </c:pt>
                <c:pt idx="176">
                  <c:v>45170</c:v>
                </c:pt>
                <c:pt idx="177">
                  <c:v>45200</c:v>
                </c:pt>
                <c:pt idx="178">
                  <c:v>45231</c:v>
                </c:pt>
                <c:pt idx="179">
                  <c:v>45261</c:v>
                </c:pt>
                <c:pt idx="180">
                  <c:v>45292</c:v>
                </c:pt>
                <c:pt idx="181">
                  <c:v>45323</c:v>
                </c:pt>
                <c:pt idx="182">
                  <c:v>45352</c:v>
                </c:pt>
                <c:pt idx="183">
                  <c:v>45383</c:v>
                </c:pt>
                <c:pt idx="184">
                  <c:v>45413</c:v>
                </c:pt>
                <c:pt idx="185">
                  <c:v>45444</c:v>
                </c:pt>
                <c:pt idx="186">
                  <c:v>45474</c:v>
                </c:pt>
                <c:pt idx="187">
                  <c:v>45505</c:v>
                </c:pt>
                <c:pt idx="188">
                  <c:v>45536</c:v>
                </c:pt>
                <c:pt idx="189">
                  <c:v>45566</c:v>
                </c:pt>
                <c:pt idx="190">
                  <c:v>45597</c:v>
                </c:pt>
                <c:pt idx="191">
                  <c:v>45627</c:v>
                </c:pt>
              </c:numCache>
            </c:numRef>
          </c:cat>
          <c:val>
            <c:numRef>
              <c:f>A.4!$K$4:$K$195</c:f>
              <c:numCache>
                <c:formatCode>General</c:formatCode>
                <c:ptCount val="192"/>
                <c:pt idx="0">
                  <c:v>83.187554059953811</c:v>
                </c:pt>
                <c:pt idx="1">
                  <c:v>83.996580053543042</c:v>
                </c:pt>
                <c:pt idx="2">
                  <c:v>82.124522214851453</c:v>
                </c:pt>
                <c:pt idx="3">
                  <c:v>83.272011304399172</c:v>
                </c:pt>
                <c:pt idx="4">
                  <c:v>83.628866185702904</c:v>
                </c:pt>
                <c:pt idx="5">
                  <c:v>84.86594517974298</c:v>
                </c:pt>
                <c:pt idx="6">
                  <c:v>84.752534566820131</c:v>
                </c:pt>
                <c:pt idx="7">
                  <c:v>85.178140402816567</c:v>
                </c:pt>
                <c:pt idx="8">
                  <c:v>85.584570208904054</c:v>
                </c:pt>
                <c:pt idx="9">
                  <c:v>85.462158478322721</c:v>
                </c:pt>
                <c:pt idx="10">
                  <c:v>85.617353236126391</c:v>
                </c:pt>
                <c:pt idx="11">
                  <c:v>85.67475451287217</c:v>
                </c:pt>
                <c:pt idx="12">
                  <c:v>85.669295457381679</c:v>
                </c:pt>
                <c:pt idx="13">
                  <c:v>85.06996880568785</c:v>
                </c:pt>
                <c:pt idx="14">
                  <c:v>84.23782496041072</c:v>
                </c:pt>
                <c:pt idx="15">
                  <c:v>84.075524847296663</c:v>
                </c:pt>
                <c:pt idx="16">
                  <c:v>84.174543725513388</c:v>
                </c:pt>
                <c:pt idx="17">
                  <c:v>85.85764229965487</c:v>
                </c:pt>
                <c:pt idx="18">
                  <c:v>86.653928730470071</c:v>
                </c:pt>
                <c:pt idx="19">
                  <c:v>87.835457518783329</c:v>
                </c:pt>
                <c:pt idx="20">
                  <c:v>88.99742504822234</c:v>
                </c:pt>
                <c:pt idx="21">
                  <c:v>88.642460662118552</c:v>
                </c:pt>
                <c:pt idx="22">
                  <c:v>88.672375724355874</c:v>
                </c:pt>
                <c:pt idx="23">
                  <c:v>88.784496663388296</c:v>
                </c:pt>
                <c:pt idx="24">
                  <c:v>90.822053602170698</c:v>
                </c:pt>
                <c:pt idx="25">
                  <c:v>89.656244815859012</c:v>
                </c:pt>
                <c:pt idx="26">
                  <c:v>91.196090200774321</c:v>
                </c:pt>
                <c:pt idx="27">
                  <c:v>89.698111950747432</c:v>
                </c:pt>
                <c:pt idx="28">
                  <c:v>92.611781347869837</c:v>
                </c:pt>
                <c:pt idx="29">
                  <c:v>92.40286242020197</c:v>
                </c:pt>
                <c:pt idx="30">
                  <c:v>92.626953611037521</c:v>
                </c:pt>
                <c:pt idx="31">
                  <c:v>93.102662831934254</c:v>
                </c:pt>
                <c:pt idx="32">
                  <c:v>93.736918912074657</c:v>
                </c:pt>
                <c:pt idx="33">
                  <c:v>94.790657962029186</c:v>
                </c:pt>
                <c:pt idx="34">
                  <c:v>94.976918801920675</c:v>
                </c:pt>
                <c:pt idx="35">
                  <c:v>95.757224244257841</c:v>
                </c:pt>
                <c:pt idx="36">
                  <c:v>96.829259529234051</c:v>
                </c:pt>
                <c:pt idx="37">
                  <c:v>94.708017362076689</c:v>
                </c:pt>
                <c:pt idx="38">
                  <c:v>96.355057773752151</c:v>
                </c:pt>
                <c:pt idx="39">
                  <c:v>95.469865170910452</c:v>
                </c:pt>
                <c:pt idx="40">
                  <c:v>96.33223868600831</c:v>
                </c:pt>
                <c:pt idx="41">
                  <c:v>97.010858553662558</c:v>
                </c:pt>
                <c:pt idx="42">
                  <c:v>97.18424424059954</c:v>
                </c:pt>
                <c:pt idx="43">
                  <c:v>97.317795452547728</c:v>
                </c:pt>
                <c:pt idx="44">
                  <c:v>96.755033301939193</c:v>
                </c:pt>
                <c:pt idx="45">
                  <c:v>97.140110627004049</c:v>
                </c:pt>
                <c:pt idx="46">
                  <c:v>98.568429572558315</c:v>
                </c:pt>
                <c:pt idx="47">
                  <c:v>99.50188625590674</c:v>
                </c:pt>
                <c:pt idx="48">
                  <c:v>99.511388859650367</c:v>
                </c:pt>
                <c:pt idx="49">
                  <c:v>99.621084044972235</c:v>
                </c:pt>
                <c:pt idx="50">
                  <c:v>98.944309839269138</c:v>
                </c:pt>
                <c:pt idx="51">
                  <c:v>97.957346540143504</c:v>
                </c:pt>
                <c:pt idx="52">
                  <c:v>100</c:v>
                </c:pt>
                <c:pt idx="53">
                  <c:v>99.589132123413592</c:v>
                </c:pt>
                <c:pt idx="54">
                  <c:v>98.08736605607325</c:v>
                </c:pt>
                <c:pt idx="55">
                  <c:v>97.691042002043545</c:v>
                </c:pt>
                <c:pt idx="56">
                  <c:v>97.467545902454503</c:v>
                </c:pt>
                <c:pt idx="57">
                  <c:v>96.756388317211389</c:v>
                </c:pt>
                <c:pt idx="58">
                  <c:v>96.686324401743278</c:v>
                </c:pt>
                <c:pt idx="59">
                  <c:v>96.565140349947555</c:v>
                </c:pt>
                <c:pt idx="60">
                  <c:v>93.912434572399178</c:v>
                </c:pt>
                <c:pt idx="61">
                  <c:v>91.568345968565069</c:v>
                </c:pt>
                <c:pt idx="62">
                  <c:v>92.189746159690571</c:v>
                </c:pt>
                <c:pt idx="63">
                  <c:v>93.170931039931375</c:v>
                </c:pt>
                <c:pt idx="64">
                  <c:v>91.888349080315209</c:v>
                </c:pt>
                <c:pt idx="65">
                  <c:v>92.274372593549046</c:v>
                </c:pt>
                <c:pt idx="66">
                  <c:v>93.172768030474487</c:v>
                </c:pt>
                <c:pt idx="67">
                  <c:v>93.325786703214845</c:v>
                </c:pt>
                <c:pt idx="68">
                  <c:v>93.879060915482768</c:v>
                </c:pt>
                <c:pt idx="69">
                  <c:v>94.628164574300669</c:v>
                </c:pt>
                <c:pt idx="70">
                  <c:v>94.840541064413671</c:v>
                </c:pt>
                <c:pt idx="71">
                  <c:v>95.022829086058493</c:v>
                </c:pt>
                <c:pt idx="72">
                  <c:v>95.655768718951933</c:v>
                </c:pt>
                <c:pt idx="73">
                  <c:v>96.292727891642244</c:v>
                </c:pt>
                <c:pt idx="74">
                  <c:v>95.97785821891766</c:v>
                </c:pt>
                <c:pt idx="75">
                  <c:v>93.41634239496922</c:v>
                </c:pt>
                <c:pt idx="76">
                  <c:v>95.102621752978635</c:v>
                </c:pt>
                <c:pt idx="77">
                  <c:v>98.568078504605523</c:v>
                </c:pt>
                <c:pt idx="78">
                  <c:v>97.729903059279692</c:v>
                </c:pt>
                <c:pt idx="79">
                  <c:v>98.109818374051258</c:v>
                </c:pt>
                <c:pt idx="80">
                  <c:v>99.692052204854662</c:v>
                </c:pt>
                <c:pt idx="81">
                  <c:v>98.095639846371171</c:v>
                </c:pt>
                <c:pt idx="82">
                  <c:v>98.606471633175701</c:v>
                </c:pt>
                <c:pt idx="83">
                  <c:v>97.783735402387222</c:v>
                </c:pt>
                <c:pt idx="84">
                  <c:v>95.135608742728834</c:v>
                </c:pt>
                <c:pt idx="85">
                  <c:v>92.14496394975022</c:v>
                </c:pt>
                <c:pt idx="86">
                  <c:v>93.307185329732164</c:v>
                </c:pt>
                <c:pt idx="87">
                  <c:v>90.563388796688429</c:v>
                </c:pt>
                <c:pt idx="88">
                  <c:v>89.245613728708264</c:v>
                </c:pt>
                <c:pt idx="89">
                  <c:v>88.515187753225717</c:v>
                </c:pt>
                <c:pt idx="90">
                  <c:v>88.925478218747685</c:v>
                </c:pt>
                <c:pt idx="91">
                  <c:v>90.977792288540726</c:v>
                </c:pt>
                <c:pt idx="92">
                  <c:v>91.530282204963342</c:v>
                </c:pt>
                <c:pt idx="93">
                  <c:v>92.194678183005109</c:v>
                </c:pt>
                <c:pt idx="94">
                  <c:v>92.871964856253086</c:v>
                </c:pt>
                <c:pt idx="95">
                  <c:v>94.651030489062933</c:v>
                </c:pt>
                <c:pt idx="96">
                  <c:v>95.584345920696123</c:v>
                </c:pt>
                <c:pt idx="97">
                  <c:v>94.655390198068019</c:v>
                </c:pt>
                <c:pt idx="98">
                  <c:v>93.566703828840204</c:v>
                </c:pt>
                <c:pt idx="99">
                  <c:v>92.284748958508686</c:v>
                </c:pt>
                <c:pt idx="100">
                  <c:v>92.066011791225705</c:v>
                </c:pt>
                <c:pt idx="101">
                  <c:v>94.516838555357225</c:v>
                </c:pt>
                <c:pt idx="102">
                  <c:v>95.611033981940892</c:v>
                </c:pt>
                <c:pt idx="103">
                  <c:v>95.636651684324818</c:v>
                </c:pt>
                <c:pt idx="104">
                  <c:v>95.428628901359332</c:v>
                </c:pt>
                <c:pt idx="105">
                  <c:v>95.546903163673903</c:v>
                </c:pt>
                <c:pt idx="106">
                  <c:v>95.548347964728819</c:v>
                </c:pt>
                <c:pt idx="107">
                  <c:v>94.334949074243085</c:v>
                </c:pt>
                <c:pt idx="108">
                  <c:v>94.146005197142955</c:v>
                </c:pt>
                <c:pt idx="109">
                  <c:v>93.599281148857045</c:v>
                </c:pt>
                <c:pt idx="110">
                  <c:v>92.731567551240744</c:v>
                </c:pt>
                <c:pt idx="111">
                  <c:v>92.354880029538521</c:v>
                </c:pt>
                <c:pt idx="112">
                  <c:v>92.283131366620836</c:v>
                </c:pt>
                <c:pt idx="113">
                  <c:v>91.104491891104075</c:v>
                </c:pt>
                <c:pt idx="114">
                  <c:v>89.96006238468928</c:v>
                </c:pt>
                <c:pt idx="115">
                  <c:v>89.561442517532313</c:v>
                </c:pt>
                <c:pt idx="116">
                  <c:v>86.969544033040606</c:v>
                </c:pt>
                <c:pt idx="117">
                  <c:v>84.669784889782633</c:v>
                </c:pt>
                <c:pt idx="118">
                  <c:v>86.83933193094083</c:v>
                </c:pt>
                <c:pt idx="119">
                  <c:v>86.160995019932216</c:v>
                </c:pt>
                <c:pt idx="120">
                  <c:v>86.232585554157367</c:v>
                </c:pt>
                <c:pt idx="121">
                  <c:v>85.290648996862544</c:v>
                </c:pt>
                <c:pt idx="122">
                  <c:v>84.836704724205575</c:v>
                </c:pt>
                <c:pt idx="123">
                  <c:v>83.102657645977459</c:v>
                </c:pt>
                <c:pt idx="124">
                  <c:v>84.66718948486654</c:v>
                </c:pt>
                <c:pt idx="125">
                  <c:v>84.859941205849907</c:v>
                </c:pt>
                <c:pt idx="126">
                  <c:v>85.968697133802237</c:v>
                </c:pt>
                <c:pt idx="127">
                  <c:v>85.883586081058581</c:v>
                </c:pt>
                <c:pt idx="128">
                  <c:v>83.746647474621867</c:v>
                </c:pt>
                <c:pt idx="129">
                  <c:v>85.359688747517936</c:v>
                </c:pt>
                <c:pt idx="130">
                  <c:v>83.312327592882795</c:v>
                </c:pt>
                <c:pt idx="131">
                  <c:v>82.631062191075159</c:v>
                </c:pt>
                <c:pt idx="132">
                  <c:v>84.687739353835283</c:v>
                </c:pt>
                <c:pt idx="133">
                  <c:v>85.403402745172514</c:v>
                </c:pt>
                <c:pt idx="134">
                  <c:v>84.684109716660885</c:v>
                </c:pt>
                <c:pt idx="135">
                  <c:v>79.89157548922077</c:v>
                </c:pt>
                <c:pt idx="136">
                  <c:v>80.340776743757118</c:v>
                </c:pt>
                <c:pt idx="137">
                  <c:v>82.396233675566748</c:v>
                </c:pt>
                <c:pt idx="138">
                  <c:v>81.747064158847579</c:v>
                </c:pt>
                <c:pt idx="139">
                  <c:v>82.232800156137841</c:v>
                </c:pt>
                <c:pt idx="140">
                  <c:v>82.491570245172383</c:v>
                </c:pt>
                <c:pt idx="141">
                  <c:v>83.15263270502345</c:v>
                </c:pt>
                <c:pt idx="142">
                  <c:v>82.796642500862546</c:v>
                </c:pt>
                <c:pt idx="143">
                  <c:v>82.384767112959949</c:v>
                </c:pt>
                <c:pt idx="144">
                  <c:v>82.314662342687157</c:v>
                </c:pt>
                <c:pt idx="145">
                  <c:v>83.426619134981649</c:v>
                </c:pt>
                <c:pt idx="146">
                  <c:v>81.505348143517793</c:v>
                </c:pt>
                <c:pt idx="147">
                  <c:v>81.010656485287925</c:v>
                </c:pt>
                <c:pt idx="148">
                  <c:v>81.625814282012414</c:v>
                </c:pt>
                <c:pt idx="149">
                  <c:v>81.815864251127763</c:v>
                </c:pt>
                <c:pt idx="150">
                  <c:v>83.899657290660329</c:v>
                </c:pt>
                <c:pt idx="151">
                  <c:v>84.480103970661986</c:v>
                </c:pt>
                <c:pt idx="152">
                  <c:v>84.024762546871528</c:v>
                </c:pt>
                <c:pt idx="153">
                  <c:v>84.349582475861524</c:v>
                </c:pt>
                <c:pt idx="154">
                  <c:v>85.367698810416542</c:v>
                </c:pt>
                <c:pt idx="155">
                  <c:v>84.929887742892745</c:v>
                </c:pt>
                <c:pt idx="156">
                  <c:v>85.386046068142065</c:v>
                </c:pt>
                <c:pt idx="157">
                  <c:v>84.667077994863774</c:v>
                </c:pt>
                <c:pt idx="158">
                  <c:v>83.852859651515161</c:v>
                </c:pt>
                <c:pt idx="159">
                  <c:v>82.132602368189538</c:v>
                </c:pt>
                <c:pt idx="160">
                  <c:v>84.313040069628329</c:v>
                </c:pt>
                <c:pt idx="161">
                  <c:v>83.007948519887947</c:v>
                </c:pt>
                <c:pt idx="162">
                  <c:v>81.927863894090251</c:v>
                </c:pt>
                <c:pt idx="163">
                  <c:v>81.796061167732034</c:v>
                </c:pt>
                <c:pt idx="164">
                  <c:v>82.274416175378107</c:v>
                </c:pt>
                <c:pt idx="165">
                  <c:v>81.633021428965819</c:v>
                </c:pt>
                <c:pt idx="166">
                  <c:v>83.509536935495674</c:v>
                </c:pt>
                <c:pt idx="167">
                  <c:v>86.309173773308586</c:v>
                </c:pt>
                <c:pt idx="168">
                  <c:v>84.6684225524223</c:v>
                </c:pt>
                <c:pt idx="169">
                  <c:v>84.474628195214038</c:v>
                </c:pt>
                <c:pt idx="170">
                  <c:v>82.926586568355432</c:v>
                </c:pt>
                <c:pt idx="171">
                  <c:v>81.831985570867602</c:v>
                </c:pt>
                <c:pt idx="172">
                  <c:v>82.312495992689577</c:v>
                </c:pt>
                <c:pt idx="173">
                  <c:v>83.178586928505382</c:v>
                </c:pt>
                <c:pt idx="174">
                  <c:v>85.947892809903209</c:v>
                </c:pt>
                <c:pt idx="175">
                  <c:v>84.688146287269262</c:v>
                </c:pt>
                <c:pt idx="176">
                  <c:v>83.390428595625778</c:v>
                </c:pt>
                <c:pt idx="177">
                  <c:v>84.263380715107473</c:v>
                </c:pt>
                <c:pt idx="178">
                  <c:v>82.646652695943374</c:v>
                </c:pt>
                <c:pt idx="179">
                  <c:v>73.567308102674005</c:v>
                </c:pt>
                <c:pt idx="180">
                  <c:v>74.643499512769665</c:v>
                </c:pt>
                <c:pt idx="181">
                  <c:v>74.429439380021122</c:v>
                </c:pt>
                <c:pt idx="182">
                  <c:v>73.921616911106227</c:v>
                </c:pt>
                <c:pt idx="183">
                  <c:v>76.245048302209398</c:v>
                </c:pt>
                <c:pt idx="184">
                  <c:v>77.683433099086585</c:v>
                </c:pt>
                <c:pt idx="185">
                  <c:v>79.541772157039986</c:v>
                </c:pt>
                <c:pt idx="186">
                  <c:v>81.225122790873726</c:v>
                </c:pt>
                <c:pt idx="187">
                  <c:v>81.661376841223429</c:v>
                </c:pt>
                <c:pt idx="188">
                  <c:v>81.876086142872609</c:v>
                </c:pt>
                <c:pt idx="189">
                  <c:v>83.638201465977332</c:v>
                </c:pt>
                <c:pt idx="190">
                  <c:v>84.648872474244371</c:v>
                </c:pt>
                <c:pt idx="191">
                  <c:v>85.098658527707258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B-4345-979C-CDB393419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078111"/>
        <c:axId val="1914080031"/>
      </c:lineChart>
      <c:dateAx>
        <c:axId val="191407811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914080031"/>
        <c:crosses val="autoZero"/>
        <c:auto val="1"/>
        <c:lblOffset val="100"/>
        <c:baseTimeUnit val="months"/>
      </c:dateAx>
      <c:valAx>
        <c:axId val="1914080031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oppins" panose="00000500000000000000" pitchFamily="2" charset="0"/>
                <a:ea typeface="+mn-ea"/>
                <a:cs typeface="Poppins" panose="00000500000000000000" pitchFamily="2" charset="0"/>
              </a:defRPr>
            </a:pPr>
            <a:endParaRPr lang="es-AR"/>
          </a:p>
        </c:txPr>
        <c:crossAx val="191407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Poppins" panose="00000500000000000000" pitchFamily="2" charset="0"/>
          <a:cs typeface="Poppins" panose="00000500000000000000" pitchFamily="2" charset="0"/>
        </a:defRPr>
      </a:pPr>
      <a:endParaRPr lang="es-A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áfico4"/>
  <sheetViews>
    <sheetView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áfico5"/>
  <sheetViews>
    <sheetView zoomScale="12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5B6B7CF-AFB4-4FA1-9633-C82518D4CA74}">
  <sheetPr codeName="Gráfico6"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1157CF-368A-42BD-B79C-F1A685D95F2A}">
  <sheetPr codeName="Gráfico7"/>
  <sheetViews>
    <sheetView zoomScale="12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BEFEF7-5F7A-4C7F-B67A-1F20B02BEE13}">
  <sheetPr codeName="Gráfico8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AA8B156-D467-44C6-8E8A-E6FCC7DDB97F}">
  <sheetPr codeName="Gráfico1"/>
  <sheetViews>
    <sheetView zoomScale="132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áfico9"/>
  <sheetViews>
    <sheetView zoomScale="8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áfico10"/>
  <sheetViews>
    <sheetView zoomScale="90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áfico11"/>
  <sheetViews>
    <sheetView zoomScale="115"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9963D9-A015-48EF-9D08-587F290457A1}">
  <sheetPr codeName="Gráfico2"/>
  <sheetViews>
    <sheetView zoomScale="85"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ico14"/>
  <sheetViews>
    <sheetView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643A840-A3B7-425E-AF18-249E0BFB8B9D}">
  <sheetPr codeName="Gráfico15"/>
  <sheetViews>
    <sheetView zoomScale="85"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áfico16"/>
  <sheetViews>
    <sheetView zoomScale="130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áfico17"/>
  <sheetViews>
    <sheetView zoomScale="132" workbookViewId="0" zoomToFit="1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áfico20"/>
  <sheetViews>
    <sheetView tabSelected="1" zoomScale="136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áfico21"/>
  <sheetViews>
    <sheetView zoomScale="70" workbookViewId="0"/>
  </sheetViews>
  <pageMargins left="0.7" right="0.7" top="0.75" bottom="0.75" header="0.3" footer="0.3"/>
  <drawing r:id="rId1"/>
</chartsheet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0</xdr:rowOff>
        </xdr:from>
        <xdr:to>
          <xdr:col>9</xdr:col>
          <xdr:colOff>190500</xdr:colOff>
          <xdr:row>2</xdr:row>
          <xdr:rowOff>139700</xdr:rowOff>
        </xdr:to>
        <xdr:sp macro="" textlink="">
          <xdr:nvSpPr>
            <xdr:cNvPr id="18433" name="Butto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Todo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0</xdr:rowOff>
        </xdr:from>
        <xdr:to>
          <xdr:col>9</xdr:col>
          <xdr:colOff>190500</xdr:colOff>
          <xdr:row>2</xdr:row>
          <xdr:rowOff>139700</xdr:rowOff>
        </xdr:to>
        <xdr:sp macro="" textlink="">
          <xdr:nvSpPr>
            <xdr:cNvPr id="18434" name="Butto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Todo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0</xdr:rowOff>
        </xdr:from>
        <xdr:to>
          <xdr:col>9</xdr:col>
          <xdr:colOff>190500</xdr:colOff>
          <xdr:row>2</xdr:row>
          <xdr:rowOff>139700</xdr:rowOff>
        </xdr:to>
        <xdr:sp macro="" textlink="">
          <xdr:nvSpPr>
            <xdr:cNvPr id="18435" name="Butto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Todo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</xdr:row>
          <xdr:rowOff>0</xdr:rowOff>
        </xdr:from>
        <xdr:to>
          <xdr:col>9</xdr:col>
          <xdr:colOff>444500</xdr:colOff>
          <xdr:row>4</xdr:row>
          <xdr:rowOff>101600</xdr:rowOff>
        </xdr:to>
        <xdr:sp macro="" textlink="">
          <xdr:nvSpPr>
            <xdr:cNvPr id="18436" name="Button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Graf 1,3,5 (12 meses)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5</xdr:row>
          <xdr:rowOff>0</xdr:rowOff>
        </xdr:from>
        <xdr:to>
          <xdr:col>9</xdr:col>
          <xdr:colOff>444500</xdr:colOff>
          <xdr:row>6</xdr:row>
          <xdr:rowOff>101600</xdr:rowOff>
        </xdr:to>
        <xdr:sp macro="" textlink="">
          <xdr:nvSpPr>
            <xdr:cNvPr id="18437" name="Button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1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Graf 2,4,6,7,8,18 (marcador)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0</xdr:colOff>
          <xdr:row>1</xdr:row>
          <xdr:rowOff>0</xdr:rowOff>
        </xdr:from>
        <xdr:to>
          <xdr:col>37</xdr:col>
          <xdr:colOff>749300</xdr:colOff>
          <xdr:row>1</xdr:row>
          <xdr:rowOff>317500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2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T.2.2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0</xdr:colOff>
          <xdr:row>1</xdr:row>
          <xdr:rowOff>0</xdr:rowOff>
        </xdr:from>
        <xdr:to>
          <xdr:col>37</xdr:col>
          <xdr:colOff>749300</xdr:colOff>
          <xdr:row>1</xdr:row>
          <xdr:rowOff>317500</xdr:rowOff>
        </xdr:to>
        <xdr:sp macro="" textlink="">
          <xdr:nvSpPr>
            <xdr:cNvPr id="16386" name="Button 2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2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T.2.2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0</xdr:colOff>
          <xdr:row>1</xdr:row>
          <xdr:rowOff>0</xdr:rowOff>
        </xdr:from>
        <xdr:to>
          <xdr:col>37</xdr:col>
          <xdr:colOff>749300</xdr:colOff>
          <xdr:row>1</xdr:row>
          <xdr:rowOff>317500</xdr:rowOff>
        </xdr:to>
        <xdr:sp macro="" textlink="">
          <xdr:nvSpPr>
            <xdr:cNvPr id="16387" name="Button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2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T.2.2</a:t>
              </a:r>
            </a:p>
          </xdr:txBody>
        </xdr:sp>
        <xdr:clientData fPrintsWithSheet="0"/>
      </xdr:twoCellAnchor>
    </mc:Choice>
    <mc:Fallback/>
  </mc:AlternateContent>
  <xdr:twoCellAnchor>
    <xdr:from>
      <xdr:col>7</xdr:col>
      <xdr:colOff>595318</xdr:colOff>
      <xdr:row>236</xdr:row>
      <xdr:rowOff>202415</xdr:rowOff>
    </xdr:from>
    <xdr:to>
      <xdr:col>14</xdr:col>
      <xdr:colOff>142873</xdr:colOff>
      <xdr:row>248</xdr:row>
      <xdr:rowOff>178593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E6FAAB-3363-A86B-B59F-9102018D4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75B51C-50E7-064A-1836-1428911A22C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F387C2-AB57-106E-5F4A-6DFD8C4880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16DC788-C740-F2FF-26BB-1E063C69C5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06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B5999E-F0CC-3597-D994-1A55F71988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9222" cy="605366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A623C5-0602-2811-4198-336E8C2F6B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6287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05AD99-DC86-2688-5554-A97999020C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88F364-CCC5-0F97-07BD-BAF00764080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0</xdr:colOff>
          <xdr:row>1</xdr:row>
          <xdr:rowOff>0</xdr:rowOff>
        </xdr:from>
        <xdr:to>
          <xdr:col>35</xdr:col>
          <xdr:colOff>736600</xdr:colOff>
          <xdr:row>2</xdr:row>
          <xdr:rowOff>63500</xdr:rowOff>
        </xdr:to>
        <xdr:sp macro="" textlink="">
          <xdr:nvSpPr>
            <xdr:cNvPr id="19457" name="Butto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D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A.2.2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0</xdr:colOff>
          <xdr:row>1</xdr:row>
          <xdr:rowOff>0</xdr:rowOff>
        </xdr:from>
        <xdr:to>
          <xdr:col>35</xdr:col>
          <xdr:colOff>736600</xdr:colOff>
          <xdr:row>2</xdr:row>
          <xdr:rowOff>63500</xdr:rowOff>
        </xdr:to>
        <xdr:sp macro="" textlink="">
          <xdr:nvSpPr>
            <xdr:cNvPr id="19458" name="Button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00000000-0008-0000-0D00-000002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A.2.2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34</xdr:col>
          <xdr:colOff>0</xdr:colOff>
          <xdr:row>1</xdr:row>
          <xdr:rowOff>0</xdr:rowOff>
        </xdr:from>
        <xdr:to>
          <xdr:col>35</xdr:col>
          <xdr:colOff>736600</xdr:colOff>
          <xdr:row>2</xdr:row>
          <xdr:rowOff>63500</xdr:rowOff>
        </xdr:to>
        <xdr:sp macro="" textlink="">
          <xdr:nvSpPr>
            <xdr:cNvPr id="19459" name="Button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00000000-0008-0000-0D00-000003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A.2.2</a:t>
              </a:r>
            </a:p>
          </xdr:txBody>
        </xdr:sp>
        <xdr:clientData fPrintsWithSheet="0"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745068</xdr:colOff>
      <xdr:row>41</xdr:row>
      <xdr:rowOff>25399</xdr:rowOff>
    </xdr:from>
    <xdr:to>
      <xdr:col>24</xdr:col>
      <xdr:colOff>389466</xdr:colOff>
      <xdr:row>59</xdr:row>
      <xdr:rowOff>228600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95F024F-CBAE-476C-A341-8152FEC30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61</xdr:row>
      <xdr:rowOff>0</xdr:rowOff>
    </xdr:from>
    <xdr:to>
      <xdr:col>23</xdr:col>
      <xdr:colOff>440265</xdr:colOff>
      <xdr:row>91</xdr:row>
      <xdr:rowOff>16934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E7D1508-2287-49CD-A0B8-F88E98F198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95A0B5-9DF0-90FC-F7C7-3487829005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23294" cy="60810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FC6EA3-3F2A-BF0F-3B56-340144831F1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10077" cy="607646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4F3271-4F44-F611-A889-934977A6E99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313333" cy="60806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056288-6BE5-4D98-F813-25E2DC8EBB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0</xdr:colOff>
          <xdr:row>1</xdr:row>
          <xdr:rowOff>0</xdr:rowOff>
        </xdr:from>
        <xdr:to>
          <xdr:col>30</xdr:col>
          <xdr:colOff>736600</xdr:colOff>
          <xdr:row>2</xdr:row>
          <xdr:rowOff>63500</xdr:rowOff>
        </xdr:to>
        <xdr:sp macro="" textlink="">
          <xdr:nvSpPr>
            <xdr:cNvPr id="20481" name="Button 1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00000000-0008-0000-1300-000001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A.5.2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0</xdr:colOff>
          <xdr:row>1</xdr:row>
          <xdr:rowOff>0</xdr:rowOff>
        </xdr:from>
        <xdr:to>
          <xdr:col>30</xdr:col>
          <xdr:colOff>736600</xdr:colOff>
          <xdr:row>2</xdr:row>
          <xdr:rowOff>63500</xdr:rowOff>
        </xdr:to>
        <xdr:sp macro="" textlink="">
          <xdr:nvSpPr>
            <xdr:cNvPr id="20482" name="Button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13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A.5.2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0</xdr:colOff>
          <xdr:row>1</xdr:row>
          <xdr:rowOff>0</xdr:rowOff>
        </xdr:from>
        <xdr:to>
          <xdr:col>30</xdr:col>
          <xdr:colOff>736600</xdr:colOff>
          <xdr:row>2</xdr:row>
          <xdr:rowOff>63500</xdr:rowOff>
        </xdr:to>
        <xdr:sp macro="" textlink="">
          <xdr:nvSpPr>
            <xdr:cNvPr id="20483" name="Button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00000000-0008-0000-1300-000003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A.5.2</a:t>
              </a:r>
            </a:p>
          </xdr:txBody>
        </xdr:sp>
        <xdr:clientData fPrintsWithSheet="0"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</xdr:row>
          <xdr:rowOff>0</xdr:rowOff>
        </xdr:from>
        <xdr:to>
          <xdr:col>17</xdr:col>
          <xdr:colOff>736600</xdr:colOff>
          <xdr:row>2</xdr:row>
          <xdr:rowOff>63500</xdr:rowOff>
        </xdr:to>
        <xdr:sp macro="" textlink="">
          <xdr:nvSpPr>
            <xdr:cNvPr id="21505" name="Button 1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00000000-0008-0000-1400-000001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</xdr:row>
          <xdr:rowOff>0</xdr:rowOff>
        </xdr:from>
        <xdr:to>
          <xdr:col>17</xdr:col>
          <xdr:colOff>736600</xdr:colOff>
          <xdr:row>2</xdr:row>
          <xdr:rowOff>63500</xdr:rowOff>
        </xdr:to>
        <xdr:sp macro="" textlink="">
          <xdr:nvSpPr>
            <xdr:cNvPr id="21506" name="Button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00000000-0008-0000-1400-000002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</xdr:row>
          <xdr:rowOff>0</xdr:rowOff>
        </xdr:from>
        <xdr:to>
          <xdr:col>17</xdr:col>
          <xdr:colOff>736600</xdr:colOff>
          <xdr:row>2</xdr:row>
          <xdr:rowOff>63500</xdr:rowOff>
        </xdr:to>
        <xdr:sp macro="" textlink="">
          <xdr:nvSpPr>
            <xdr:cNvPr id="21507" name="Button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00000000-0008-0000-1400-0000035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Actualizar A.4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CC4088-2976-F1EB-FFF9-DEA89FD73DB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307286" cy="605971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C60391-2B43-8F82-2270-5EA4710E92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EDIL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D5B79"/>
      </a:accent1>
      <a:accent2>
        <a:srgbClr val="468B97"/>
      </a:accent2>
      <a:accent3>
        <a:srgbClr val="EF6262"/>
      </a:accent3>
      <a:accent4>
        <a:srgbClr val="F3AA60"/>
      </a:accent4>
      <a:accent5>
        <a:srgbClr val="999999"/>
      </a:accent5>
      <a:accent6>
        <a:srgbClr val="F79646"/>
      </a:accent6>
      <a:hlink>
        <a:srgbClr val="0000FF"/>
      </a:hlink>
      <a:folHlink>
        <a:srgbClr val="800080"/>
      </a:folHlink>
    </a:clrScheme>
    <a:fontScheme name="Analytica">
      <a:majorFont>
        <a:latin typeface="Poppins"/>
        <a:ea typeface=""/>
        <a:cs typeface=""/>
      </a:majorFont>
      <a:minorFont>
        <a:latin typeface="Poppi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EDIL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1D5B79"/>
    </a:accent1>
    <a:accent2>
      <a:srgbClr val="468B97"/>
    </a:accent2>
    <a:accent3>
      <a:srgbClr val="EF6262"/>
    </a:accent3>
    <a:accent4>
      <a:srgbClr val="F3AA60"/>
    </a:accent4>
    <a:accent5>
      <a:srgbClr val="999999"/>
    </a:accent5>
    <a:accent6>
      <a:srgbClr val="F79646"/>
    </a:accent6>
    <a:hlink>
      <a:srgbClr val="0000FF"/>
    </a:hlink>
    <a:folHlink>
      <a:srgbClr val="800080"/>
    </a:folHlink>
  </a:clrScheme>
  <a:fontScheme name="Analytica">
    <a:majorFont>
      <a:latin typeface="Poppins"/>
      <a:ea typeface=""/>
      <a:cs typeface=""/>
    </a:majorFont>
    <a:minorFont>
      <a:latin typeface="Poppins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3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9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0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6"/>
  <sheetViews>
    <sheetView workbookViewId="0">
      <selection activeCell="E2" sqref="E2"/>
    </sheetView>
  </sheetViews>
  <sheetFormatPr baseColWidth="10" defaultColWidth="11.42578125" defaultRowHeight="18" x14ac:dyDescent="0.3"/>
  <cols>
    <col min="1" max="16384" width="11.42578125" style="1"/>
  </cols>
  <sheetData>
    <row r="1" spans="1:5" x14ac:dyDescent="0.3">
      <c r="A1" s="27" t="s">
        <v>24</v>
      </c>
      <c r="B1" s="33" t="s">
        <v>25</v>
      </c>
      <c r="C1" s="51" t="s">
        <v>26</v>
      </c>
      <c r="D1" s="34" t="s">
        <v>27</v>
      </c>
      <c r="E1" s="23" t="s">
        <v>28</v>
      </c>
    </row>
    <row r="2" spans="1:5" x14ac:dyDescent="0.3">
      <c r="A2" s="16" t="s">
        <v>19</v>
      </c>
      <c r="B2" s="16">
        <v>238</v>
      </c>
      <c r="C2" s="16">
        <v>98</v>
      </c>
      <c r="D2" s="16">
        <v>97</v>
      </c>
      <c r="E2" s="28"/>
    </row>
    <row r="3" spans="1:5" x14ac:dyDescent="0.3">
      <c r="A3" s="16" t="s">
        <v>20</v>
      </c>
      <c r="B3" s="16">
        <v>243</v>
      </c>
      <c r="C3" s="16">
        <v>169</v>
      </c>
      <c r="D3" s="16">
        <v>96</v>
      </c>
      <c r="E3" s="29"/>
    </row>
    <row r="4" spans="1:5" x14ac:dyDescent="0.3">
      <c r="A4" s="16" t="s">
        <v>21</v>
      </c>
      <c r="B4" s="16">
        <v>30</v>
      </c>
      <c r="C4" s="16">
        <v>91</v>
      </c>
      <c r="D4" s="16">
        <v>120</v>
      </c>
      <c r="E4" s="30"/>
    </row>
    <row r="5" spans="1:5" x14ac:dyDescent="0.3">
      <c r="A5" s="16" t="s">
        <v>22</v>
      </c>
      <c r="B5" s="16">
        <v>22</v>
      </c>
      <c r="C5" s="16">
        <v>74</v>
      </c>
      <c r="D5" s="16">
        <v>96</v>
      </c>
      <c r="E5" s="31"/>
    </row>
    <row r="6" spans="1:5" x14ac:dyDescent="0.3">
      <c r="A6" s="16" t="s">
        <v>23</v>
      </c>
      <c r="B6" s="16">
        <v>70</v>
      </c>
      <c r="C6" s="16">
        <v>138</v>
      </c>
      <c r="D6" s="16">
        <v>151</v>
      </c>
      <c r="E6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46B4-62CC-43C7-9138-2D230C901394}">
  <sheetPr codeName="Hoja2"/>
  <dimension ref="A3:F22"/>
  <sheetViews>
    <sheetView workbookViewId="0">
      <selection activeCell="B10" sqref="B10"/>
    </sheetView>
  </sheetViews>
  <sheetFormatPr baseColWidth="10" defaultRowHeight="18" x14ac:dyDescent="0.3"/>
  <cols>
    <col min="1" max="1" width="21.7109375" customWidth="1"/>
    <col min="4" max="4" width="23.7109375" customWidth="1"/>
    <col min="5" max="5" width="21.7109375" customWidth="1"/>
    <col min="7" max="7" width="21.7109375" customWidth="1"/>
  </cols>
  <sheetData>
    <row r="3" spans="1:6" x14ac:dyDescent="0.3">
      <c r="A3" s="116" t="s">
        <v>122</v>
      </c>
      <c r="B3" s="115"/>
      <c r="E3" s="122" t="s">
        <v>112</v>
      </c>
      <c r="F3" s="29"/>
    </row>
    <row r="4" spans="1:6" x14ac:dyDescent="0.3">
      <c r="A4" s="119" t="s">
        <v>113</v>
      </c>
      <c r="B4" s="111">
        <f>'T.2.2'!L180/1000</f>
        <v>-9.0590000000001965</v>
      </c>
      <c r="E4" s="117" t="s">
        <v>113</v>
      </c>
      <c r="F4" s="111">
        <f>'T.2.2'!R180/1000</f>
        <v>-2.1152275669753529E-6</v>
      </c>
    </row>
    <row r="5" spans="1:6" x14ac:dyDescent="0.3">
      <c r="A5" s="119" t="s">
        <v>114</v>
      </c>
      <c r="B5" s="111">
        <f>'T.2.2'!M180/1000</f>
        <v>0.73599999999987631</v>
      </c>
      <c r="E5" s="117" t="s">
        <v>114</v>
      </c>
      <c r="F5" s="111">
        <f>'T.2.2'!S180/1000</f>
        <v>-323.98400000000032</v>
      </c>
    </row>
    <row r="6" spans="1:6" x14ac:dyDescent="0.3">
      <c r="A6" s="119" t="s">
        <v>11</v>
      </c>
      <c r="B6" s="111">
        <f>'T.2.2'!N180/1000</f>
        <v>1.3519999999999754</v>
      </c>
      <c r="E6" s="117" t="s">
        <v>11</v>
      </c>
      <c r="F6" s="111">
        <f>'T.2.2'!T180/1000</f>
        <v>-3.1321731152498477E-5</v>
      </c>
    </row>
    <row r="7" spans="1:6" x14ac:dyDescent="0.3">
      <c r="A7" s="119" t="s">
        <v>58</v>
      </c>
      <c r="B7" s="111">
        <f>'T.2.2'!K180/1000</f>
        <v>-6.9709999999995489</v>
      </c>
      <c r="E7" s="118" t="s">
        <v>58</v>
      </c>
      <c r="F7" s="111">
        <f>'T.2.2'!Q180/1000</f>
        <v>-21.238999999999578</v>
      </c>
    </row>
    <row r="8" spans="1:6" x14ac:dyDescent="0.3">
      <c r="A8" s="110"/>
      <c r="B8" s="112"/>
      <c r="E8" s="110"/>
      <c r="F8" s="112"/>
    </row>
    <row r="9" spans="1:6" x14ac:dyDescent="0.3">
      <c r="A9" s="120" t="s">
        <v>123</v>
      </c>
      <c r="B9" s="113">
        <v>-5.0000000000000001E-3</v>
      </c>
      <c r="E9" s="122" t="s">
        <v>115</v>
      </c>
      <c r="F9" s="113">
        <v>1E-3</v>
      </c>
    </row>
    <row r="10" spans="1:6" x14ac:dyDescent="0.3">
      <c r="A10" s="110"/>
      <c r="B10" s="113"/>
      <c r="E10" s="110"/>
      <c r="F10" s="113"/>
    </row>
    <row r="11" spans="1:6" x14ac:dyDescent="0.3">
      <c r="A11" s="116" t="s">
        <v>124</v>
      </c>
      <c r="B11" s="114">
        <f>A.4!L202</f>
        <v>6.0678594084089266E-3</v>
      </c>
      <c r="E11" s="122" t="s">
        <v>116</v>
      </c>
      <c r="F11" s="114">
        <f>A.4!R199</f>
        <v>0</v>
      </c>
    </row>
    <row r="14" spans="1:6" x14ac:dyDescent="0.3">
      <c r="A14" s="116" t="s">
        <v>112</v>
      </c>
      <c r="B14" s="115"/>
    </row>
    <row r="15" spans="1:6" x14ac:dyDescent="0.3">
      <c r="A15" s="119" t="s">
        <v>113</v>
      </c>
      <c r="B15" s="121">
        <f>'T.2.2'!L180</f>
        <v>-9059.0000000001965</v>
      </c>
    </row>
    <row r="16" spans="1:6" x14ac:dyDescent="0.3">
      <c r="A16" s="119" t="s">
        <v>114</v>
      </c>
      <c r="B16" s="121">
        <f>'T.2.2'!M180</f>
        <v>735.99999999987631</v>
      </c>
    </row>
    <row r="17" spans="1:2" x14ac:dyDescent="0.3">
      <c r="A17" s="119" t="s">
        <v>11</v>
      </c>
      <c r="B17" s="121">
        <f>'T.2.2'!N180</f>
        <v>1351.9999999999754</v>
      </c>
    </row>
    <row r="18" spans="1:2" x14ac:dyDescent="0.3">
      <c r="A18" s="119" t="s">
        <v>58</v>
      </c>
      <c r="B18" s="121">
        <f>'T.2.2'!K180</f>
        <v>-6970.9999999995489</v>
      </c>
    </row>
    <row r="19" spans="1:2" x14ac:dyDescent="0.3">
      <c r="A19" s="110"/>
      <c r="B19" s="112"/>
    </row>
    <row r="20" spans="1:2" x14ac:dyDescent="0.3">
      <c r="A20" s="120" t="s">
        <v>115</v>
      </c>
      <c r="B20" s="113">
        <v>1E-3</v>
      </c>
    </row>
    <row r="21" spans="1:2" x14ac:dyDescent="0.3">
      <c r="A21" s="110"/>
      <c r="B21" s="113"/>
    </row>
    <row r="22" spans="1:2" x14ac:dyDescent="0.3">
      <c r="A22" s="116" t="s">
        <v>116</v>
      </c>
      <c r="B22" s="114">
        <f>A.4!L199</f>
        <v>-2.0910364719408436E-2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Button 1">
              <controlPr defaultSize="0" print="0" autoFill="0" autoPict="0" macro="[0]!ActualizarTodo">
                <anchor moveWithCells="1" sizeWithCells="1">
                  <from>
                    <xdr:col>7</xdr:col>
                    <xdr:colOff>0</xdr:colOff>
                    <xdr:row>1</xdr:row>
                    <xdr:rowOff>0</xdr:rowOff>
                  </from>
                  <to>
                    <xdr:col>9</xdr:col>
                    <xdr:colOff>190500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4" name="Button 2">
              <controlPr defaultSize="0" print="0" autoFill="0" autoPict="0" macro="[0]!ActualizarTodo">
                <anchor moveWithCells="1" sizeWithCells="1">
                  <from>
                    <xdr:col>7</xdr:col>
                    <xdr:colOff>0</xdr:colOff>
                    <xdr:row>1</xdr:row>
                    <xdr:rowOff>0</xdr:rowOff>
                  </from>
                  <to>
                    <xdr:col>9</xdr:col>
                    <xdr:colOff>190500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Button 3">
              <controlPr defaultSize="0" print="0" autoFill="0" autoPict="0" macro="[0]!ActualizarTodo">
                <anchor moveWithCells="1" sizeWithCells="1">
                  <from>
                    <xdr:col>7</xdr:col>
                    <xdr:colOff>0</xdr:colOff>
                    <xdr:row>1</xdr:row>
                    <xdr:rowOff>0</xdr:rowOff>
                  </from>
                  <to>
                    <xdr:col>9</xdr:col>
                    <xdr:colOff>190500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6" name="Button 4">
              <controlPr defaultSize="0" print="0" autoFill="0" autoPict="0" macro="[0]!ActualizarGraficos_12meses">
                <anchor moveWithCells="1" sizeWithCells="1">
                  <from>
                    <xdr:col>7</xdr:col>
                    <xdr:colOff>0</xdr:colOff>
                    <xdr:row>3</xdr:row>
                    <xdr:rowOff>0</xdr:rowOff>
                  </from>
                  <to>
                    <xdr:col>9</xdr:col>
                    <xdr:colOff>444500</xdr:colOff>
                    <xdr:row>4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7" name="Button 5">
              <controlPr defaultSize="0" print="0" autoFill="0" autoPict="0" macro="[0]!ActualizarGraficos_Marcador">
                <anchor moveWithCells="1" siz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444500</xdr:colOff>
                    <xdr:row>6</xdr:row>
                    <xdr:rowOff>101600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F3A960"/>
  </sheetPr>
  <dimension ref="A1:AI244"/>
  <sheetViews>
    <sheetView zoomScale="110" zoomScaleNormal="80" workbookViewId="0">
      <pane xSplit="1" ySplit="2" topLeftCell="J170" activePane="bottomRight" state="frozen"/>
      <selection pane="topRight" activeCell="B1" sqref="B1"/>
      <selection pane="bottomLeft" activeCell="A3" sqref="A3"/>
      <selection pane="bottomRight" activeCell="L183" sqref="L183"/>
    </sheetView>
  </sheetViews>
  <sheetFormatPr baseColWidth="10" defaultColWidth="11.42578125" defaultRowHeight="18" x14ac:dyDescent="0.3"/>
  <cols>
    <col min="1" max="1" width="12.42578125" style="15" customWidth="1"/>
    <col min="2" max="8" width="15.7109375" style="15" customWidth="1"/>
    <col min="9" max="9" width="4.7109375" style="15" customWidth="1"/>
    <col min="10" max="10" width="21" style="15" customWidth="1"/>
    <col min="11" max="14" width="13.28515625" style="16" customWidth="1"/>
    <col min="15" max="15" width="13.28515625" style="17" customWidth="1"/>
    <col min="16" max="16" width="5.140625" style="15" customWidth="1"/>
    <col min="17" max="20" width="13.28515625" style="15" customWidth="1"/>
    <col min="21" max="21" width="5.140625" style="15" customWidth="1"/>
    <col min="22" max="25" width="13.28515625" style="15" customWidth="1"/>
    <col min="26" max="26" width="5.140625" style="15" customWidth="1"/>
    <col min="27" max="30" width="13.28515625" style="15" customWidth="1"/>
    <col min="31" max="16384" width="11.42578125" style="15"/>
  </cols>
  <sheetData>
    <row r="1" spans="1:35" x14ac:dyDescent="0.3">
      <c r="A1" s="52" t="s">
        <v>91</v>
      </c>
      <c r="Q1" s="153" t="s">
        <v>13</v>
      </c>
      <c r="R1" s="153"/>
      <c r="S1" s="153"/>
      <c r="T1" s="153"/>
      <c r="V1" s="153" t="s">
        <v>9</v>
      </c>
      <c r="W1" s="153"/>
      <c r="X1" s="153"/>
      <c r="Y1" s="153"/>
      <c r="AA1" s="153" t="s">
        <v>10</v>
      </c>
      <c r="AB1" s="153"/>
      <c r="AC1" s="153"/>
      <c r="AD1" s="153"/>
      <c r="AF1" s="153" t="s">
        <v>107</v>
      </c>
      <c r="AG1" s="153"/>
      <c r="AH1" s="153"/>
      <c r="AI1" s="153"/>
    </row>
    <row r="2" spans="1:35" ht="76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Q2" s="21" t="s">
        <v>14</v>
      </c>
      <c r="R2" s="21" t="s">
        <v>15</v>
      </c>
      <c r="S2" s="21" t="s">
        <v>16</v>
      </c>
      <c r="T2" s="21" t="s">
        <v>17</v>
      </c>
      <c r="V2" s="21" t="s">
        <v>14</v>
      </c>
      <c r="W2" s="21" t="s">
        <v>15</v>
      </c>
      <c r="X2" s="21" t="s">
        <v>16</v>
      </c>
      <c r="Y2" s="21" t="s">
        <v>17</v>
      </c>
      <c r="AA2" s="21" t="s">
        <v>14</v>
      </c>
      <c r="AB2" s="21" t="s">
        <v>15</v>
      </c>
      <c r="AC2" s="21" t="s">
        <v>16</v>
      </c>
      <c r="AD2" s="21" t="s">
        <v>17</v>
      </c>
      <c r="AF2" s="21" t="s">
        <v>14</v>
      </c>
      <c r="AG2" s="21" t="s">
        <v>15</v>
      </c>
      <c r="AH2" s="21" t="s">
        <v>16</v>
      </c>
      <c r="AI2" s="21" t="s">
        <v>17</v>
      </c>
    </row>
    <row r="3" spans="1:35" x14ac:dyDescent="0.3">
      <c r="A3" s="5">
        <v>40909</v>
      </c>
      <c r="B3" s="6">
        <v>6068.2160000000003</v>
      </c>
      <c r="C3" s="6">
        <v>2549.8609999999999</v>
      </c>
      <c r="D3" s="6">
        <v>389.74900000000002</v>
      </c>
      <c r="E3" s="6">
        <v>408.233</v>
      </c>
      <c r="F3" s="6">
        <v>1314.711</v>
      </c>
      <c r="G3" s="6">
        <v>167.762</v>
      </c>
      <c r="H3" s="7">
        <f>+SUM(B3:G3)</f>
        <v>10898.532000000001</v>
      </c>
      <c r="J3" s="25">
        <f t="shared" ref="J3:J66" si="0">A3</f>
        <v>40909</v>
      </c>
      <c r="K3" s="18">
        <f>B3+C3+D3</f>
        <v>9007.8260000000009</v>
      </c>
      <c r="L3" s="18">
        <f>B3</f>
        <v>6068.2160000000003</v>
      </c>
      <c r="M3" s="18">
        <f>C3</f>
        <v>2549.8609999999999</v>
      </c>
      <c r="N3" s="18">
        <f>D3</f>
        <v>389.74900000000002</v>
      </c>
      <c r="O3" s="19">
        <f>E3+F3+G3</f>
        <v>1890.7059999999999</v>
      </c>
    </row>
    <row r="4" spans="1:35" x14ac:dyDescent="0.3">
      <c r="A4" s="8">
        <v>40940</v>
      </c>
      <c r="B4" s="9">
        <v>6062.0940000000001</v>
      </c>
      <c r="C4" s="10">
        <v>2610.4430000000002</v>
      </c>
      <c r="D4" s="11">
        <v>390.32900000000001</v>
      </c>
      <c r="E4" s="11">
        <v>408.14400000000001</v>
      </c>
      <c r="F4" s="11">
        <v>1314.5319999999999</v>
      </c>
      <c r="G4" s="11">
        <v>168.91300000000001</v>
      </c>
      <c r="H4" s="7">
        <f t="shared" ref="H4:H67" si="1">+SUM(B4:G4)</f>
        <v>10954.455</v>
      </c>
      <c r="J4" s="25">
        <f t="shared" si="0"/>
        <v>40940</v>
      </c>
      <c r="K4" s="18">
        <f t="shared" ref="K4:K67" si="2">B4+C4+D4</f>
        <v>9062.866</v>
      </c>
      <c r="L4" s="18">
        <f t="shared" ref="L4:L67" si="3">B4</f>
        <v>6062.0940000000001</v>
      </c>
      <c r="M4" s="18">
        <f t="shared" ref="M4:M67" si="4">C4</f>
        <v>2610.4430000000002</v>
      </c>
      <c r="N4" s="18">
        <f t="shared" ref="N4:N67" si="5">D4</f>
        <v>390.32900000000001</v>
      </c>
      <c r="O4" s="19">
        <f t="shared" ref="O4:O67" si="6">E4+F4+G4</f>
        <v>1891.5889999999999</v>
      </c>
      <c r="Q4" s="24">
        <f>(K4-K3)*1000</f>
        <v>55039.999999999054</v>
      </c>
      <c r="R4" s="22">
        <f>K4/K3-1</f>
        <v>6.1102423603651701E-3</v>
      </c>
      <c r="V4" s="26">
        <f>(L4-L3)*1000</f>
        <v>-6122.0000000002983</v>
      </c>
      <c r="W4" s="22">
        <f>L4/L3-1</f>
        <v>-1.0088632309727119E-3</v>
      </c>
      <c r="AA4" s="26">
        <f>(M4-M3)*1000</f>
        <v>60582.000000000335</v>
      </c>
      <c r="AB4" s="22">
        <f>M4/M3-1</f>
        <v>2.3758942154101792E-2</v>
      </c>
      <c r="AF4" s="26">
        <f>(N4-N3)*1000</f>
        <v>579.99999999998408</v>
      </c>
      <c r="AG4" s="22">
        <f>N4/N3-1</f>
        <v>1.4881372370423307E-3</v>
      </c>
    </row>
    <row r="5" spans="1:35" x14ac:dyDescent="0.3">
      <c r="A5" s="8">
        <v>40969</v>
      </c>
      <c r="B5" s="9">
        <v>6072.366</v>
      </c>
      <c r="C5" s="10">
        <v>2622.473</v>
      </c>
      <c r="D5" s="11">
        <v>390.32400000000001</v>
      </c>
      <c r="E5" s="11">
        <v>407.75400000000002</v>
      </c>
      <c r="F5" s="11">
        <v>1314.626</v>
      </c>
      <c r="G5" s="11">
        <v>170.047</v>
      </c>
      <c r="H5" s="7">
        <f t="shared" si="1"/>
        <v>10977.590000000002</v>
      </c>
      <c r="J5" s="25">
        <f t="shared" si="0"/>
        <v>40969</v>
      </c>
      <c r="K5" s="18">
        <f t="shared" si="2"/>
        <v>9085.1630000000005</v>
      </c>
      <c r="L5" s="18">
        <f t="shared" si="3"/>
        <v>6072.366</v>
      </c>
      <c r="M5" s="18">
        <f t="shared" si="4"/>
        <v>2622.473</v>
      </c>
      <c r="N5" s="18">
        <f t="shared" si="5"/>
        <v>390.32400000000001</v>
      </c>
      <c r="O5" s="19">
        <f t="shared" si="6"/>
        <v>1892.4270000000001</v>
      </c>
      <c r="Q5" s="24">
        <f t="shared" ref="Q5:Q68" si="7">(K5-K4)*1000</f>
        <v>22297.00000000048</v>
      </c>
      <c r="R5" s="22">
        <f t="shared" ref="R5:R68" si="8">K5/K4-1</f>
        <v>2.4602592601501438E-3</v>
      </c>
      <c r="V5" s="26">
        <f t="shared" ref="V5:V68" si="9">(L5-L4)*1000</f>
        <v>10271.999999999935</v>
      </c>
      <c r="W5" s="22">
        <f t="shared" ref="W5:W68" si="10">L5/L4-1</f>
        <v>1.6944639921452342E-3</v>
      </c>
      <c r="AA5" s="26">
        <f t="shared" ref="AA5:AA68" si="11">(M5-M4)*1000</f>
        <v>12029.999999999745</v>
      </c>
      <c r="AB5" s="22">
        <f t="shared" ref="AB5:AB68" si="12">M5/M4-1</f>
        <v>4.6084132080261853E-3</v>
      </c>
      <c r="AF5" s="26">
        <f t="shared" ref="AF5:AF68" si="13">(N5-N4)*1000</f>
        <v>-4.9999999999954525</v>
      </c>
      <c r="AG5" s="22">
        <f t="shared" ref="AG5:AG68" si="14">N5/N4-1</f>
        <v>-1.2809706683269972E-5</v>
      </c>
    </row>
    <row r="6" spans="1:35" x14ac:dyDescent="0.3">
      <c r="A6" s="8">
        <v>41000</v>
      </c>
      <c r="B6" s="9">
        <v>6055.3029999999999</v>
      </c>
      <c r="C6" s="10">
        <v>2625.3519999999999</v>
      </c>
      <c r="D6" s="11">
        <v>391.72300000000001</v>
      </c>
      <c r="E6" s="11">
        <v>408.09199999999998</v>
      </c>
      <c r="F6" s="11">
        <v>1317.796</v>
      </c>
      <c r="G6" s="11">
        <v>172.512</v>
      </c>
      <c r="H6" s="7">
        <f t="shared" si="1"/>
        <v>10970.778</v>
      </c>
      <c r="J6" s="25">
        <f t="shared" si="0"/>
        <v>41000</v>
      </c>
      <c r="K6" s="18">
        <f t="shared" si="2"/>
        <v>9072.3779999999988</v>
      </c>
      <c r="L6" s="18">
        <f t="shared" si="3"/>
        <v>6055.3029999999999</v>
      </c>
      <c r="M6" s="18">
        <f t="shared" si="4"/>
        <v>2625.3519999999999</v>
      </c>
      <c r="N6" s="18">
        <f t="shared" si="5"/>
        <v>391.72300000000001</v>
      </c>
      <c r="O6" s="19">
        <f t="shared" si="6"/>
        <v>1898.3999999999999</v>
      </c>
      <c r="Q6" s="24">
        <f t="shared" si="7"/>
        <v>-12785.000000001673</v>
      </c>
      <c r="R6" s="22">
        <f t="shared" si="8"/>
        <v>-1.4072394738544602E-3</v>
      </c>
      <c r="V6" s="26">
        <f t="shared" si="9"/>
        <v>-17063.000000000102</v>
      </c>
      <c r="W6" s="22">
        <f t="shared" si="10"/>
        <v>-2.8099426154484242E-3</v>
      </c>
      <c r="AA6" s="26">
        <f t="shared" si="11"/>
        <v>2878.9999999999054</v>
      </c>
      <c r="AB6" s="22">
        <f t="shared" si="12"/>
        <v>1.0978187382673088E-3</v>
      </c>
      <c r="AF6" s="26">
        <f t="shared" si="13"/>
        <v>1399.0000000000009</v>
      </c>
      <c r="AG6" s="22">
        <f t="shared" si="14"/>
        <v>3.5842018425717992E-3</v>
      </c>
    </row>
    <row r="7" spans="1:35" x14ac:dyDescent="0.3">
      <c r="A7" s="8">
        <v>41030</v>
      </c>
      <c r="B7" s="9">
        <v>6065.665</v>
      </c>
      <c r="C7" s="10">
        <v>2597.9079999999999</v>
      </c>
      <c r="D7" s="11">
        <v>393.05799999999999</v>
      </c>
      <c r="E7" s="11">
        <v>408.11200000000002</v>
      </c>
      <c r="F7" s="11">
        <v>1321.8409999999999</v>
      </c>
      <c r="G7" s="11">
        <v>172.92599999999999</v>
      </c>
      <c r="H7" s="7">
        <f t="shared" si="1"/>
        <v>10959.51</v>
      </c>
      <c r="J7" s="25">
        <f t="shared" si="0"/>
        <v>41030</v>
      </c>
      <c r="K7" s="18">
        <f t="shared" si="2"/>
        <v>9056.6310000000012</v>
      </c>
      <c r="L7" s="18">
        <f t="shared" si="3"/>
        <v>6065.665</v>
      </c>
      <c r="M7" s="18">
        <f t="shared" si="4"/>
        <v>2597.9079999999999</v>
      </c>
      <c r="N7" s="18">
        <f t="shared" si="5"/>
        <v>393.05799999999999</v>
      </c>
      <c r="O7" s="19">
        <f t="shared" si="6"/>
        <v>1902.8789999999999</v>
      </c>
      <c r="Q7" s="24">
        <f t="shared" si="7"/>
        <v>-15746.99999999757</v>
      </c>
      <c r="R7" s="22">
        <f t="shared" si="8"/>
        <v>-1.7357081021092124E-3</v>
      </c>
      <c r="V7" s="26">
        <f t="shared" si="9"/>
        <v>10362.00000000008</v>
      </c>
      <c r="W7" s="22">
        <f t="shared" si="10"/>
        <v>1.7112273324719762E-3</v>
      </c>
      <c r="AA7" s="26">
        <f t="shared" si="11"/>
        <v>-27443.99999999996</v>
      </c>
      <c r="AB7" s="22">
        <f t="shared" si="12"/>
        <v>-1.0453455384268451E-2</v>
      </c>
      <c r="AF7" s="26">
        <f t="shared" si="13"/>
        <v>1334.9999999999795</v>
      </c>
      <c r="AG7" s="22">
        <f t="shared" si="14"/>
        <v>3.4080204634396871E-3</v>
      </c>
    </row>
    <row r="8" spans="1:35" x14ac:dyDescent="0.3">
      <c r="A8" s="8">
        <v>41061</v>
      </c>
      <c r="B8" s="9">
        <v>6065.2340000000004</v>
      </c>
      <c r="C8" s="10">
        <v>2632.424</v>
      </c>
      <c r="D8" s="11">
        <v>394.67399999999998</v>
      </c>
      <c r="E8" s="11">
        <v>408.661</v>
      </c>
      <c r="F8" s="11">
        <v>1332.556</v>
      </c>
      <c r="G8" s="11">
        <v>174.56299999999999</v>
      </c>
      <c r="H8" s="7">
        <f t="shared" si="1"/>
        <v>11008.111999999999</v>
      </c>
      <c r="J8" s="25">
        <f t="shared" si="0"/>
        <v>41061</v>
      </c>
      <c r="K8" s="18">
        <f t="shared" si="2"/>
        <v>9092.3319999999985</v>
      </c>
      <c r="L8" s="18">
        <f t="shared" si="3"/>
        <v>6065.2340000000004</v>
      </c>
      <c r="M8" s="18">
        <f t="shared" si="4"/>
        <v>2632.424</v>
      </c>
      <c r="N8" s="18">
        <f t="shared" si="5"/>
        <v>394.67399999999998</v>
      </c>
      <c r="O8" s="19">
        <f t="shared" si="6"/>
        <v>1915.7800000000002</v>
      </c>
      <c r="Q8" s="24">
        <f t="shared" si="7"/>
        <v>35700.999999997293</v>
      </c>
      <c r="R8" s="22">
        <f t="shared" si="8"/>
        <v>3.9419735661083699E-3</v>
      </c>
      <c r="V8" s="26">
        <f t="shared" si="9"/>
        <v>-430.99999999958527</v>
      </c>
      <c r="W8" s="22">
        <f t="shared" si="10"/>
        <v>-7.1055688040777554E-5</v>
      </c>
      <c r="AA8" s="26">
        <f t="shared" si="11"/>
        <v>34516.000000000073</v>
      </c>
      <c r="AB8" s="22">
        <f t="shared" si="12"/>
        <v>1.3286074795566316E-2</v>
      </c>
      <c r="AF8" s="26">
        <f t="shared" si="13"/>
        <v>1615.9999999999854</v>
      </c>
      <c r="AG8" s="22">
        <f t="shared" si="14"/>
        <v>4.1113525230371817E-3</v>
      </c>
    </row>
    <row r="9" spans="1:35" x14ac:dyDescent="0.3">
      <c r="A9" s="8">
        <v>41091</v>
      </c>
      <c r="B9" s="9">
        <v>6063.1509999999998</v>
      </c>
      <c r="C9" s="10">
        <v>2628.8069999999998</v>
      </c>
      <c r="D9" s="11">
        <v>395.90499999999997</v>
      </c>
      <c r="E9" s="11">
        <v>408.63600000000002</v>
      </c>
      <c r="F9" s="11">
        <v>1342.079</v>
      </c>
      <c r="G9" s="11">
        <v>178.13399999999999</v>
      </c>
      <c r="H9" s="7">
        <f t="shared" si="1"/>
        <v>11016.712</v>
      </c>
      <c r="J9" s="25">
        <f t="shared" si="0"/>
        <v>41091</v>
      </c>
      <c r="K9" s="18">
        <f t="shared" si="2"/>
        <v>9087.8629999999994</v>
      </c>
      <c r="L9" s="18">
        <f t="shared" si="3"/>
        <v>6063.1509999999998</v>
      </c>
      <c r="M9" s="18">
        <f t="shared" si="4"/>
        <v>2628.8069999999998</v>
      </c>
      <c r="N9" s="18">
        <f t="shared" si="5"/>
        <v>395.90499999999997</v>
      </c>
      <c r="O9" s="19">
        <f t="shared" si="6"/>
        <v>1928.8489999999999</v>
      </c>
      <c r="Q9" s="24">
        <f t="shared" si="7"/>
        <v>-4468.9999999991414</v>
      </c>
      <c r="R9" s="22">
        <f t="shared" si="8"/>
        <v>-4.9151306837447173E-4</v>
      </c>
      <c r="V9" s="26">
        <f t="shared" si="9"/>
        <v>-2083.0000000005384</v>
      </c>
      <c r="W9" s="22">
        <f t="shared" si="10"/>
        <v>-3.4343275131687445E-4</v>
      </c>
      <c r="AA9" s="26">
        <f t="shared" si="11"/>
        <v>-3617.0000000001892</v>
      </c>
      <c r="AB9" s="22">
        <f t="shared" si="12"/>
        <v>-1.3740187750910238E-3</v>
      </c>
      <c r="AF9" s="26">
        <f t="shared" si="13"/>
        <v>1230.9999999999945</v>
      </c>
      <c r="AG9" s="22">
        <f t="shared" si="14"/>
        <v>3.1190298828907004E-3</v>
      </c>
    </row>
    <row r="10" spans="1:35" x14ac:dyDescent="0.3">
      <c r="A10" s="8">
        <v>41122</v>
      </c>
      <c r="B10" s="9">
        <v>6059.9610000000002</v>
      </c>
      <c r="C10" s="10">
        <v>2636.8910000000001</v>
      </c>
      <c r="D10" s="11">
        <v>397.548</v>
      </c>
      <c r="E10" s="11">
        <v>408.27300000000002</v>
      </c>
      <c r="F10" s="11">
        <v>1346.925</v>
      </c>
      <c r="G10" s="11">
        <v>179.84200000000001</v>
      </c>
      <c r="H10" s="7">
        <f t="shared" si="1"/>
        <v>11029.44</v>
      </c>
      <c r="J10" s="25">
        <f t="shared" si="0"/>
        <v>41122</v>
      </c>
      <c r="K10" s="18">
        <f t="shared" si="2"/>
        <v>9094.4000000000015</v>
      </c>
      <c r="L10" s="18">
        <f t="shared" si="3"/>
        <v>6059.9610000000002</v>
      </c>
      <c r="M10" s="18">
        <f t="shared" si="4"/>
        <v>2636.8910000000001</v>
      </c>
      <c r="N10" s="18">
        <f t="shared" si="5"/>
        <v>397.548</v>
      </c>
      <c r="O10" s="19">
        <f t="shared" si="6"/>
        <v>1935.04</v>
      </c>
      <c r="Q10" s="24">
        <f t="shared" si="7"/>
        <v>6537.0000000020809</v>
      </c>
      <c r="R10" s="22">
        <f t="shared" si="8"/>
        <v>7.1931101954358923E-4</v>
      </c>
      <c r="V10" s="26">
        <f t="shared" si="9"/>
        <v>-3189.9999999995998</v>
      </c>
      <c r="W10" s="22">
        <f t="shared" si="10"/>
        <v>-5.2612907051130531E-4</v>
      </c>
      <c r="AA10" s="26">
        <f t="shared" si="11"/>
        <v>8084.0000000002874</v>
      </c>
      <c r="AB10" s="22">
        <f t="shared" si="12"/>
        <v>3.075159188179466E-3</v>
      </c>
      <c r="AF10" s="26">
        <f t="shared" si="13"/>
        <v>1643.0000000000291</v>
      </c>
      <c r="AG10" s="22">
        <f t="shared" si="14"/>
        <v>4.1499854763138444E-3</v>
      </c>
    </row>
    <row r="11" spans="1:35" x14ac:dyDescent="0.3">
      <c r="A11" s="8">
        <v>41153</v>
      </c>
      <c r="B11" s="9">
        <v>6058.5379999999996</v>
      </c>
      <c r="C11" s="10">
        <v>2632.422</v>
      </c>
      <c r="D11" s="11">
        <v>398.64699999999999</v>
      </c>
      <c r="E11" s="11">
        <v>408.255</v>
      </c>
      <c r="F11" s="11">
        <v>1352.3779999999999</v>
      </c>
      <c r="G11" s="11">
        <v>182.364</v>
      </c>
      <c r="H11" s="7">
        <f t="shared" si="1"/>
        <v>11032.603999999999</v>
      </c>
      <c r="J11" s="25">
        <f t="shared" si="0"/>
        <v>41153</v>
      </c>
      <c r="K11" s="18">
        <f t="shared" si="2"/>
        <v>9089.607</v>
      </c>
      <c r="L11" s="18">
        <f t="shared" si="3"/>
        <v>6058.5379999999996</v>
      </c>
      <c r="M11" s="18">
        <f t="shared" si="4"/>
        <v>2632.422</v>
      </c>
      <c r="N11" s="18">
        <f t="shared" si="5"/>
        <v>398.64699999999999</v>
      </c>
      <c r="O11" s="19">
        <f t="shared" si="6"/>
        <v>1942.9969999999998</v>
      </c>
      <c r="Q11" s="24">
        <f t="shared" si="7"/>
        <v>-4793.0000000014843</v>
      </c>
      <c r="R11" s="22">
        <f t="shared" si="8"/>
        <v>-5.2702762139356096E-4</v>
      </c>
      <c r="V11" s="26">
        <f t="shared" si="9"/>
        <v>-1423.0000000006839</v>
      </c>
      <c r="W11" s="22">
        <f t="shared" si="10"/>
        <v>-2.3481999306607104E-4</v>
      </c>
      <c r="AA11" s="26">
        <f t="shared" si="11"/>
        <v>-4469.0000000000509</v>
      </c>
      <c r="AB11" s="22">
        <f t="shared" si="12"/>
        <v>-1.6947989128105467E-3</v>
      </c>
      <c r="AF11" s="26">
        <f t="shared" si="13"/>
        <v>1098.9999999999895</v>
      </c>
      <c r="AG11" s="22">
        <f t="shared" si="14"/>
        <v>2.764446054312808E-3</v>
      </c>
    </row>
    <row r="12" spans="1:35" x14ac:dyDescent="0.3">
      <c r="A12" s="8">
        <v>41183</v>
      </c>
      <c r="B12" s="9">
        <v>6063.41</v>
      </c>
      <c r="C12" s="10">
        <v>2640.6289999999999</v>
      </c>
      <c r="D12" s="11">
        <v>399.69400000000002</v>
      </c>
      <c r="E12" s="11">
        <v>408.28199999999998</v>
      </c>
      <c r="F12" s="11">
        <v>1360.1890000000001</v>
      </c>
      <c r="G12" s="11">
        <v>183.25399999999999</v>
      </c>
      <c r="H12" s="7">
        <f t="shared" si="1"/>
        <v>11055.458000000001</v>
      </c>
      <c r="J12" s="25">
        <f t="shared" si="0"/>
        <v>41183</v>
      </c>
      <c r="K12" s="18">
        <f t="shared" si="2"/>
        <v>9103.7330000000002</v>
      </c>
      <c r="L12" s="18">
        <f t="shared" si="3"/>
        <v>6063.41</v>
      </c>
      <c r="M12" s="18">
        <f t="shared" si="4"/>
        <v>2640.6289999999999</v>
      </c>
      <c r="N12" s="18">
        <f t="shared" si="5"/>
        <v>399.69400000000002</v>
      </c>
      <c r="O12" s="19">
        <f t="shared" si="6"/>
        <v>1951.7249999999999</v>
      </c>
      <c r="Q12" s="24">
        <f t="shared" si="7"/>
        <v>14126.000000000204</v>
      </c>
      <c r="R12" s="22">
        <f t="shared" si="8"/>
        <v>1.5540825912496725E-3</v>
      </c>
      <c r="V12" s="26">
        <f t="shared" si="9"/>
        <v>4872.0000000002983</v>
      </c>
      <c r="W12" s="22">
        <f t="shared" si="10"/>
        <v>8.0415440160641616E-4</v>
      </c>
      <c r="AA12" s="26">
        <f t="shared" si="11"/>
        <v>8206.9999999998799</v>
      </c>
      <c r="AB12" s="22">
        <f t="shared" si="12"/>
        <v>3.1176612260495062E-3</v>
      </c>
      <c r="AF12" s="26">
        <f t="shared" si="13"/>
        <v>1047.0000000000255</v>
      </c>
      <c r="AG12" s="22">
        <f t="shared" si="14"/>
        <v>2.6263837430107184E-3</v>
      </c>
    </row>
    <row r="13" spans="1:35" x14ac:dyDescent="0.3">
      <c r="A13" s="8">
        <v>41214</v>
      </c>
      <c r="B13" s="9">
        <v>6068.9989999999998</v>
      </c>
      <c r="C13" s="10">
        <v>2655.904</v>
      </c>
      <c r="D13" s="11">
        <v>401.08300000000003</v>
      </c>
      <c r="E13" s="11">
        <v>408.97899999999998</v>
      </c>
      <c r="F13" s="11">
        <v>1365.4760000000001</v>
      </c>
      <c r="G13" s="11">
        <v>184.774</v>
      </c>
      <c r="H13" s="7">
        <f t="shared" si="1"/>
        <v>11085.215</v>
      </c>
      <c r="J13" s="25">
        <f t="shared" si="0"/>
        <v>41214</v>
      </c>
      <c r="K13" s="18">
        <f t="shared" si="2"/>
        <v>9125.9860000000008</v>
      </c>
      <c r="L13" s="18">
        <f t="shared" si="3"/>
        <v>6068.9989999999998</v>
      </c>
      <c r="M13" s="18">
        <f t="shared" si="4"/>
        <v>2655.904</v>
      </c>
      <c r="N13" s="18">
        <f t="shared" si="5"/>
        <v>401.08300000000003</v>
      </c>
      <c r="O13" s="19">
        <f t="shared" si="6"/>
        <v>1959.2290000000003</v>
      </c>
      <c r="Q13" s="24">
        <f t="shared" si="7"/>
        <v>22253.000000000611</v>
      </c>
      <c r="R13" s="22">
        <f t="shared" si="8"/>
        <v>2.444381881586466E-3</v>
      </c>
      <c r="V13" s="26">
        <f t="shared" si="9"/>
        <v>5588.9999999999418</v>
      </c>
      <c r="W13" s="22">
        <f t="shared" si="10"/>
        <v>9.2175854840759186E-4</v>
      </c>
      <c r="AA13" s="26">
        <f t="shared" si="11"/>
        <v>15275.000000000091</v>
      </c>
      <c r="AB13" s="22">
        <f t="shared" si="12"/>
        <v>5.784606622134314E-3</v>
      </c>
      <c r="AF13" s="26">
        <f t="shared" si="13"/>
        <v>1389.00000000001</v>
      </c>
      <c r="AG13" s="22">
        <f t="shared" si="14"/>
        <v>3.4751584962495752E-3</v>
      </c>
    </row>
    <row r="14" spans="1:35" x14ac:dyDescent="0.3">
      <c r="A14" s="8">
        <v>41244</v>
      </c>
      <c r="B14" s="9">
        <v>6090.7520000000004</v>
      </c>
      <c r="C14" s="10">
        <v>2658.4760000000001</v>
      </c>
      <c r="D14" s="11">
        <v>402.21600000000001</v>
      </c>
      <c r="E14" s="11">
        <v>409.964</v>
      </c>
      <c r="F14" s="11">
        <v>1364.7139999999999</v>
      </c>
      <c r="G14" s="11">
        <v>186.953</v>
      </c>
      <c r="H14" s="7">
        <f t="shared" si="1"/>
        <v>11113.075000000001</v>
      </c>
      <c r="J14" s="25">
        <f t="shared" si="0"/>
        <v>41244</v>
      </c>
      <c r="K14" s="18">
        <f t="shared" si="2"/>
        <v>9151.4440000000013</v>
      </c>
      <c r="L14" s="18">
        <f t="shared" si="3"/>
        <v>6090.7520000000004</v>
      </c>
      <c r="M14" s="18">
        <f t="shared" si="4"/>
        <v>2658.4760000000001</v>
      </c>
      <c r="N14" s="18">
        <f t="shared" si="5"/>
        <v>402.21600000000001</v>
      </c>
      <c r="O14" s="19">
        <f t="shared" si="6"/>
        <v>1961.6309999999999</v>
      </c>
      <c r="Q14" s="24">
        <f t="shared" si="7"/>
        <v>25458.000000000538</v>
      </c>
      <c r="R14" s="22">
        <f t="shared" si="8"/>
        <v>2.7896163767948678E-3</v>
      </c>
      <c r="V14" s="26">
        <f t="shared" si="9"/>
        <v>21753.000000000611</v>
      </c>
      <c r="W14" s="22">
        <f t="shared" si="10"/>
        <v>3.5842813617206204E-3</v>
      </c>
      <c r="AA14" s="26">
        <f t="shared" si="11"/>
        <v>2572.0000000001164</v>
      </c>
      <c r="AB14" s="22">
        <f t="shared" si="12"/>
        <v>9.6840849669277418E-4</v>
      </c>
      <c r="AF14" s="26">
        <f t="shared" si="13"/>
        <v>1132.9999999999814</v>
      </c>
      <c r="AG14" s="22">
        <f t="shared" si="14"/>
        <v>2.8248517139843887E-3</v>
      </c>
    </row>
    <row r="15" spans="1:35" x14ac:dyDescent="0.3">
      <c r="A15" s="8">
        <v>41275</v>
      </c>
      <c r="B15" s="9">
        <v>6090.41</v>
      </c>
      <c r="C15" s="10">
        <v>2714.192</v>
      </c>
      <c r="D15" s="11">
        <v>407.94400000000002</v>
      </c>
      <c r="E15" s="11">
        <v>411.077</v>
      </c>
      <c r="F15" s="11">
        <v>1370.088</v>
      </c>
      <c r="G15" s="11">
        <v>187.364</v>
      </c>
      <c r="H15" s="7">
        <f t="shared" si="1"/>
        <v>11181.074999999997</v>
      </c>
      <c r="J15" s="25">
        <f t="shared" si="0"/>
        <v>41275</v>
      </c>
      <c r="K15" s="18">
        <f t="shared" si="2"/>
        <v>9212.5459999999985</v>
      </c>
      <c r="L15" s="18">
        <f t="shared" si="3"/>
        <v>6090.41</v>
      </c>
      <c r="M15" s="18">
        <f t="shared" si="4"/>
        <v>2714.192</v>
      </c>
      <c r="N15" s="18">
        <f t="shared" si="5"/>
        <v>407.94400000000002</v>
      </c>
      <c r="O15" s="19">
        <f t="shared" si="6"/>
        <v>1968.529</v>
      </c>
      <c r="Q15" s="24">
        <f t="shared" si="7"/>
        <v>61101.999999997133</v>
      </c>
      <c r="R15" s="22">
        <f t="shared" si="8"/>
        <v>6.6767605199788971E-3</v>
      </c>
      <c r="V15" s="26">
        <f t="shared" si="9"/>
        <v>-342.00000000055297</v>
      </c>
      <c r="W15" s="22">
        <f t="shared" si="10"/>
        <v>-5.6150701916668488E-5</v>
      </c>
      <c r="AA15" s="26">
        <f t="shared" si="11"/>
        <v>55715.999999999898</v>
      </c>
      <c r="AB15" s="22">
        <f t="shared" si="12"/>
        <v>2.0957872104167885E-2</v>
      </c>
      <c r="AF15" s="26">
        <f t="shared" si="13"/>
        <v>5728.0000000000091</v>
      </c>
      <c r="AG15" s="22">
        <f t="shared" si="14"/>
        <v>1.4241104282276318E-2</v>
      </c>
    </row>
    <row r="16" spans="1:35" x14ac:dyDescent="0.3">
      <c r="A16" s="8">
        <v>41306</v>
      </c>
      <c r="B16" s="9">
        <v>6098.03</v>
      </c>
      <c r="C16" s="10">
        <v>2720.7240000000002</v>
      </c>
      <c r="D16" s="11">
        <v>410.24700000000001</v>
      </c>
      <c r="E16" s="11">
        <v>420.81799999999998</v>
      </c>
      <c r="F16" s="11">
        <v>1370.248</v>
      </c>
      <c r="G16" s="11">
        <v>188.774</v>
      </c>
      <c r="H16" s="7">
        <f t="shared" si="1"/>
        <v>11208.840999999999</v>
      </c>
      <c r="J16" s="25">
        <f t="shared" si="0"/>
        <v>41306</v>
      </c>
      <c r="K16" s="18">
        <f t="shared" si="2"/>
        <v>9229.0010000000002</v>
      </c>
      <c r="L16" s="18">
        <f t="shared" si="3"/>
        <v>6098.03</v>
      </c>
      <c r="M16" s="18">
        <f t="shared" si="4"/>
        <v>2720.7240000000002</v>
      </c>
      <c r="N16" s="18">
        <f t="shared" si="5"/>
        <v>410.24700000000001</v>
      </c>
      <c r="O16" s="19">
        <f t="shared" si="6"/>
        <v>1979.8400000000001</v>
      </c>
      <c r="Q16" s="24">
        <f t="shared" si="7"/>
        <v>16455.000000001746</v>
      </c>
      <c r="R16" s="22">
        <f t="shared" si="8"/>
        <v>1.7861511899102123E-3</v>
      </c>
      <c r="V16" s="26">
        <f t="shared" si="9"/>
        <v>7619.9999999998909</v>
      </c>
      <c r="W16" s="22">
        <f t="shared" si="10"/>
        <v>1.2511472955023528E-3</v>
      </c>
      <c r="AA16" s="26">
        <f t="shared" si="11"/>
        <v>6532.0000000001528</v>
      </c>
      <c r="AB16" s="22">
        <f t="shared" si="12"/>
        <v>2.4066094071459876E-3</v>
      </c>
      <c r="AF16" s="26">
        <f t="shared" si="13"/>
        <v>2302.9999999999973</v>
      </c>
      <c r="AG16" s="22">
        <f t="shared" si="14"/>
        <v>5.6453826995861434E-3</v>
      </c>
    </row>
    <row r="17" spans="1:33" x14ac:dyDescent="0.3">
      <c r="A17" s="8">
        <v>41334</v>
      </c>
      <c r="B17" s="9">
        <v>6105.4430000000002</v>
      </c>
      <c r="C17" s="10">
        <v>2724.9929999999999</v>
      </c>
      <c r="D17" s="11">
        <v>409.05099999999999</v>
      </c>
      <c r="E17" s="11">
        <v>422.50700000000001</v>
      </c>
      <c r="F17" s="11">
        <v>1376.771</v>
      </c>
      <c r="G17" s="11">
        <v>190.37200000000001</v>
      </c>
      <c r="H17" s="7">
        <f t="shared" si="1"/>
        <v>11229.136999999999</v>
      </c>
      <c r="J17" s="25">
        <f t="shared" si="0"/>
        <v>41334</v>
      </c>
      <c r="K17" s="18">
        <f t="shared" si="2"/>
        <v>9239.4869999999992</v>
      </c>
      <c r="L17" s="18">
        <f t="shared" si="3"/>
        <v>6105.4430000000002</v>
      </c>
      <c r="M17" s="18">
        <f t="shared" si="4"/>
        <v>2724.9929999999999</v>
      </c>
      <c r="N17" s="18">
        <f t="shared" si="5"/>
        <v>409.05099999999999</v>
      </c>
      <c r="O17" s="19">
        <f t="shared" si="6"/>
        <v>1989.65</v>
      </c>
      <c r="Q17" s="24">
        <f t="shared" si="7"/>
        <v>10485.999999998967</v>
      </c>
      <c r="R17" s="22">
        <f t="shared" si="8"/>
        <v>1.1362009820996555E-3</v>
      </c>
      <c r="V17" s="26">
        <f t="shared" si="9"/>
        <v>7413.0000000004657</v>
      </c>
      <c r="W17" s="22">
        <f t="shared" si="10"/>
        <v>1.2156384930872566E-3</v>
      </c>
      <c r="AA17" s="26">
        <f t="shared" si="11"/>
        <v>4268.9999999997781</v>
      </c>
      <c r="AB17" s="22">
        <f t="shared" si="12"/>
        <v>1.5690676452295715E-3</v>
      </c>
      <c r="AF17" s="26">
        <f t="shared" si="13"/>
        <v>-1196.0000000000264</v>
      </c>
      <c r="AG17" s="22">
        <f t="shared" si="14"/>
        <v>-2.9153168700807308E-3</v>
      </c>
    </row>
    <row r="18" spans="1:33" x14ac:dyDescent="0.3">
      <c r="A18" s="8">
        <v>41365</v>
      </c>
      <c r="B18" s="9">
        <v>6115.5209999999997</v>
      </c>
      <c r="C18" s="10">
        <v>2745.7910000000002</v>
      </c>
      <c r="D18" s="11">
        <v>410.411</v>
      </c>
      <c r="E18" s="11">
        <v>423.51100000000002</v>
      </c>
      <c r="F18" s="11">
        <v>1384.0219999999999</v>
      </c>
      <c r="G18" s="11">
        <v>192.11</v>
      </c>
      <c r="H18" s="7">
        <f t="shared" si="1"/>
        <v>11271.366000000002</v>
      </c>
      <c r="J18" s="25">
        <f t="shared" si="0"/>
        <v>41365</v>
      </c>
      <c r="K18" s="18">
        <f t="shared" si="2"/>
        <v>9271.723</v>
      </c>
      <c r="L18" s="18">
        <f t="shared" si="3"/>
        <v>6115.5209999999997</v>
      </c>
      <c r="M18" s="18">
        <f t="shared" si="4"/>
        <v>2745.7910000000002</v>
      </c>
      <c r="N18" s="18">
        <f t="shared" si="5"/>
        <v>410.411</v>
      </c>
      <c r="O18" s="19">
        <f t="shared" si="6"/>
        <v>1999.643</v>
      </c>
      <c r="Q18" s="24">
        <f t="shared" si="7"/>
        <v>32236.000000000786</v>
      </c>
      <c r="R18" s="22">
        <f t="shared" si="8"/>
        <v>3.4889382927862922E-3</v>
      </c>
      <c r="V18" s="26">
        <f t="shared" si="9"/>
        <v>10077.99999999952</v>
      </c>
      <c r="W18" s="22">
        <f t="shared" si="10"/>
        <v>1.6506582732815911E-3</v>
      </c>
      <c r="AA18" s="26">
        <f t="shared" si="11"/>
        <v>20798.000000000229</v>
      </c>
      <c r="AB18" s="22">
        <f t="shared" si="12"/>
        <v>7.6323131839237668E-3</v>
      </c>
      <c r="AF18" s="26">
        <f t="shared" si="13"/>
        <v>1360.0000000000136</v>
      </c>
      <c r="AG18" s="22">
        <f t="shared" si="14"/>
        <v>3.3247687941113657E-3</v>
      </c>
    </row>
    <row r="19" spans="1:33" x14ac:dyDescent="0.3">
      <c r="A19" s="8">
        <v>41395</v>
      </c>
      <c r="B19" s="9">
        <v>6109.2470000000003</v>
      </c>
      <c r="C19" s="10">
        <v>2811.1019999999999</v>
      </c>
      <c r="D19" s="11">
        <v>417.85300000000001</v>
      </c>
      <c r="E19" s="11">
        <v>423.762</v>
      </c>
      <c r="F19" s="11">
        <v>1393.8720000000001</v>
      </c>
      <c r="G19" s="11">
        <v>193.74299999999999</v>
      </c>
      <c r="H19" s="7">
        <f t="shared" si="1"/>
        <v>11349.579</v>
      </c>
      <c r="J19" s="25">
        <f t="shared" si="0"/>
        <v>41395</v>
      </c>
      <c r="K19" s="18">
        <f t="shared" si="2"/>
        <v>9338.2019999999993</v>
      </c>
      <c r="L19" s="18">
        <f t="shared" si="3"/>
        <v>6109.2470000000003</v>
      </c>
      <c r="M19" s="18">
        <f t="shared" si="4"/>
        <v>2811.1019999999999</v>
      </c>
      <c r="N19" s="18">
        <f t="shared" si="5"/>
        <v>417.85300000000001</v>
      </c>
      <c r="O19" s="19">
        <f t="shared" si="6"/>
        <v>2011.377</v>
      </c>
      <c r="Q19" s="24">
        <f t="shared" si="7"/>
        <v>66478.99999999936</v>
      </c>
      <c r="R19" s="22">
        <f t="shared" si="8"/>
        <v>7.1700804694012632E-3</v>
      </c>
      <c r="V19" s="26">
        <f t="shared" si="9"/>
        <v>-6273.9999999994325</v>
      </c>
      <c r="W19" s="22">
        <f t="shared" si="10"/>
        <v>-1.0259142270951926E-3</v>
      </c>
      <c r="AA19" s="26">
        <f t="shared" si="11"/>
        <v>65310.999999999694</v>
      </c>
      <c r="AB19" s="22">
        <f t="shared" si="12"/>
        <v>2.3785859885184113E-2</v>
      </c>
      <c r="AF19" s="26">
        <f t="shared" si="13"/>
        <v>7442.0000000000073</v>
      </c>
      <c r="AG19" s="22">
        <f t="shared" si="14"/>
        <v>1.8133042243019926E-2</v>
      </c>
    </row>
    <row r="20" spans="1:33" x14ac:dyDescent="0.3">
      <c r="A20" s="8">
        <v>41426</v>
      </c>
      <c r="B20" s="9">
        <v>6103.2309999999998</v>
      </c>
      <c r="C20" s="10">
        <v>2798.357</v>
      </c>
      <c r="D20" s="11">
        <v>433.57799999999997</v>
      </c>
      <c r="E20" s="11">
        <v>424.54700000000003</v>
      </c>
      <c r="F20" s="11">
        <v>1402.481</v>
      </c>
      <c r="G20" s="11">
        <v>196.46899999999999</v>
      </c>
      <c r="H20" s="7">
        <f t="shared" si="1"/>
        <v>11358.662999999999</v>
      </c>
      <c r="J20" s="25">
        <f t="shared" si="0"/>
        <v>41426</v>
      </c>
      <c r="K20" s="18">
        <f t="shared" si="2"/>
        <v>9335.1659999999993</v>
      </c>
      <c r="L20" s="18">
        <f t="shared" si="3"/>
        <v>6103.2309999999998</v>
      </c>
      <c r="M20" s="18">
        <f t="shared" si="4"/>
        <v>2798.357</v>
      </c>
      <c r="N20" s="18">
        <f t="shared" si="5"/>
        <v>433.57799999999997</v>
      </c>
      <c r="O20" s="19">
        <f t="shared" si="6"/>
        <v>2023.4970000000001</v>
      </c>
      <c r="Q20" s="24">
        <f t="shared" si="7"/>
        <v>-3036.0000000000582</v>
      </c>
      <c r="R20" s="22">
        <f t="shared" si="8"/>
        <v>-3.2511611978414123E-4</v>
      </c>
      <c r="V20" s="26">
        <f t="shared" si="9"/>
        <v>-6016.0000000005311</v>
      </c>
      <c r="W20" s="22">
        <f t="shared" si="10"/>
        <v>-9.8473674415200385E-4</v>
      </c>
      <c r="AA20" s="26">
        <f t="shared" si="11"/>
        <v>-12744.999999999891</v>
      </c>
      <c r="AB20" s="22">
        <f t="shared" si="12"/>
        <v>-4.5338091609624653E-3</v>
      </c>
      <c r="AF20" s="26">
        <f t="shared" si="13"/>
        <v>15724.999999999965</v>
      </c>
      <c r="AG20" s="22">
        <f t="shared" si="14"/>
        <v>3.763285174451303E-2</v>
      </c>
    </row>
    <row r="21" spans="1:33" x14ac:dyDescent="0.3">
      <c r="A21" s="8">
        <v>41456</v>
      </c>
      <c r="B21" s="9">
        <v>6110.3429999999998</v>
      </c>
      <c r="C21" s="10">
        <v>2811.154</v>
      </c>
      <c r="D21" s="11">
        <v>439.74299999999999</v>
      </c>
      <c r="E21" s="11">
        <v>425.76299999999998</v>
      </c>
      <c r="F21" s="11">
        <v>1411.92</v>
      </c>
      <c r="G21" s="11">
        <v>203.751</v>
      </c>
      <c r="H21" s="7">
        <f t="shared" si="1"/>
        <v>11402.674000000001</v>
      </c>
      <c r="J21" s="25">
        <f t="shared" si="0"/>
        <v>41456</v>
      </c>
      <c r="K21" s="18">
        <f t="shared" si="2"/>
        <v>9361.24</v>
      </c>
      <c r="L21" s="18">
        <f t="shared" si="3"/>
        <v>6110.3429999999998</v>
      </c>
      <c r="M21" s="18">
        <f t="shared" si="4"/>
        <v>2811.154</v>
      </c>
      <c r="N21" s="18">
        <f t="shared" si="5"/>
        <v>439.74299999999999</v>
      </c>
      <c r="O21" s="19">
        <f t="shared" si="6"/>
        <v>2041.434</v>
      </c>
      <c r="Q21" s="24">
        <f t="shared" si="7"/>
        <v>26074.000000000524</v>
      </c>
      <c r="R21" s="22">
        <f t="shared" si="8"/>
        <v>2.793094413104269E-3</v>
      </c>
      <c r="V21" s="26">
        <f t="shared" si="9"/>
        <v>7112.00000000008</v>
      </c>
      <c r="W21" s="22">
        <f t="shared" si="10"/>
        <v>1.1652844206617718E-3</v>
      </c>
      <c r="AA21" s="26">
        <f t="shared" si="11"/>
        <v>12797.000000000025</v>
      </c>
      <c r="AB21" s="22">
        <f t="shared" si="12"/>
        <v>4.573040537715567E-3</v>
      </c>
      <c r="AF21" s="26">
        <f t="shared" si="13"/>
        <v>6165.00000000002</v>
      </c>
      <c r="AG21" s="22">
        <f t="shared" si="14"/>
        <v>1.4218894870127174E-2</v>
      </c>
    </row>
    <row r="22" spans="1:33" x14ac:dyDescent="0.3">
      <c r="A22" s="8">
        <v>41487</v>
      </c>
      <c r="B22" s="9">
        <v>6124.7060000000001</v>
      </c>
      <c r="C22" s="10">
        <v>2813.0909999999999</v>
      </c>
      <c r="D22" s="11">
        <v>441.14400000000001</v>
      </c>
      <c r="E22" s="11">
        <v>427.68700000000001</v>
      </c>
      <c r="F22" s="11">
        <v>1424.1679999999999</v>
      </c>
      <c r="G22" s="11">
        <v>242.333</v>
      </c>
      <c r="H22" s="7">
        <f t="shared" si="1"/>
        <v>11473.129000000001</v>
      </c>
      <c r="J22" s="25">
        <f t="shared" si="0"/>
        <v>41487</v>
      </c>
      <c r="K22" s="18">
        <f t="shared" si="2"/>
        <v>9378.9410000000007</v>
      </c>
      <c r="L22" s="18">
        <f t="shared" si="3"/>
        <v>6124.7060000000001</v>
      </c>
      <c r="M22" s="18">
        <f t="shared" si="4"/>
        <v>2813.0909999999999</v>
      </c>
      <c r="N22" s="18">
        <f t="shared" si="5"/>
        <v>441.14400000000001</v>
      </c>
      <c r="O22" s="19">
        <f t="shared" si="6"/>
        <v>2094.1880000000001</v>
      </c>
      <c r="Q22" s="24">
        <f t="shared" si="7"/>
        <v>17701.000000000931</v>
      </c>
      <c r="R22" s="22">
        <f t="shared" si="8"/>
        <v>1.8908819771741303E-3</v>
      </c>
      <c r="V22" s="26">
        <f t="shared" si="9"/>
        <v>14363.000000000284</v>
      </c>
      <c r="W22" s="22">
        <f t="shared" si="10"/>
        <v>2.3506045405308207E-3</v>
      </c>
      <c r="AA22" s="26">
        <f t="shared" si="11"/>
        <v>1936.9999999998981</v>
      </c>
      <c r="AB22" s="22">
        <f t="shared" si="12"/>
        <v>6.8904087075982723E-4</v>
      </c>
      <c r="AF22" s="26">
        <f t="shared" si="13"/>
        <v>1401.0000000000105</v>
      </c>
      <c r="AG22" s="22">
        <f t="shared" si="14"/>
        <v>3.1859517945709293E-3</v>
      </c>
    </row>
    <row r="23" spans="1:33" x14ac:dyDescent="0.3">
      <c r="A23" s="8">
        <v>41518</v>
      </c>
      <c r="B23" s="9">
        <v>6115.5</v>
      </c>
      <c r="C23" s="10">
        <v>2819.72</v>
      </c>
      <c r="D23" s="11">
        <v>443.589</v>
      </c>
      <c r="E23" s="11">
        <v>429.15199999999999</v>
      </c>
      <c r="F23" s="11">
        <v>1437.7539999999999</v>
      </c>
      <c r="G23" s="11">
        <v>274.12299999999999</v>
      </c>
      <c r="H23" s="7">
        <f t="shared" si="1"/>
        <v>11519.838</v>
      </c>
      <c r="J23" s="25">
        <f t="shared" si="0"/>
        <v>41518</v>
      </c>
      <c r="K23" s="18">
        <f t="shared" si="2"/>
        <v>9378.8089999999993</v>
      </c>
      <c r="L23" s="18">
        <f t="shared" si="3"/>
        <v>6115.5</v>
      </c>
      <c r="M23" s="18">
        <f t="shared" si="4"/>
        <v>2819.72</v>
      </c>
      <c r="N23" s="18">
        <f t="shared" si="5"/>
        <v>443.589</v>
      </c>
      <c r="O23" s="19">
        <f t="shared" si="6"/>
        <v>2141.029</v>
      </c>
      <c r="Q23" s="24">
        <f t="shared" si="7"/>
        <v>-132.00000000142609</v>
      </c>
      <c r="R23" s="22">
        <f t="shared" si="8"/>
        <v>-1.4074083630744028E-5</v>
      </c>
      <c r="V23" s="26">
        <f t="shared" si="9"/>
        <v>-9206.000000000131</v>
      </c>
      <c r="W23" s="22">
        <f t="shared" si="10"/>
        <v>-1.5030925566059672E-3</v>
      </c>
      <c r="AA23" s="26">
        <f t="shared" si="11"/>
        <v>6628.9999999999054</v>
      </c>
      <c r="AB23" s="22">
        <f t="shared" si="12"/>
        <v>2.3564826022335339E-3</v>
      </c>
      <c r="AF23" s="26">
        <f t="shared" si="13"/>
        <v>2444.9999999999932</v>
      </c>
      <c r="AG23" s="22">
        <f t="shared" si="14"/>
        <v>5.5424079212229582E-3</v>
      </c>
    </row>
    <row r="24" spans="1:33" x14ac:dyDescent="0.3">
      <c r="A24" s="8">
        <v>41548</v>
      </c>
      <c r="B24" s="9">
        <v>6116.8059999999996</v>
      </c>
      <c r="C24" s="10">
        <v>2836.451</v>
      </c>
      <c r="D24" s="11">
        <v>446.226</v>
      </c>
      <c r="E24" s="11">
        <v>428.42899999999997</v>
      </c>
      <c r="F24" s="11">
        <v>1454.92</v>
      </c>
      <c r="G24" s="11">
        <v>285.02100000000002</v>
      </c>
      <c r="H24" s="7">
        <f t="shared" si="1"/>
        <v>11567.853000000001</v>
      </c>
      <c r="J24" s="25">
        <f t="shared" si="0"/>
        <v>41548</v>
      </c>
      <c r="K24" s="18">
        <f t="shared" si="2"/>
        <v>9399.4830000000002</v>
      </c>
      <c r="L24" s="18">
        <f t="shared" si="3"/>
        <v>6116.8059999999996</v>
      </c>
      <c r="M24" s="18">
        <f t="shared" si="4"/>
        <v>2836.451</v>
      </c>
      <c r="N24" s="18">
        <f t="shared" si="5"/>
        <v>446.226</v>
      </c>
      <c r="O24" s="19">
        <f t="shared" si="6"/>
        <v>2168.3700000000003</v>
      </c>
      <c r="Q24" s="24">
        <f t="shared" si="7"/>
        <v>20674.000000000888</v>
      </c>
      <c r="R24" s="22">
        <f t="shared" si="8"/>
        <v>2.2043310616519651E-3</v>
      </c>
      <c r="V24" s="26">
        <f t="shared" si="9"/>
        <v>1305.9999999995853</v>
      </c>
      <c r="W24" s="22">
        <f t="shared" si="10"/>
        <v>2.1355571907433202E-4</v>
      </c>
      <c r="AA24" s="26">
        <f t="shared" si="11"/>
        <v>16731.000000000222</v>
      </c>
      <c r="AB24" s="22">
        <f t="shared" si="12"/>
        <v>5.9335678719873997E-3</v>
      </c>
      <c r="AF24" s="26">
        <f t="shared" si="13"/>
        <v>2637.0000000000005</v>
      </c>
      <c r="AG24" s="22">
        <f t="shared" si="14"/>
        <v>5.9446920460155539E-3</v>
      </c>
    </row>
    <row r="25" spans="1:33" x14ac:dyDescent="0.3">
      <c r="A25" s="8">
        <v>41579</v>
      </c>
      <c r="B25" s="9">
        <v>6126.6639999999998</v>
      </c>
      <c r="C25" s="10">
        <v>2837.944</v>
      </c>
      <c r="D25" s="11">
        <v>449.38499999999999</v>
      </c>
      <c r="E25" s="11">
        <v>426.67899999999997</v>
      </c>
      <c r="F25" s="11">
        <v>1461.0730000000001</v>
      </c>
      <c r="G25" s="11">
        <v>289.86099999999999</v>
      </c>
      <c r="H25" s="7">
        <f t="shared" si="1"/>
        <v>11591.606000000002</v>
      </c>
      <c r="J25" s="25">
        <f t="shared" si="0"/>
        <v>41579</v>
      </c>
      <c r="K25" s="18">
        <f t="shared" si="2"/>
        <v>9413.9930000000004</v>
      </c>
      <c r="L25" s="18">
        <f t="shared" si="3"/>
        <v>6126.6639999999998</v>
      </c>
      <c r="M25" s="18">
        <f t="shared" si="4"/>
        <v>2837.944</v>
      </c>
      <c r="N25" s="18">
        <f t="shared" si="5"/>
        <v>449.38499999999999</v>
      </c>
      <c r="O25" s="19">
        <f t="shared" si="6"/>
        <v>2177.6129999999998</v>
      </c>
      <c r="Q25" s="24">
        <f t="shared" si="7"/>
        <v>14510.000000000218</v>
      </c>
      <c r="R25" s="22">
        <f t="shared" si="8"/>
        <v>1.5437019248825123E-3</v>
      </c>
      <c r="V25" s="26">
        <f t="shared" si="9"/>
        <v>9858.0000000001746</v>
      </c>
      <c r="W25" s="22">
        <f t="shared" si="10"/>
        <v>1.6116254136555597E-3</v>
      </c>
      <c r="AA25" s="26">
        <f t="shared" si="11"/>
        <v>1492.9999999999382</v>
      </c>
      <c r="AB25" s="22">
        <f t="shared" si="12"/>
        <v>5.2636199250399862E-4</v>
      </c>
      <c r="AF25" s="26">
        <f t="shared" si="13"/>
        <v>3158.9999999999918</v>
      </c>
      <c r="AG25" s="22">
        <f t="shared" si="14"/>
        <v>7.0793723359912075E-3</v>
      </c>
    </row>
    <row r="26" spans="1:33" x14ac:dyDescent="0.3">
      <c r="A26" s="8">
        <v>41609</v>
      </c>
      <c r="B26" s="9">
        <v>6122.759</v>
      </c>
      <c r="C26" s="10">
        <v>2854.0050000000001</v>
      </c>
      <c r="D26" s="11">
        <v>451.97500000000002</v>
      </c>
      <c r="E26" s="11">
        <v>424.92399999999998</v>
      </c>
      <c r="F26" s="11">
        <v>1461.135</v>
      </c>
      <c r="G26" s="11">
        <v>293.06900000000002</v>
      </c>
      <c r="H26" s="7">
        <f t="shared" si="1"/>
        <v>11607.867</v>
      </c>
      <c r="J26" s="25">
        <f t="shared" si="0"/>
        <v>41609</v>
      </c>
      <c r="K26" s="18">
        <f t="shared" si="2"/>
        <v>9428.7389999999996</v>
      </c>
      <c r="L26" s="18">
        <f t="shared" si="3"/>
        <v>6122.759</v>
      </c>
      <c r="M26" s="18">
        <f t="shared" si="4"/>
        <v>2854.0050000000001</v>
      </c>
      <c r="N26" s="18">
        <f t="shared" si="5"/>
        <v>451.97500000000002</v>
      </c>
      <c r="O26" s="19">
        <f t="shared" si="6"/>
        <v>2179.1280000000002</v>
      </c>
      <c r="Q26" s="24">
        <f t="shared" si="7"/>
        <v>14745.999999999185</v>
      </c>
      <c r="R26" s="22">
        <f t="shared" si="8"/>
        <v>1.5663916469874639E-3</v>
      </c>
      <c r="V26" s="26">
        <f t="shared" si="9"/>
        <v>-3904.9999999997453</v>
      </c>
      <c r="W26" s="22">
        <f t="shared" si="10"/>
        <v>-6.3737786175310784E-4</v>
      </c>
      <c r="AA26" s="26">
        <f t="shared" si="11"/>
        <v>16061.000000000149</v>
      </c>
      <c r="AB26" s="22">
        <f t="shared" si="12"/>
        <v>5.6593787615260016E-3</v>
      </c>
      <c r="AF26" s="26">
        <f t="shared" si="13"/>
        <v>2590.0000000000318</v>
      </c>
      <c r="AG26" s="22">
        <f t="shared" si="14"/>
        <v>5.7634322462922771E-3</v>
      </c>
    </row>
    <row r="27" spans="1:33" x14ac:dyDescent="0.3">
      <c r="A27" s="8">
        <v>41640</v>
      </c>
      <c r="B27" s="9">
        <v>6115.6130000000003</v>
      </c>
      <c r="C27" s="10">
        <v>2856.2849999999999</v>
      </c>
      <c r="D27" s="11">
        <v>454.70400000000001</v>
      </c>
      <c r="E27" s="11">
        <v>423.745</v>
      </c>
      <c r="F27" s="11">
        <v>1462.6990000000001</v>
      </c>
      <c r="G27" s="11">
        <v>294.18299999999999</v>
      </c>
      <c r="H27" s="7">
        <f t="shared" si="1"/>
        <v>11607.229000000003</v>
      </c>
      <c r="J27" s="25">
        <f t="shared" si="0"/>
        <v>41640</v>
      </c>
      <c r="K27" s="18">
        <f t="shared" si="2"/>
        <v>9426.6020000000008</v>
      </c>
      <c r="L27" s="18">
        <f t="shared" si="3"/>
        <v>6115.6130000000003</v>
      </c>
      <c r="M27" s="18">
        <f t="shared" si="4"/>
        <v>2856.2849999999999</v>
      </c>
      <c r="N27" s="18">
        <f t="shared" si="5"/>
        <v>454.70400000000001</v>
      </c>
      <c r="O27" s="19">
        <f t="shared" si="6"/>
        <v>2180.627</v>
      </c>
      <c r="Q27" s="24">
        <f t="shared" si="7"/>
        <v>-2136.9999999988067</v>
      </c>
      <c r="R27" s="22">
        <f t="shared" si="8"/>
        <v>-2.2664748700740311E-4</v>
      </c>
      <c r="V27" s="26">
        <f t="shared" si="9"/>
        <v>-7145.9999999997308</v>
      </c>
      <c r="W27" s="22">
        <f t="shared" si="10"/>
        <v>-1.1671209008878858E-3</v>
      </c>
      <c r="AA27" s="26">
        <f t="shared" si="11"/>
        <v>2279.9999999997453</v>
      </c>
      <c r="AB27" s="22">
        <f t="shared" si="12"/>
        <v>7.988773670681848E-4</v>
      </c>
      <c r="AF27" s="26">
        <f t="shared" si="13"/>
        <v>2728.999999999985</v>
      </c>
      <c r="AG27" s="22">
        <f t="shared" si="14"/>
        <v>6.0379445765805784E-3</v>
      </c>
    </row>
    <row r="28" spans="1:33" x14ac:dyDescent="0.3">
      <c r="A28" s="8">
        <v>41671</v>
      </c>
      <c r="B28" s="9">
        <v>6109.5209999999997</v>
      </c>
      <c r="C28" s="10">
        <v>2864.7930000000001</v>
      </c>
      <c r="D28" s="11">
        <v>456.49400000000003</v>
      </c>
      <c r="E28" s="11">
        <v>421.44799999999998</v>
      </c>
      <c r="F28" s="11">
        <v>1463.739</v>
      </c>
      <c r="G28" s="11">
        <v>297.15300000000002</v>
      </c>
      <c r="H28" s="7">
        <f t="shared" si="1"/>
        <v>11613.148000000001</v>
      </c>
      <c r="J28" s="25">
        <f t="shared" si="0"/>
        <v>41671</v>
      </c>
      <c r="K28" s="18">
        <f t="shared" si="2"/>
        <v>9430.8080000000009</v>
      </c>
      <c r="L28" s="18">
        <f t="shared" si="3"/>
        <v>6109.5209999999997</v>
      </c>
      <c r="M28" s="18">
        <f t="shared" si="4"/>
        <v>2864.7930000000001</v>
      </c>
      <c r="N28" s="18">
        <f t="shared" si="5"/>
        <v>456.49400000000003</v>
      </c>
      <c r="O28" s="19">
        <f t="shared" si="6"/>
        <v>2182.34</v>
      </c>
      <c r="Q28" s="24">
        <f t="shared" si="7"/>
        <v>4206.000000000131</v>
      </c>
      <c r="R28" s="22">
        <f t="shared" si="8"/>
        <v>4.4618410748653581E-4</v>
      </c>
      <c r="V28" s="26">
        <f t="shared" si="9"/>
        <v>-6092.000000000553</v>
      </c>
      <c r="W28" s="22">
        <f t="shared" si="10"/>
        <v>-9.9613889891336793E-4</v>
      </c>
      <c r="AA28" s="26">
        <f t="shared" si="11"/>
        <v>8508.0000000002656</v>
      </c>
      <c r="AB28" s="22">
        <f t="shared" si="12"/>
        <v>2.9786943529794829E-3</v>
      </c>
      <c r="AF28" s="26">
        <f t="shared" si="13"/>
        <v>1790.0000000000205</v>
      </c>
      <c r="AG28" s="22">
        <f t="shared" si="14"/>
        <v>3.9366269045357782E-3</v>
      </c>
    </row>
    <row r="29" spans="1:33" x14ac:dyDescent="0.3">
      <c r="A29" s="8">
        <v>41699</v>
      </c>
      <c r="B29" s="9">
        <v>6090.4250000000002</v>
      </c>
      <c r="C29" s="10">
        <v>2814.107</v>
      </c>
      <c r="D29" s="11">
        <v>454.649</v>
      </c>
      <c r="E29" s="11">
        <v>423.85700000000003</v>
      </c>
      <c r="F29" s="11">
        <v>1462.85</v>
      </c>
      <c r="G29" s="11">
        <v>300.505</v>
      </c>
      <c r="H29" s="7">
        <f t="shared" si="1"/>
        <v>11546.392999999998</v>
      </c>
      <c r="J29" s="25">
        <f t="shared" si="0"/>
        <v>41699</v>
      </c>
      <c r="K29" s="18">
        <f t="shared" si="2"/>
        <v>9359.1809999999987</v>
      </c>
      <c r="L29" s="18">
        <f t="shared" si="3"/>
        <v>6090.4250000000002</v>
      </c>
      <c r="M29" s="18">
        <f t="shared" si="4"/>
        <v>2814.107</v>
      </c>
      <c r="N29" s="18">
        <f t="shared" si="5"/>
        <v>454.649</v>
      </c>
      <c r="O29" s="19">
        <f t="shared" si="6"/>
        <v>2187.212</v>
      </c>
      <c r="Q29" s="24">
        <f t="shared" si="7"/>
        <v>-71627.000000002226</v>
      </c>
      <c r="R29" s="22">
        <f t="shared" si="8"/>
        <v>-7.5950014039096736E-3</v>
      </c>
      <c r="V29" s="26">
        <f t="shared" si="9"/>
        <v>-19095.999999999549</v>
      </c>
      <c r="W29" s="22">
        <f t="shared" si="10"/>
        <v>-3.1256132845766116E-3</v>
      </c>
      <c r="AA29" s="26">
        <f t="shared" si="11"/>
        <v>-50686.000000000146</v>
      </c>
      <c r="AB29" s="22">
        <f t="shared" si="12"/>
        <v>-1.7692726839251605E-2</v>
      </c>
      <c r="AF29" s="26">
        <f t="shared" si="13"/>
        <v>-1845.0000000000273</v>
      </c>
      <c r="AG29" s="22">
        <f t="shared" si="14"/>
        <v>-4.0416741512484533E-3</v>
      </c>
    </row>
    <row r="30" spans="1:33" x14ac:dyDescent="0.3">
      <c r="A30" s="8">
        <v>41730</v>
      </c>
      <c r="B30" s="9">
        <v>6095.1610000000001</v>
      </c>
      <c r="C30" s="10">
        <v>2874.8</v>
      </c>
      <c r="D30" s="11">
        <v>454.18599999999998</v>
      </c>
      <c r="E30" s="11">
        <v>423.28</v>
      </c>
      <c r="F30" s="11">
        <v>1466.9670000000001</v>
      </c>
      <c r="G30" s="11">
        <v>304.11500000000001</v>
      </c>
      <c r="H30" s="7">
        <f t="shared" si="1"/>
        <v>11618.509</v>
      </c>
      <c r="J30" s="25">
        <f t="shared" si="0"/>
        <v>41730</v>
      </c>
      <c r="K30" s="18">
        <f t="shared" si="2"/>
        <v>9424.146999999999</v>
      </c>
      <c r="L30" s="18">
        <f t="shared" si="3"/>
        <v>6095.1610000000001</v>
      </c>
      <c r="M30" s="18">
        <f t="shared" si="4"/>
        <v>2874.8</v>
      </c>
      <c r="N30" s="18">
        <f t="shared" si="5"/>
        <v>454.18599999999998</v>
      </c>
      <c r="O30" s="19">
        <f t="shared" si="6"/>
        <v>2194.3620000000001</v>
      </c>
      <c r="Q30" s="24">
        <f t="shared" si="7"/>
        <v>64966.000000000349</v>
      </c>
      <c r="R30" s="22">
        <f t="shared" si="8"/>
        <v>6.9414193400043622E-3</v>
      </c>
      <c r="V30" s="26">
        <f t="shared" si="9"/>
        <v>4735.9999999998763</v>
      </c>
      <c r="W30" s="22">
        <f t="shared" si="10"/>
        <v>7.7761404171305948E-4</v>
      </c>
      <c r="AA30" s="26">
        <f t="shared" si="11"/>
        <v>60693.000000000211</v>
      </c>
      <c r="AB30" s="22">
        <f t="shared" si="12"/>
        <v>2.1567410194424097E-2</v>
      </c>
      <c r="AF30" s="26">
        <f t="shared" si="13"/>
        <v>-463.00000000002228</v>
      </c>
      <c r="AG30" s="22">
        <f t="shared" si="14"/>
        <v>-1.0183680157660469E-3</v>
      </c>
    </row>
    <row r="31" spans="1:33" x14ac:dyDescent="0.3">
      <c r="A31" s="8">
        <v>41760</v>
      </c>
      <c r="B31" s="9">
        <v>6104.1319999999996</v>
      </c>
      <c r="C31" s="10">
        <v>2884.2420000000002</v>
      </c>
      <c r="D31" s="11">
        <v>456.43900000000002</v>
      </c>
      <c r="E31" s="11">
        <v>420.77699999999999</v>
      </c>
      <c r="F31" s="11">
        <v>1473.127</v>
      </c>
      <c r="G31" s="11">
        <v>306.66000000000003</v>
      </c>
      <c r="H31" s="7">
        <f t="shared" si="1"/>
        <v>11645.377</v>
      </c>
      <c r="J31" s="25">
        <f t="shared" si="0"/>
        <v>41760</v>
      </c>
      <c r="K31" s="18">
        <f t="shared" si="2"/>
        <v>9444.8130000000001</v>
      </c>
      <c r="L31" s="18">
        <f t="shared" si="3"/>
        <v>6104.1319999999996</v>
      </c>
      <c r="M31" s="18">
        <f t="shared" si="4"/>
        <v>2884.2420000000002</v>
      </c>
      <c r="N31" s="18">
        <f t="shared" si="5"/>
        <v>456.43900000000002</v>
      </c>
      <c r="O31" s="19">
        <f t="shared" si="6"/>
        <v>2200.5639999999999</v>
      </c>
      <c r="Q31" s="24">
        <f t="shared" si="7"/>
        <v>20666.000000001077</v>
      </c>
      <c r="R31" s="22">
        <f t="shared" si="8"/>
        <v>2.1928775092325825E-3</v>
      </c>
      <c r="V31" s="26">
        <f t="shared" si="9"/>
        <v>8970.9999999995489</v>
      </c>
      <c r="W31" s="22">
        <f t="shared" si="10"/>
        <v>1.4718233037649409E-3</v>
      </c>
      <c r="AA31" s="26">
        <f t="shared" si="11"/>
        <v>9442.0000000000073</v>
      </c>
      <c r="AB31" s="22">
        <f t="shared" si="12"/>
        <v>3.2844023932099287E-3</v>
      </c>
      <c r="AF31" s="26">
        <f t="shared" si="13"/>
        <v>2253.0000000000427</v>
      </c>
      <c r="AG31" s="22">
        <f t="shared" si="14"/>
        <v>4.9605227814155661E-3</v>
      </c>
    </row>
    <row r="32" spans="1:33" x14ac:dyDescent="0.3">
      <c r="A32" s="8">
        <v>41791</v>
      </c>
      <c r="B32" s="9">
        <v>6110.3149999999996</v>
      </c>
      <c r="C32" s="10">
        <v>2892.5590000000002</v>
      </c>
      <c r="D32" s="11">
        <v>459.43700000000001</v>
      </c>
      <c r="E32" s="11">
        <v>417.40300000000002</v>
      </c>
      <c r="F32" s="11">
        <v>1479.749</v>
      </c>
      <c r="G32" s="11">
        <v>310.05700000000002</v>
      </c>
      <c r="H32" s="7">
        <f t="shared" si="1"/>
        <v>11669.52</v>
      </c>
      <c r="J32" s="25">
        <f t="shared" si="0"/>
        <v>41791</v>
      </c>
      <c r="K32" s="18">
        <f t="shared" si="2"/>
        <v>9462.3109999999997</v>
      </c>
      <c r="L32" s="18">
        <f t="shared" si="3"/>
        <v>6110.3149999999996</v>
      </c>
      <c r="M32" s="18">
        <f t="shared" si="4"/>
        <v>2892.5590000000002</v>
      </c>
      <c r="N32" s="18">
        <f t="shared" si="5"/>
        <v>459.43700000000001</v>
      </c>
      <c r="O32" s="19">
        <f t="shared" si="6"/>
        <v>2207.2089999999998</v>
      </c>
      <c r="Q32" s="24">
        <f t="shared" si="7"/>
        <v>17497.999999999593</v>
      </c>
      <c r="R32" s="22">
        <f t="shared" si="8"/>
        <v>1.8526571145451864E-3</v>
      </c>
      <c r="V32" s="26">
        <f t="shared" si="9"/>
        <v>6182.9999999999927</v>
      </c>
      <c r="W32" s="22">
        <f t="shared" si="10"/>
        <v>1.0129204283262361E-3</v>
      </c>
      <c r="AA32" s="26">
        <f t="shared" si="11"/>
        <v>8317.0000000000073</v>
      </c>
      <c r="AB32" s="22">
        <f t="shared" si="12"/>
        <v>2.8835999198402185E-3</v>
      </c>
      <c r="AF32" s="26">
        <f t="shared" si="13"/>
        <v>2997.9999999999905</v>
      </c>
      <c r="AG32" s="22">
        <f t="shared" si="14"/>
        <v>6.5682380339979751E-3</v>
      </c>
    </row>
    <row r="33" spans="1:33" x14ac:dyDescent="0.3">
      <c r="A33" s="8">
        <v>41821</v>
      </c>
      <c r="B33" s="9">
        <v>6112.2070000000003</v>
      </c>
      <c r="C33" s="10">
        <v>2902.259</v>
      </c>
      <c r="D33" s="11">
        <v>460.55</v>
      </c>
      <c r="E33" s="11">
        <v>415.32600000000002</v>
      </c>
      <c r="F33" s="11">
        <v>1480.1310000000001</v>
      </c>
      <c r="G33" s="11">
        <v>313.79000000000002</v>
      </c>
      <c r="H33" s="7">
        <f t="shared" si="1"/>
        <v>11684.263000000001</v>
      </c>
      <c r="J33" s="25">
        <f t="shared" si="0"/>
        <v>41821</v>
      </c>
      <c r="K33" s="18">
        <f t="shared" si="2"/>
        <v>9475.0159999999996</v>
      </c>
      <c r="L33" s="18">
        <f t="shared" si="3"/>
        <v>6112.2070000000003</v>
      </c>
      <c r="M33" s="18">
        <f t="shared" si="4"/>
        <v>2902.259</v>
      </c>
      <c r="N33" s="18">
        <f t="shared" si="5"/>
        <v>460.55</v>
      </c>
      <c r="O33" s="19">
        <f t="shared" si="6"/>
        <v>2209.2470000000003</v>
      </c>
      <c r="Q33" s="24">
        <f t="shared" si="7"/>
        <v>12704.999999999927</v>
      </c>
      <c r="R33" s="22">
        <f t="shared" si="8"/>
        <v>1.3426952464361541E-3</v>
      </c>
      <c r="V33" s="26">
        <f t="shared" si="9"/>
        <v>1892.0000000007349</v>
      </c>
      <c r="W33" s="22">
        <f t="shared" si="10"/>
        <v>3.0964033769143029E-4</v>
      </c>
      <c r="AA33" s="26">
        <f t="shared" si="11"/>
        <v>9699.9999999998181</v>
      </c>
      <c r="AB33" s="22">
        <f t="shared" si="12"/>
        <v>3.3534320302541776E-3</v>
      </c>
      <c r="AF33" s="26">
        <f t="shared" si="13"/>
        <v>1112.9999999999995</v>
      </c>
      <c r="AG33" s="22">
        <f t="shared" si="14"/>
        <v>2.4225301836813262E-3</v>
      </c>
    </row>
    <row r="34" spans="1:33" x14ac:dyDescent="0.3">
      <c r="A34" s="8">
        <v>41852</v>
      </c>
      <c r="B34" s="9">
        <v>6110.348</v>
      </c>
      <c r="C34" s="10">
        <v>2907.2330000000002</v>
      </c>
      <c r="D34" s="11">
        <v>460.49599999999998</v>
      </c>
      <c r="E34" s="11">
        <v>413.30799999999999</v>
      </c>
      <c r="F34" s="11">
        <v>1480.8489999999999</v>
      </c>
      <c r="G34" s="11">
        <v>315.99799999999999</v>
      </c>
      <c r="H34" s="7">
        <f t="shared" si="1"/>
        <v>11688.231999999998</v>
      </c>
      <c r="J34" s="25">
        <f t="shared" si="0"/>
        <v>41852</v>
      </c>
      <c r="K34" s="18">
        <f t="shared" si="2"/>
        <v>9478.0769999999993</v>
      </c>
      <c r="L34" s="18">
        <f t="shared" si="3"/>
        <v>6110.348</v>
      </c>
      <c r="M34" s="18">
        <f t="shared" si="4"/>
        <v>2907.2330000000002</v>
      </c>
      <c r="N34" s="18">
        <f t="shared" si="5"/>
        <v>460.49599999999998</v>
      </c>
      <c r="O34" s="19">
        <f t="shared" si="6"/>
        <v>2210.1549999999997</v>
      </c>
      <c r="Q34" s="24">
        <f t="shared" si="7"/>
        <v>3060.9999999996944</v>
      </c>
      <c r="R34" s="22">
        <f t="shared" si="8"/>
        <v>3.2306014047889242E-4</v>
      </c>
      <c r="V34" s="26">
        <f t="shared" si="9"/>
        <v>-1859.0000000003783</v>
      </c>
      <c r="W34" s="22">
        <f t="shared" si="10"/>
        <v>-3.0414545842449847E-4</v>
      </c>
      <c r="AA34" s="26">
        <f t="shared" si="11"/>
        <v>4974.0000000001601</v>
      </c>
      <c r="AB34" s="22">
        <f t="shared" si="12"/>
        <v>1.713837393561457E-3</v>
      </c>
      <c r="AF34" s="26">
        <f t="shared" si="13"/>
        <v>-54.000000000030468</v>
      </c>
      <c r="AG34" s="22">
        <f t="shared" si="14"/>
        <v>-1.1725111280003198E-4</v>
      </c>
    </row>
    <row r="35" spans="1:33" x14ac:dyDescent="0.3">
      <c r="A35" s="8">
        <v>41883</v>
      </c>
      <c r="B35" s="9">
        <v>6120.076</v>
      </c>
      <c r="C35" s="10">
        <v>2925.3130000000001</v>
      </c>
      <c r="D35" s="11">
        <v>460.447</v>
      </c>
      <c r="E35" s="11">
        <v>410.62200000000001</v>
      </c>
      <c r="F35" s="11">
        <v>1484.559</v>
      </c>
      <c r="G35" s="11">
        <v>321.65100000000001</v>
      </c>
      <c r="H35" s="7">
        <f t="shared" si="1"/>
        <v>11722.667999999998</v>
      </c>
      <c r="J35" s="25">
        <f t="shared" si="0"/>
        <v>41883</v>
      </c>
      <c r="K35" s="18">
        <f t="shared" si="2"/>
        <v>9505.8359999999993</v>
      </c>
      <c r="L35" s="18">
        <f t="shared" si="3"/>
        <v>6120.076</v>
      </c>
      <c r="M35" s="18">
        <f t="shared" si="4"/>
        <v>2925.3130000000001</v>
      </c>
      <c r="N35" s="18">
        <f t="shared" si="5"/>
        <v>460.447</v>
      </c>
      <c r="O35" s="19">
        <f t="shared" si="6"/>
        <v>2216.8319999999999</v>
      </c>
      <c r="Q35" s="24">
        <f t="shared" si="7"/>
        <v>27759.000000000015</v>
      </c>
      <c r="R35" s="22">
        <f t="shared" si="8"/>
        <v>2.9287586500932328E-3</v>
      </c>
      <c r="V35" s="26">
        <f t="shared" si="9"/>
        <v>9728.0000000000655</v>
      </c>
      <c r="W35" s="22">
        <f t="shared" si="10"/>
        <v>1.5920533494981903E-3</v>
      </c>
      <c r="AA35" s="26">
        <f t="shared" si="11"/>
        <v>18079.999999999927</v>
      </c>
      <c r="AB35" s="22">
        <f t="shared" si="12"/>
        <v>6.2189717851992565E-3</v>
      </c>
      <c r="AF35" s="26">
        <f t="shared" si="13"/>
        <v>-48.999999999978172</v>
      </c>
      <c r="AG35" s="22">
        <f t="shared" si="14"/>
        <v>-1.0640700462105634E-4</v>
      </c>
    </row>
    <row r="36" spans="1:33" x14ac:dyDescent="0.3">
      <c r="A36" s="8">
        <v>41913</v>
      </c>
      <c r="B36" s="9">
        <v>6128.268</v>
      </c>
      <c r="C36" s="10">
        <v>2928.848</v>
      </c>
      <c r="D36" s="11">
        <v>460.76799999999997</v>
      </c>
      <c r="E36" s="11">
        <v>408.226</v>
      </c>
      <c r="F36" s="11">
        <v>1484.5139999999999</v>
      </c>
      <c r="G36" s="11">
        <v>329.10599999999999</v>
      </c>
      <c r="H36" s="7">
        <f t="shared" si="1"/>
        <v>11739.73</v>
      </c>
      <c r="J36" s="25">
        <f t="shared" si="0"/>
        <v>41913</v>
      </c>
      <c r="K36" s="18">
        <f t="shared" si="2"/>
        <v>9517.884</v>
      </c>
      <c r="L36" s="18">
        <f t="shared" si="3"/>
        <v>6128.268</v>
      </c>
      <c r="M36" s="18">
        <f t="shared" si="4"/>
        <v>2928.848</v>
      </c>
      <c r="N36" s="18">
        <f t="shared" si="5"/>
        <v>460.76799999999997</v>
      </c>
      <c r="O36" s="19">
        <f t="shared" si="6"/>
        <v>2221.8459999999995</v>
      </c>
      <c r="Q36" s="24">
        <f t="shared" si="7"/>
        <v>12048.000000000684</v>
      </c>
      <c r="R36" s="22">
        <f t="shared" si="8"/>
        <v>1.2674319228735964E-3</v>
      </c>
      <c r="V36" s="26">
        <f t="shared" si="9"/>
        <v>8192.0000000000073</v>
      </c>
      <c r="W36" s="22">
        <f t="shared" si="10"/>
        <v>1.3385454690431065E-3</v>
      </c>
      <c r="AA36" s="26">
        <f t="shared" si="11"/>
        <v>3534.9999999998545</v>
      </c>
      <c r="AB36" s="22">
        <f t="shared" si="12"/>
        <v>1.2084176975248884E-3</v>
      </c>
      <c r="AF36" s="26">
        <f t="shared" si="13"/>
        <v>320.99999999996953</v>
      </c>
      <c r="AG36" s="22">
        <f t="shared" si="14"/>
        <v>6.9714864034287061E-4</v>
      </c>
    </row>
    <row r="37" spans="1:33" x14ac:dyDescent="0.3">
      <c r="A37" s="8">
        <v>41944</v>
      </c>
      <c r="B37" s="9">
        <v>6135.1959999999999</v>
      </c>
      <c r="C37" s="10">
        <v>2943.5990000000002</v>
      </c>
      <c r="D37" s="11">
        <v>459.88799999999998</v>
      </c>
      <c r="E37" s="11">
        <v>407.13400000000001</v>
      </c>
      <c r="F37" s="11">
        <v>1474.0060000000001</v>
      </c>
      <c r="G37" s="11">
        <v>333.73</v>
      </c>
      <c r="H37" s="7">
        <f t="shared" si="1"/>
        <v>11753.553</v>
      </c>
      <c r="J37" s="25">
        <f t="shared" si="0"/>
        <v>41944</v>
      </c>
      <c r="K37" s="18">
        <f t="shared" si="2"/>
        <v>9538.6830000000009</v>
      </c>
      <c r="L37" s="18">
        <f t="shared" si="3"/>
        <v>6135.1959999999999</v>
      </c>
      <c r="M37" s="18">
        <f t="shared" si="4"/>
        <v>2943.5990000000002</v>
      </c>
      <c r="N37" s="18">
        <f t="shared" si="5"/>
        <v>459.88799999999998</v>
      </c>
      <c r="O37" s="19">
        <f t="shared" si="6"/>
        <v>2214.87</v>
      </c>
      <c r="Q37" s="24">
        <f t="shared" si="7"/>
        <v>20799.000000000888</v>
      </c>
      <c r="R37" s="22">
        <f t="shared" si="8"/>
        <v>2.1852546217207003E-3</v>
      </c>
      <c r="V37" s="26">
        <f t="shared" si="9"/>
        <v>6927.9999999998836</v>
      </c>
      <c r="W37" s="22">
        <f t="shared" si="10"/>
        <v>1.1304988619948997E-3</v>
      </c>
      <c r="AA37" s="26">
        <f t="shared" si="11"/>
        <v>14751.000000000204</v>
      </c>
      <c r="AB37" s="22">
        <f t="shared" si="12"/>
        <v>5.0364511917313504E-3</v>
      </c>
      <c r="AF37" s="26">
        <f t="shared" si="13"/>
        <v>-879.99999999999545</v>
      </c>
      <c r="AG37" s="22">
        <f t="shared" si="14"/>
        <v>-1.9098548510313451E-3</v>
      </c>
    </row>
    <row r="38" spans="1:33" x14ac:dyDescent="0.3">
      <c r="A38" s="8">
        <v>41974</v>
      </c>
      <c r="B38" s="9">
        <v>6142.4309999999996</v>
      </c>
      <c r="C38" s="10">
        <v>2942.12</v>
      </c>
      <c r="D38" s="11">
        <v>448.12700000000001</v>
      </c>
      <c r="E38" s="11">
        <v>406.94799999999998</v>
      </c>
      <c r="F38" s="11">
        <v>1452.972</v>
      </c>
      <c r="G38" s="11">
        <v>337.971</v>
      </c>
      <c r="H38" s="7">
        <f t="shared" si="1"/>
        <v>11730.569</v>
      </c>
      <c r="J38" s="25">
        <f t="shared" si="0"/>
        <v>41974</v>
      </c>
      <c r="K38" s="18">
        <f t="shared" si="2"/>
        <v>9532.6779999999999</v>
      </c>
      <c r="L38" s="18">
        <f t="shared" si="3"/>
        <v>6142.4309999999996</v>
      </c>
      <c r="M38" s="18">
        <f t="shared" si="4"/>
        <v>2942.12</v>
      </c>
      <c r="N38" s="18">
        <f t="shared" si="5"/>
        <v>448.12700000000001</v>
      </c>
      <c r="O38" s="19">
        <f t="shared" si="6"/>
        <v>2197.8910000000001</v>
      </c>
      <c r="Q38" s="24">
        <f t="shared" si="7"/>
        <v>-6005.0000000010186</v>
      </c>
      <c r="R38" s="22">
        <f t="shared" si="8"/>
        <v>-6.2954183507313299E-4</v>
      </c>
      <c r="V38" s="26">
        <f t="shared" si="9"/>
        <v>7234.9999999996726</v>
      </c>
      <c r="W38" s="22">
        <f t="shared" si="10"/>
        <v>1.1792614286487701E-3</v>
      </c>
      <c r="AA38" s="26">
        <f t="shared" si="11"/>
        <v>-1479.0000000002692</v>
      </c>
      <c r="AB38" s="22">
        <f t="shared" si="12"/>
        <v>-5.0244615519989821E-4</v>
      </c>
      <c r="AF38" s="26">
        <f t="shared" si="13"/>
        <v>-11760.999999999967</v>
      </c>
      <c r="AG38" s="22">
        <f t="shared" si="14"/>
        <v>-2.5573617924364078E-2</v>
      </c>
    </row>
    <row r="39" spans="1:33" x14ac:dyDescent="0.3">
      <c r="A39" s="8">
        <v>42005</v>
      </c>
      <c r="B39" s="9">
        <v>6163.5519999999997</v>
      </c>
      <c r="C39" s="10">
        <v>2956.1860000000001</v>
      </c>
      <c r="D39" s="11">
        <v>440.60300000000001</v>
      </c>
      <c r="E39" s="11">
        <v>407.04599999999999</v>
      </c>
      <c r="F39" s="11">
        <v>1439.653</v>
      </c>
      <c r="G39" s="11">
        <v>341.952</v>
      </c>
      <c r="H39" s="7">
        <f t="shared" si="1"/>
        <v>11748.991999999998</v>
      </c>
      <c r="J39" s="25">
        <f t="shared" si="0"/>
        <v>42005</v>
      </c>
      <c r="K39" s="18">
        <f t="shared" si="2"/>
        <v>9560.3409999999985</v>
      </c>
      <c r="L39" s="18">
        <f t="shared" si="3"/>
        <v>6163.5519999999997</v>
      </c>
      <c r="M39" s="18">
        <f t="shared" si="4"/>
        <v>2956.1860000000001</v>
      </c>
      <c r="N39" s="18">
        <f t="shared" si="5"/>
        <v>440.60300000000001</v>
      </c>
      <c r="O39" s="19">
        <f t="shared" si="6"/>
        <v>2188.6509999999998</v>
      </c>
      <c r="Q39" s="24">
        <f t="shared" si="7"/>
        <v>27662.999999998647</v>
      </c>
      <c r="R39" s="22">
        <f t="shared" si="8"/>
        <v>2.9019127678495682E-3</v>
      </c>
      <c r="V39" s="26">
        <f t="shared" si="9"/>
        <v>21121.000000000095</v>
      </c>
      <c r="W39" s="22">
        <f t="shared" si="10"/>
        <v>3.4385408643580195E-3</v>
      </c>
      <c r="AA39" s="26">
        <f t="shared" si="11"/>
        <v>14066.000000000258</v>
      </c>
      <c r="AB39" s="22">
        <f t="shared" si="12"/>
        <v>4.7809062852637307E-3</v>
      </c>
      <c r="AF39" s="26">
        <f t="shared" si="13"/>
        <v>-7524.0000000000009</v>
      </c>
      <c r="AG39" s="22">
        <f t="shared" si="14"/>
        <v>-1.6789883225067914E-2</v>
      </c>
    </row>
    <row r="40" spans="1:33" x14ac:dyDescent="0.3">
      <c r="A40" s="8">
        <v>42036</v>
      </c>
      <c r="B40" s="9">
        <v>6177.9470000000001</v>
      </c>
      <c r="C40" s="10">
        <v>2967.221</v>
      </c>
      <c r="D40" s="11">
        <v>440.66300000000001</v>
      </c>
      <c r="E40" s="11">
        <v>412.63200000000001</v>
      </c>
      <c r="F40" s="11">
        <v>1429.6379999999999</v>
      </c>
      <c r="G40" s="11">
        <v>346.53500000000003</v>
      </c>
      <c r="H40" s="7">
        <f t="shared" si="1"/>
        <v>11774.635999999999</v>
      </c>
      <c r="J40" s="25">
        <f t="shared" si="0"/>
        <v>42036</v>
      </c>
      <c r="K40" s="18">
        <f t="shared" si="2"/>
        <v>9585.8310000000001</v>
      </c>
      <c r="L40" s="18">
        <f t="shared" si="3"/>
        <v>6177.9470000000001</v>
      </c>
      <c r="M40" s="18">
        <f t="shared" si="4"/>
        <v>2967.221</v>
      </c>
      <c r="N40" s="18">
        <f t="shared" si="5"/>
        <v>440.66300000000001</v>
      </c>
      <c r="O40" s="19">
        <f t="shared" si="6"/>
        <v>2188.8049999999998</v>
      </c>
      <c r="Q40" s="24">
        <f t="shared" si="7"/>
        <v>25490.000000001601</v>
      </c>
      <c r="R40" s="22">
        <f t="shared" si="8"/>
        <v>2.6662228889118289E-3</v>
      </c>
      <c r="V40" s="26">
        <f t="shared" si="9"/>
        <v>14395.000000000437</v>
      </c>
      <c r="W40" s="22">
        <f t="shared" si="10"/>
        <v>2.3355039431809388E-3</v>
      </c>
      <c r="AA40" s="26">
        <f t="shared" si="11"/>
        <v>11034.999999999854</v>
      </c>
      <c r="AB40" s="22">
        <f t="shared" si="12"/>
        <v>3.7328503686844261E-3</v>
      </c>
      <c r="AF40" s="26">
        <f t="shared" si="13"/>
        <v>60.000000000002274</v>
      </c>
      <c r="AG40" s="22">
        <f t="shared" si="14"/>
        <v>1.3617701195856036E-4</v>
      </c>
    </row>
    <row r="41" spans="1:33" x14ac:dyDescent="0.3">
      <c r="A41" s="8">
        <v>42064</v>
      </c>
      <c r="B41" s="9">
        <v>6187.7280000000001</v>
      </c>
      <c r="C41" s="10">
        <v>2974.47</v>
      </c>
      <c r="D41" s="11">
        <v>442.137</v>
      </c>
      <c r="E41" s="11">
        <v>411.24200000000002</v>
      </c>
      <c r="F41" s="11">
        <v>1432.931</v>
      </c>
      <c r="G41" s="11">
        <v>348.214</v>
      </c>
      <c r="H41" s="7">
        <f t="shared" si="1"/>
        <v>11796.722000000002</v>
      </c>
      <c r="J41" s="25">
        <f t="shared" si="0"/>
        <v>42064</v>
      </c>
      <c r="K41" s="18">
        <f t="shared" si="2"/>
        <v>9604.3350000000009</v>
      </c>
      <c r="L41" s="18">
        <f t="shared" si="3"/>
        <v>6187.7280000000001</v>
      </c>
      <c r="M41" s="18">
        <f t="shared" si="4"/>
        <v>2974.47</v>
      </c>
      <c r="N41" s="18">
        <f t="shared" si="5"/>
        <v>442.137</v>
      </c>
      <c r="O41" s="19">
        <f t="shared" si="6"/>
        <v>2192.3870000000002</v>
      </c>
      <c r="Q41" s="24">
        <f t="shared" si="7"/>
        <v>18504.000000000815</v>
      </c>
      <c r="R41" s="22">
        <f t="shared" si="8"/>
        <v>1.9303490745874452E-3</v>
      </c>
      <c r="V41" s="26">
        <f t="shared" si="9"/>
        <v>9780.9999999999491</v>
      </c>
      <c r="W41" s="22">
        <f t="shared" si="10"/>
        <v>1.583212028202885E-3</v>
      </c>
      <c r="AA41" s="26">
        <f t="shared" si="11"/>
        <v>7248.9999999997963</v>
      </c>
      <c r="AB41" s="22">
        <f t="shared" si="12"/>
        <v>2.4430266569290815E-3</v>
      </c>
      <c r="AF41" s="26">
        <f t="shared" si="13"/>
        <v>1473.9999999999895</v>
      </c>
      <c r="AG41" s="22">
        <f t="shared" si="14"/>
        <v>3.3449597538255382E-3</v>
      </c>
    </row>
    <row r="42" spans="1:33" x14ac:dyDescent="0.3">
      <c r="A42" s="8">
        <v>42095</v>
      </c>
      <c r="B42" s="9">
        <v>6224.4949999999999</v>
      </c>
      <c r="C42" s="10">
        <v>2988.5610000000001</v>
      </c>
      <c r="D42" s="11">
        <v>441.65199999999999</v>
      </c>
      <c r="E42" s="11">
        <v>411.78100000000001</v>
      </c>
      <c r="F42" s="11">
        <v>1433.3789999999999</v>
      </c>
      <c r="G42" s="11">
        <v>349.428</v>
      </c>
      <c r="H42" s="7">
        <f t="shared" si="1"/>
        <v>11849.296000000002</v>
      </c>
      <c r="J42" s="25">
        <f t="shared" si="0"/>
        <v>42095</v>
      </c>
      <c r="K42" s="18">
        <f t="shared" si="2"/>
        <v>9654.7080000000005</v>
      </c>
      <c r="L42" s="18">
        <f t="shared" si="3"/>
        <v>6224.4949999999999</v>
      </c>
      <c r="M42" s="18">
        <f t="shared" si="4"/>
        <v>2988.5610000000001</v>
      </c>
      <c r="N42" s="18">
        <f t="shared" si="5"/>
        <v>441.65199999999999</v>
      </c>
      <c r="O42" s="19">
        <f t="shared" si="6"/>
        <v>2194.5879999999997</v>
      </c>
      <c r="Q42" s="24">
        <f t="shared" si="7"/>
        <v>50372.999999999593</v>
      </c>
      <c r="R42" s="22">
        <f t="shared" si="8"/>
        <v>5.2448191363587693E-3</v>
      </c>
      <c r="V42" s="26">
        <f t="shared" si="9"/>
        <v>36766.999999999825</v>
      </c>
      <c r="W42" s="22">
        <f t="shared" si="10"/>
        <v>5.9419224633014966E-3</v>
      </c>
      <c r="AA42" s="26">
        <f t="shared" si="11"/>
        <v>14091.000000000349</v>
      </c>
      <c r="AB42" s="22">
        <f t="shared" si="12"/>
        <v>4.7373145467932698E-3</v>
      </c>
      <c r="AF42" s="26">
        <f t="shared" si="13"/>
        <v>-485.00000000001364</v>
      </c>
      <c r="AG42" s="22">
        <f t="shared" si="14"/>
        <v>-1.0969450645388346E-3</v>
      </c>
    </row>
    <row r="43" spans="1:33" x14ac:dyDescent="0.3">
      <c r="A43" s="8">
        <v>42125</v>
      </c>
      <c r="B43" s="9">
        <v>6228.5240000000003</v>
      </c>
      <c r="C43" s="10">
        <v>3003.1860000000001</v>
      </c>
      <c r="D43" s="11">
        <v>441.58699999999999</v>
      </c>
      <c r="E43" s="11">
        <v>411.50099999999998</v>
      </c>
      <c r="F43" s="11">
        <v>1439.336</v>
      </c>
      <c r="G43" s="11">
        <v>351.245</v>
      </c>
      <c r="H43" s="7">
        <f t="shared" si="1"/>
        <v>11875.379000000001</v>
      </c>
      <c r="J43" s="25">
        <f t="shared" si="0"/>
        <v>42125</v>
      </c>
      <c r="K43" s="18">
        <f t="shared" si="2"/>
        <v>9673.2970000000005</v>
      </c>
      <c r="L43" s="18">
        <f t="shared" si="3"/>
        <v>6228.5240000000003</v>
      </c>
      <c r="M43" s="18">
        <f t="shared" si="4"/>
        <v>3003.1860000000001</v>
      </c>
      <c r="N43" s="18">
        <f t="shared" si="5"/>
        <v>441.58699999999999</v>
      </c>
      <c r="O43" s="19">
        <f t="shared" si="6"/>
        <v>2202.0819999999999</v>
      </c>
      <c r="Q43" s="24">
        <f t="shared" si="7"/>
        <v>18588.999999999942</v>
      </c>
      <c r="R43" s="22">
        <f t="shared" si="8"/>
        <v>1.9253818965834224E-3</v>
      </c>
      <c r="V43" s="26">
        <f t="shared" si="9"/>
        <v>4029.0000000004511</v>
      </c>
      <c r="W43" s="22">
        <f t="shared" si="10"/>
        <v>6.4728142604342231E-4</v>
      </c>
      <c r="AA43" s="26">
        <f t="shared" si="11"/>
        <v>14625</v>
      </c>
      <c r="AB43" s="22">
        <f t="shared" si="12"/>
        <v>4.8936595237640823E-3</v>
      </c>
      <c r="AF43" s="26">
        <f t="shared" si="13"/>
        <v>-64.999999999997726</v>
      </c>
      <c r="AG43" s="22">
        <f t="shared" si="14"/>
        <v>-1.4717469863145816E-4</v>
      </c>
    </row>
    <row r="44" spans="1:33" x14ac:dyDescent="0.3">
      <c r="A44" s="8">
        <v>42156</v>
      </c>
      <c r="B44" s="9">
        <v>6247.4939999999997</v>
      </c>
      <c r="C44" s="10">
        <v>3015.7139999999999</v>
      </c>
      <c r="D44" s="11">
        <v>441.35199999999998</v>
      </c>
      <c r="E44" s="11">
        <v>411.64600000000002</v>
      </c>
      <c r="F44" s="11">
        <v>1451.923</v>
      </c>
      <c r="G44" s="11">
        <v>354.31700000000001</v>
      </c>
      <c r="H44" s="7">
        <f t="shared" si="1"/>
        <v>11922.446</v>
      </c>
      <c r="J44" s="25">
        <f t="shared" si="0"/>
        <v>42156</v>
      </c>
      <c r="K44" s="18">
        <f t="shared" si="2"/>
        <v>9704.56</v>
      </c>
      <c r="L44" s="18">
        <f t="shared" si="3"/>
        <v>6247.4939999999997</v>
      </c>
      <c r="M44" s="18">
        <f t="shared" si="4"/>
        <v>3015.7139999999999</v>
      </c>
      <c r="N44" s="18">
        <f t="shared" si="5"/>
        <v>441.35199999999998</v>
      </c>
      <c r="O44" s="19">
        <f t="shared" si="6"/>
        <v>2217.886</v>
      </c>
      <c r="Q44" s="24">
        <f t="shared" si="7"/>
        <v>31262.99999999901</v>
      </c>
      <c r="R44" s="22">
        <f t="shared" si="8"/>
        <v>3.2318867083269698E-3</v>
      </c>
      <c r="V44" s="26">
        <f t="shared" si="9"/>
        <v>18969.999999999345</v>
      </c>
      <c r="W44" s="22">
        <f t="shared" si="10"/>
        <v>3.0456653935988509E-3</v>
      </c>
      <c r="AA44" s="26">
        <f t="shared" si="11"/>
        <v>12527.999999999793</v>
      </c>
      <c r="AB44" s="22">
        <f t="shared" si="12"/>
        <v>4.1715697928799145E-3</v>
      </c>
      <c r="AF44" s="26">
        <f t="shared" si="13"/>
        <v>-235.00000000001364</v>
      </c>
      <c r="AG44" s="22">
        <f t="shared" si="14"/>
        <v>-5.3217146338102594E-4</v>
      </c>
    </row>
    <row r="45" spans="1:33" x14ac:dyDescent="0.3">
      <c r="A45" s="8">
        <v>42186</v>
      </c>
      <c r="B45" s="9">
        <v>6253.2780000000002</v>
      </c>
      <c r="C45" s="10">
        <v>3056.886</v>
      </c>
      <c r="D45" s="11">
        <v>441.78300000000002</v>
      </c>
      <c r="E45" s="11">
        <v>411.024</v>
      </c>
      <c r="F45" s="11">
        <v>1454.479</v>
      </c>
      <c r="G45" s="11">
        <v>354.94</v>
      </c>
      <c r="H45" s="7">
        <f t="shared" si="1"/>
        <v>11972.39</v>
      </c>
      <c r="J45" s="25">
        <f t="shared" si="0"/>
        <v>42186</v>
      </c>
      <c r="K45" s="18">
        <f t="shared" si="2"/>
        <v>9751.9470000000001</v>
      </c>
      <c r="L45" s="18">
        <f t="shared" si="3"/>
        <v>6253.2780000000002</v>
      </c>
      <c r="M45" s="18">
        <f t="shared" si="4"/>
        <v>3056.886</v>
      </c>
      <c r="N45" s="18">
        <f t="shared" si="5"/>
        <v>441.78300000000002</v>
      </c>
      <c r="O45" s="19">
        <f t="shared" si="6"/>
        <v>2220.4430000000002</v>
      </c>
      <c r="Q45" s="24">
        <f t="shared" si="7"/>
        <v>47387.000000000626</v>
      </c>
      <c r="R45" s="22">
        <f t="shared" si="8"/>
        <v>4.8829622363095737E-3</v>
      </c>
      <c r="V45" s="26">
        <f t="shared" si="9"/>
        <v>5784.0000000005602</v>
      </c>
      <c r="W45" s="22">
        <f t="shared" si="10"/>
        <v>9.258112132641827E-4</v>
      </c>
      <c r="AA45" s="26">
        <f t="shared" si="11"/>
        <v>41172.000000000029</v>
      </c>
      <c r="AB45" s="22">
        <f t="shared" si="12"/>
        <v>1.3652488266460372E-2</v>
      </c>
      <c r="AF45" s="26">
        <f t="shared" si="13"/>
        <v>431.00000000004002</v>
      </c>
      <c r="AG45" s="22">
        <f t="shared" si="14"/>
        <v>9.7654479870956656E-4</v>
      </c>
    </row>
    <row r="46" spans="1:33" x14ac:dyDescent="0.3">
      <c r="A46" s="8">
        <v>42217</v>
      </c>
      <c r="B46" s="9">
        <v>6266.9380000000001</v>
      </c>
      <c r="C46" s="10">
        <v>3066.3829999999998</v>
      </c>
      <c r="D46" s="11">
        <v>442.84100000000001</v>
      </c>
      <c r="E46" s="11">
        <v>409.86599999999999</v>
      </c>
      <c r="F46" s="11">
        <v>1455.4870000000001</v>
      </c>
      <c r="G46" s="11">
        <v>355.18700000000001</v>
      </c>
      <c r="H46" s="7">
        <f t="shared" si="1"/>
        <v>11996.701999999999</v>
      </c>
      <c r="J46" s="25">
        <f t="shared" si="0"/>
        <v>42217</v>
      </c>
      <c r="K46" s="18">
        <f t="shared" si="2"/>
        <v>9776.1620000000003</v>
      </c>
      <c r="L46" s="18">
        <f t="shared" si="3"/>
        <v>6266.9380000000001</v>
      </c>
      <c r="M46" s="18">
        <f t="shared" si="4"/>
        <v>3066.3829999999998</v>
      </c>
      <c r="N46" s="18">
        <f t="shared" si="5"/>
        <v>442.84100000000001</v>
      </c>
      <c r="O46" s="19">
        <f t="shared" si="6"/>
        <v>2220.54</v>
      </c>
      <c r="Q46" s="24">
        <f t="shared" si="7"/>
        <v>24215.000000000146</v>
      </c>
      <c r="R46" s="22">
        <f t="shared" si="8"/>
        <v>2.4830938888409371E-3</v>
      </c>
      <c r="V46" s="26">
        <f t="shared" si="9"/>
        <v>13659.999999999854</v>
      </c>
      <c r="W46" s="22">
        <f t="shared" si="10"/>
        <v>2.1844542974100989E-3</v>
      </c>
      <c r="AA46" s="26">
        <f t="shared" si="11"/>
        <v>9496.9999999998436</v>
      </c>
      <c r="AB46" s="22">
        <f t="shared" si="12"/>
        <v>3.106756352706519E-3</v>
      </c>
      <c r="AF46" s="26">
        <f t="shared" si="13"/>
        <v>1057.9999999999927</v>
      </c>
      <c r="AG46" s="22">
        <f t="shared" si="14"/>
        <v>2.3948409060556841E-3</v>
      </c>
    </row>
    <row r="47" spans="1:33" x14ac:dyDescent="0.3">
      <c r="A47" s="8">
        <v>42248</v>
      </c>
      <c r="B47" s="9">
        <v>6260.5389999999998</v>
      </c>
      <c r="C47" s="10">
        <v>3068.788</v>
      </c>
      <c r="D47" s="11">
        <v>443.52100000000002</v>
      </c>
      <c r="E47" s="11">
        <v>409.95699999999999</v>
      </c>
      <c r="F47" s="11">
        <v>1457.8140000000001</v>
      </c>
      <c r="G47" s="11">
        <v>355.755</v>
      </c>
      <c r="H47" s="7">
        <f t="shared" si="1"/>
        <v>11996.374</v>
      </c>
      <c r="J47" s="25">
        <f t="shared" si="0"/>
        <v>42248</v>
      </c>
      <c r="K47" s="18">
        <f t="shared" si="2"/>
        <v>9772.848</v>
      </c>
      <c r="L47" s="18">
        <f t="shared" si="3"/>
        <v>6260.5389999999998</v>
      </c>
      <c r="M47" s="18">
        <f t="shared" si="4"/>
        <v>3068.788</v>
      </c>
      <c r="N47" s="18">
        <f t="shared" si="5"/>
        <v>443.52100000000002</v>
      </c>
      <c r="O47" s="19">
        <f t="shared" si="6"/>
        <v>2223.5260000000003</v>
      </c>
      <c r="Q47" s="24">
        <f t="shared" si="7"/>
        <v>-3314.0000000003056</v>
      </c>
      <c r="R47" s="22">
        <f t="shared" si="8"/>
        <v>-3.3898783592178905E-4</v>
      </c>
      <c r="V47" s="26">
        <f t="shared" si="9"/>
        <v>-6399.000000000342</v>
      </c>
      <c r="W47" s="22">
        <f t="shared" si="10"/>
        <v>-1.0210728109963929E-3</v>
      </c>
      <c r="AA47" s="26">
        <f t="shared" si="11"/>
        <v>2405.0000000002001</v>
      </c>
      <c r="AB47" s="22">
        <f t="shared" si="12"/>
        <v>7.8431167926518164E-4</v>
      </c>
      <c r="AF47" s="26">
        <f t="shared" si="13"/>
        <v>680.00000000000682</v>
      </c>
      <c r="AG47" s="22">
        <f t="shared" si="14"/>
        <v>1.5355398438716694E-3</v>
      </c>
    </row>
    <row r="48" spans="1:33" x14ac:dyDescent="0.3">
      <c r="A48" s="8">
        <v>42278</v>
      </c>
      <c r="B48" s="9">
        <v>6264.2479999999996</v>
      </c>
      <c r="C48" s="10">
        <v>3083.8359999999998</v>
      </c>
      <c r="D48" s="11">
        <v>444.11399999999998</v>
      </c>
      <c r="E48" s="11">
        <v>408.96699999999998</v>
      </c>
      <c r="F48" s="11">
        <v>1455.2529999999999</v>
      </c>
      <c r="G48" s="11">
        <v>355.13</v>
      </c>
      <c r="H48" s="7">
        <f t="shared" si="1"/>
        <v>12011.547999999999</v>
      </c>
      <c r="J48" s="25">
        <f t="shared" si="0"/>
        <v>42278</v>
      </c>
      <c r="K48" s="18">
        <f t="shared" si="2"/>
        <v>9792.1979999999985</v>
      </c>
      <c r="L48" s="18">
        <f t="shared" si="3"/>
        <v>6264.2479999999996</v>
      </c>
      <c r="M48" s="18">
        <f t="shared" si="4"/>
        <v>3083.8359999999998</v>
      </c>
      <c r="N48" s="18">
        <f t="shared" si="5"/>
        <v>444.11399999999998</v>
      </c>
      <c r="O48" s="19">
        <f t="shared" si="6"/>
        <v>2219.35</v>
      </c>
      <c r="Q48" s="24">
        <f t="shared" si="7"/>
        <v>19349.999999998545</v>
      </c>
      <c r="R48" s="22">
        <f t="shared" si="8"/>
        <v>1.9799755403950847E-3</v>
      </c>
      <c r="V48" s="26">
        <f t="shared" si="9"/>
        <v>3708.9999999998327</v>
      </c>
      <c r="W48" s="22">
        <f t="shared" si="10"/>
        <v>5.9244100228417196E-4</v>
      </c>
      <c r="AA48" s="26">
        <f t="shared" si="11"/>
        <v>15047.999999999774</v>
      </c>
      <c r="AB48" s="22">
        <f t="shared" si="12"/>
        <v>4.9035645342720979E-3</v>
      </c>
      <c r="AF48" s="26">
        <f t="shared" si="13"/>
        <v>592.99999999996089</v>
      </c>
      <c r="AG48" s="22">
        <f t="shared" si="14"/>
        <v>1.3370280099476162E-3</v>
      </c>
    </row>
    <row r="49" spans="1:33" x14ac:dyDescent="0.3">
      <c r="A49" s="8">
        <v>42309</v>
      </c>
      <c r="B49" s="9">
        <v>6253.6319999999996</v>
      </c>
      <c r="C49" s="10">
        <v>3093.1849999999999</v>
      </c>
      <c r="D49" s="11">
        <v>445.14</v>
      </c>
      <c r="E49" s="11">
        <v>408.1</v>
      </c>
      <c r="F49" s="11">
        <v>1453.259</v>
      </c>
      <c r="G49" s="11">
        <v>354.64299999999997</v>
      </c>
      <c r="H49" s="7">
        <f t="shared" si="1"/>
        <v>12007.958999999999</v>
      </c>
      <c r="J49" s="25">
        <f t="shared" si="0"/>
        <v>42309</v>
      </c>
      <c r="K49" s="18">
        <f t="shared" si="2"/>
        <v>9791.9569999999985</v>
      </c>
      <c r="L49" s="18">
        <f t="shared" si="3"/>
        <v>6253.6319999999996</v>
      </c>
      <c r="M49" s="18">
        <f t="shared" si="4"/>
        <v>3093.1849999999999</v>
      </c>
      <c r="N49" s="18">
        <f t="shared" si="5"/>
        <v>445.14</v>
      </c>
      <c r="O49" s="19">
        <f t="shared" si="6"/>
        <v>2216.002</v>
      </c>
      <c r="Q49" s="24">
        <f t="shared" si="7"/>
        <v>-240.99999999998545</v>
      </c>
      <c r="R49" s="22">
        <f t="shared" si="8"/>
        <v>-2.4611430446963567E-5</v>
      </c>
      <c r="V49" s="26">
        <f t="shared" si="9"/>
        <v>-10615.999999999985</v>
      </c>
      <c r="W49" s="22">
        <f t="shared" si="10"/>
        <v>-1.6946966339774772E-3</v>
      </c>
      <c r="AA49" s="26">
        <f t="shared" si="11"/>
        <v>9349.0000000001601</v>
      </c>
      <c r="AB49" s="22">
        <f t="shared" si="12"/>
        <v>3.0316138731112385E-3</v>
      </c>
      <c r="AF49" s="26">
        <f t="shared" si="13"/>
        <v>1026.0000000000105</v>
      </c>
      <c r="AG49" s="22">
        <f t="shared" si="14"/>
        <v>2.3102176468203783E-3</v>
      </c>
    </row>
    <row r="50" spans="1:33" x14ac:dyDescent="0.3">
      <c r="A50" s="8">
        <v>42339</v>
      </c>
      <c r="B50" s="9">
        <v>6222.55</v>
      </c>
      <c r="C50" s="10">
        <v>3088.931</v>
      </c>
      <c r="D50" s="11">
        <v>445.51900000000001</v>
      </c>
      <c r="E50" s="11">
        <v>406.73099999999999</v>
      </c>
      <c r="F50" s="11">
        <v>1446.308</v>
      </c>
      <c r="G50" s="11">
        <v>352.947</v>
      </c>
      <c r="H50" s="7">
        <f t="shared" si="1"/>
        <v>11962.986000000001</v>
      </c>
      <c r="J50" s="25">
        <f t="shared" si="0"/>
        <v>42339</v>
      </c>
      <c r="K50" s="18">
        <f t="shared" si="2"/>
        <v>9757</v>
      </c>
      <c r="L50" s="18">
        <f t="shared" si="3"/>
        <v>6222.55</v>
      </c>
      <c r="M50" s="18">
        <f t="shared" si="4"/>
        <v>3088.931</v>
      </c>
      <c r="N50" s="18">
        <f t="shared" si="5"/>
        <v>445.51900000000001</v>
      </c>
      <c r="O50" s="19">
        <f t="shared" si="6"/>
        <v>2205.9859999999999</v>
      </c>
      <c r="Q50" s="24">
        <f t="shared" si="7"/>
        <v>-34956.999999998516</v>
      </c>
      <c r="R50" s="22">
        <f t="shared" si="8"/>
        <v>-3.5699707423141325E-3</v>
      </c>
      <c r="V50" s="26">
        <f t="shared" si="9"/>
        <v>-31081.999999999425</v>
      </c>
      <c r="W50" s="22">
        <f t="shared" si="10"/>
        <v>-4.9702316989550521E-3</v>
      </c>
      <c r="AA50" s="26">
        <f t="shared" si="11"/>
        <v>-4253.9999999999054</v>
      </c>
      <c r="AB50" s="22">
        <f t="shared" si="12"/>
        <v>-1.3752814655443313E-3</v>
      </c>
      <c r="AF50" s="26">
        <f t="shared" si="13"/>
        <v>379.0000000000191</v>
      </c>
      <c r="AG50" s="22">
        <f t="shared" si="14"/>
        <v>8.5141753156303679E-4</v>
      </c>
    </row>
    <row r="51" spans="1:33" x14ac:dyDescent="0.3">
      <c r="A51" s="8">
        <v>42370</v>
      </c>
      <c r="B51" s="9">
        <v>6208.3670000000002</v>
      </c>
      <c r="C51" s="10">
        <v>3081.3159999999998</v>
      </c>
      <c r="D51" s="11">
        <v>445.298</v>
      </c>
      <c r="E51" s="11">
        <v>407.34899999999999</v>
      </c>
      <c r="F51" s="11">
        <v>1443.829</v>
      </c>
      <c r="G51" s="11">
        <v>355.03</v>
      </c>
      <c r="H51" s="7">
        <f t="shared" si="1"/>
        <v>11941.189000000002</v>
      </c>
      <c r="J51" s="25">
        <f t="shared" si="0"/>
        <v>42370</v>
      </c>
      <c r="K51" s="18">
        <f t="shared" si="2"/>
        <v>9734.9810000000016</v>
      </c>
      <c r="L51" s="18">
        <f t="shared" si="3"/>
        <v>6208.3670000000002</v>
      </c>
      <c r="M51" s="18">
        <f t="shared" si="4"/>
        <v>3081.3159999999998</v>
      </c>
      <c r="N51" s="18">
        <f t="shared" si="5"/>
        <v>445.298</v>
      </c>
      <c r="O51" s="19">
        <f t="shared" si="6"/>
        <v>2206.2079999999996</v>
      </c>
      <c r="Q51" s="24">
        <f t="shared" si="7"/>
        <v>-22018.999999998414</v>
      </c>
      <c r="R51" s="22">
        <f t="shared" si="8"/>
        <v>-2.2567387516653215E-3</v>
      </c>
      <c r="V51" s="26">
        <f t="shared" si="9"/>
        <v>-14182.999999999993</v>
      </c>
      <c r="W51" s="22">
        <f t="shared" si="10"/>
        <v>-2.2792906445107119E-3</v>
      </c>
      <c r="AA51" s="26">
        <f t="shared" si="11"/>
        <v>-7615.0000000002365</v>
      </c>
      <c r="AB51" s="22">
        <f t="shared" si="12"/>
        <v>-2.4652541607437239E-3</v>
      </c>
      <c r="AF51" s="26">
        <f t="shared" si="13"/>
        <v>-221.00000000000364</v>
      </c>
      <c r="AG51" s="22">
        <f t="shared" si="14"/>
        <v>-4.9605067348423848E-4</v>
      </c>
    </row>
    <row r="52" spans="1:33" x14ac:dyDescent="0.3">
      <c r="A52" s="8">
        <v>42401</v>
      </c>
      <c r="B52" s="9">
        <v>6206.4889999999996</v>
      </c>
      <c r="C52" s="10">
        <v>3089.4319999999998</v>
      </c>
      <c r="D52" s="11">
        <v>445.50900000000001</v>
      </c>
      <c r="E52" s="11">
        <v>407.92599999999999</v>
      </c>
      <c r="F52" s="11">
        <v>1440.19</v>
      </c>
      <c r="G52" s="11">
        <v>355.70600000000002</v>
      </c>
      <c r="H52" s="7">
        <f t="shared" si="1"/>
        <v>11945.251999999999</v>
      </c>
      <c r="J52" s="25">
        <f t="shared" si="0"/>
        <v>42401</v>
      </c>
      <c r="K52" s="18">
        <f t="shared" si="2"/>
        <v>9741.4299999999985</v>
      </c>
      <c r="L52" s="18">
        <f t="shared" si="3"/>
        <v>6206.4889999999996</v>
      </c>
      <c r="M52" s="18">
        <f t="shared" si="4"/>
        <v>3089.4319999999998</v>
      </c>
      <c r="N52" s="18">
        <f t="shared" si="5"/>
        <v>445.50900000000001</v>
      </c>
      <c r="O52" s="19">
        <f t="shared" si="6"/>
        <v>2203.8220000000001</v>
      </c>
      <c r="Q52" s="24">
        <f t="shared" si="7"/>
        <v>6448.9999999968859</v>
      </c>
      <c r="R52" s="22">
        <f t="shared" si="8"/>
        <v>6.6245635199457809E-4</v>
      </c>
      <c r="V52" s="26">
        <f t="shared" si="9"/>
        <v>-1878.0000000006112</v>
      </c>
      <c r="W52" s="22">
        <f t="shared" si="10"/>
        <v>-3.0249500391976714E-4</v>
      </c>
      <c r="AA52" s="26">
        <f t="shared" si="11"/>
        <v>8115.9999999999854</v>
      </c>
      <c r="AB52" s="22">
        <f t="shared" si="12"/>
        <v>2.6339395245407182E-3</v>
      </c>
      <c r="AF52" s="26">
        <f t="shared" si="13"/>
        <v>211.00000000001273</v>
      </c>
      <c r="AG52" s="22">
        <f t="shared" si="14"/>
        <v>4.738399902985968E-4</v>
      </c>
    </row>
    <row r="53" spans="1:33" x14ac:dyDescent="0.3">
      <c r="A53" s="8">
        <v>42430</v>
      </c>
      <c r="B53" s="9">
        <v>6198.9539999999997</v>
      </c>
      <c r="C53" s="10">
        <v>3101.0650000000001</v>
      </c>
      <c r="D53" s="11">
        <v>448.18599999999998</v>
      </c>
      <c r="E53" s="11">
        <v>409.2</v>
      </c>
      <c r="F53" s="11">
        <v>1441.6389999999999</v>
      </c>
      <c r="G53" s="11">
        <v>356.96699999999998</v>
      </c>
      <c r="H53" s="7">
        <f t="shared" si="1"/>
        <v>11956.011</v>
      </c>
      <c r="J53" s="25">
        <f t="shared" si="0"/>
        <v>42430</v>
      </c>
      <c r="K53" s="18">
        <f t="shared" si="2"/>
        <v>9748.2049999999999</v>
      </c>
      <c r="L53" s="18">
        <f t="shared" si="3"/>
        <v>6198.9539999999997</v>
      </c>
      <c r="M53" s="18">
        <f t="shared" si="4"/>
        <v>3101.0650000000001</v>
      </c>
      <c r="N53" s="18">
        <f t="shared" si="5"/>
        <v>448.18599999999998</v>
      </c>
      <c r="O53" s="19">
        <f t="shared" si="6"/>
        <v>2207.806</v>
      </c>
      <c r="Q53" s="24">
        <f t="shared" si="7"/>
        <v>6775.0000000014552</v>
      </c>
      <c r="R53" s="22">
        <f t="shared" si="8"/>
        <v>6.954831066898759E-4</v>
      </c>
      <c r="V53" s="26">
        <f t="shared" si="9"/>
        <v>-7534.9999999998545</v>
      </c>
      <c r="W53" s="22">
        <f t="shared" si="10"/>
        <v>-1.2140519382214388E-3</v>
      </c>
      <c r="AA53" s="26">
        <f t="shared" si="11"/>
        <v>11633.000000000266</v>
      </c>
      <c r="AB53" s="22">
        <f t="shared" si="12"/>
        <v>3.7654170734298109E-3</v>
      </c>
      <c r="AF53" s="26">
        <f t="shared" si="13"/>
        <v>2676.9999999999641</v>
      </c>
      <c r="AG53" s="22">
        <f t="shared" si="14"/>
        <v>6.0088572845891086E-3</v>
      </c>
    </row>
    <row r="54" spans="1:33" x14ac:dyDescent="0.3">
      <c r="A54" s="8">
        <v>42461</v>
      </c>
      <c r="B54" s="9">
        <v>6188.6760000000004</v>
      </c>
      <c r="C54" s="10">
        <v>3101.942</v>
      </c>
      <c r="D54" s="11">
        <v>450.75900000000001</v>
      </c>
      <c r="E54" s="11">
        <v>409.90800000000002</v>
      </c>
      <c r="F54" s="11">
        <v>1448.0360000000001</v>
      </c>
      <c r="G54" s="11">
        <v>357.67099999999999</v>
      </c>
      <c r="H54" s="7">
        <f t="shared" si="1"/>
        <v>11956.992</v>
      </c>
      <c r="J54" s="25">
        <f t="shared" si="0"/>
        <v>42461</v>
      </c>
      <c r="K54" s="18">
        <f t="shared" si="2"/>
        <v>9741.3770000000004</v>
      </c>
      <c r="L54" s="18">
        <f t="shared" si="3"/>
        <v>6188.6760000000004</v>
      </c>
      <c r="M54" s="18">
        <f t="shared" si="4"/>
        <v>3101.942</v>
      </c>
      <c r="N54" s="18">
        <f t="shared" si="5"/>
        <v>450.75900000000001</v>
      </c>
      <c r="O54" s="19">
        <f t="shared" si="6"/>
        <v>2215.6149999999998</v>
      </c>
      <c r="Q54" s="24">
        <f t="shared" si="7"/>
        <v>-6827.9999999995198</v>
      </c>
      <c r="R54" s="22">
        <f t="shared" si="8"/>
        <v>-7.0043664448993237E-4</v>
      </c>
      <c r="V54" s="26">
        <f t="shared" si="9"/>
        <v>-10277.999999999338</v>
      </c>
      <c r="W54" s="22">
        <f t="shared" si="10"/>
        <v>-1.6580216597831265E-3</v>
      </c>
      <c r="AA54" s="26">
        <f t="shared" si="11"/>
        <v>876.99999999995271</v>
      </c>
      <c r="AB54" s="22">
        <f t="shared" si="12"/>
        <v>2.8280606823782861E-4</v>
      </c>
      <c r="AF54" s="26">
        <f t="shared" si="13"/>
        <v>2573.0000000000359</v>
      </c>
      <c r="AG54" s="22">
        <f t="shared" si="14"/>
        <v>5.7409200644376046E-3</v>
      </c>
    </row>
    <row r="55" spans="1:33" x14ac:dyDescent="0.3">
      <c r="A55" s="8">
        <v>42491</v>
      </c>
      <c r="B55" s="9">
        <v>6179.52</v>
      </c>
      <c r="C55" s="10">
        <v>3102.3670000000002</v>
      </c>
      <c r="D55" s="11">
        <v>452.69200000000001</v>
      </c>
      <c r="E55" s="11">
        <v>417.17</v>
      </c>
      <c r="F55" s="11">
        <v>1455.6859999999999</v>
      </c>
      <c r="G55" s="11">
        <v>357.57900000000001</v>
      </c>
      <c r="H55" s="7">
        <f t="shared" si="1"/>
        <v>11965.014000000001</v>
      </c>
      <c r="J55" s="25">
        <f t="shared" si="0"/>
        <v>42491</v>
      </c>
      <c r="K55" s="18">
        <f t="shared" si="2"/>
        <v>9734.5790000000015</v>
      </c>
      <c r="L55" s="18">
        <f t="shared" si="3"/>
        <v>6179.52</v>
      </c>
      <c r="M55" s="18">
        <f t="shared" si="4"/>
        <v>3102.3670000000002</v>
      </c>
      <c r="N55" s="18">
        <f t="shared" si="5"/>
        <v>452.69200000000001</v>
      </c>
      <c r="O55" s="19">
        <f t="shared" si="6"/>
        <v>2230.4349999999999</v>
      </c>
      <c r="Q55" s="24">
        <f t="shared" si="7"/>
        <v>-6797.999999998865</v>
      </c>
      <c r="R55" s="22">
        <f t="shared" si="8"/>
        <v>-6.9784795311778058E-4</v>
      </c>
      <c r="V55" s="26">
        <f t="shared" si="9"/>
        <v>-9155.9999999999491</v>
      </c>
      <c r="W55" s="22">
        <f t="shared" si="10"/>
        <v>-1.4794763855791038E-3</v>
      </c>
      <c r="AA55" s="26">
        <f t="shared" si="11"/>
        <v>425.0000000001819</v>
      </c>
      <c r="AB55" s="22">
        <f t="shared" si="12"/>
        <v>1.3701094346707521E-4</v>
      </c>
      <c r="AF55" s="26">
        <f t="shared" si="13"/>
        <v>1932.9999999999927</v>
      </c>
      <c r="AG55" s="22">
        <f t="shared" si="14"/>
        <v>4.2883225847958339E-3</v>
      </c>
    </row>
    <row r="56" spans="1:33" x14ac:dyDescent="0.3">
      <c r="A56" s="8">
        <v>42522</v>
      </c>
      <c r="B56" s="9">
        <v>6171.6530000000002</v>
      </c>
      <c r="C56" s="10">
        <v>3109.819</v>
      </c>
      <c r="D56" s="11">
        <v>453.745</v>
      </c>
      <c r="E56" s="11">
        <v>418.94600000000003</v>
      </c>
      <c r="F56" s="11">
        <v>1472.3879999999999</v>
      </c>
      <c r="G56" s="11">
        <v>358.72199999999998</v>
      </c>
      <c r="H56" s="7">
        <f t="shared" si="1"/>
        <v>11985.272999999999</v>
      </c>
      <c r="J56" s="25">
        <f t="shared" si="0"/>
        <v>42522</v>
      </c>
      <c r="K56" s="18">
        <f t="shared" si="2"/>
        <v>9735.2170000000006</v>
      </c>
      <c r="L56" s="18">
        <f t="shared" si="3"/>
        <v>6171.6530000000002</v>
      </c>
      <c r="M56" s="18">
        <f t="shared" si="4"/>
        <v>3109.819</v>
      </c>
      <c r="N56" s="18">
        <f t="shared" si="5"/>
        <v>453.745</v>
      </c>
      <c r="O56" s="19">
        <f t="shared" si="6"/>
        <v>2250.0559999999996</v>
      </c>
      <c r="Q56" s="24">
        <f t="shared" si="7"/>
        <v>637.99999999901047</v>
      </c>
      <c r="R56" s="22">
        <f t="shared" si="8"/>
        <v>6.5539557488669686E-5</v>
      </c>
      <c r="V56" s="26">
        <f t="shared" si="9"/>
        <v>-7867.0000000001892</v>
      </c>
      <c r="W56" s="22">
        <f t="shared" si="10"/>
        <v>-1.2730762259852701E-3</v>
      </c>
      <c r="AA56" s="26">
        <f t="shared" si="11"/>
        <v>7451.9999999997708</v>
      </c>
      <c r="AB56" s="22">
        <f t="shared" si="12"/>
        <v>2.4020368963439953E-3</v>
      </c>
      <c r="AF56" s="26">
        <f t="shared" si="13"/>
        <v>1052.9999999999973</v>
      </c>
      <c r="AG56" s="22">
        <f t="shared" si="14"/>
        <v>2.3260848435580073E-3</v>
      </c>
    </row>
    <row r="57" spans="1:33" x14ac:dyDescent="0.3">
      <c r="A57" s="8">
        <v>42552</v>
      </c>
      <c r="B57" s="9">
        <v>6169.2529999999997</v>
      </c>
      <c r="C57" s="10">
        <v>3113.7730000000001</v>
      </c>
      <c r="D57" s="11">
        <v>454.16300000000001</v>
      </c>
      <c r="E57" s="11">
        <v>417.22199999999998</v>
      </c>
      <c r="F57" s="11">
        <v>1474.76</v>
      </c>
      <c r="G57" s="11">
        <v>360.71300000000002</v>
      </c>
      <c r="H57" s="7">
        <f t="shared" si="1"/>
        <v>11989.884</v>
      </c>
      <c r="J57" s="25">
        <f t="shared" si="0"/>
        <v>42552</v>
      </c>
      <c r="K57" s="18">
        <f t="shared" si="2"/>
        <v>9737.1890000000003</v>
      </c>
      <c r="L57" s="18">
        <f t="shared" si="3"/>
        <v>6169.2529999999997</v>
      </c>
      <c r="M57" s="18">
        <f t="shared" si="4"/>
        <v>3113.7730000000001</v>
      </c>
      <c r="N57" s="18">
        <f t="shared" si="5"/>
        <v>454.16300000000001</v>
      </c>
      <c r="O57" s="19">
        <f t="shared" si="6"/>
        <v>2252.6950000000002</v>
      </c>
      <c r="Q57" s="24">
        <f t="shared" si="7"/>
        <v>1971.9999999997526</v>
      </c>
      <c r="R57" s="22">
        <f t="shared" si="8"/>
        <v>2.0256353813175032E-4</v>
      </c>
      <c r="V57" s="26">
        <f t="shared" si="9"/>
        <v>-2400.0000000005457</v>
      </c>
      <c r="W57" s="22">
        <f t="shared" si="10"/>
        <v>-3.8887474717075321E-4</v>
      </c>
      <c r="AA57" s="26">
        <f t="shared" si="11"/>
        <v>3954.0000000001783</v>
      </c>
      <c r="AB57" s="22">
        <f t="shared" si="12"/>
        <v>1.2714566346145872E-3</v>
      </c>
      <c r="AF57" s="26">
        <f t="shared" si="13"/>
        <v>418.00000000000637</v>
      </c>
      <c r="AG57" s="22">
        <f t="shared" si="14"/>
        <v>9.2122227242175114E-4</v>
      </c>
    </row>
    <row r="58" spans="1:33" x14ac:dyDescent="0.3">
      <c r="A58" s="8">
        <v>42583</v>
      </c>
      <c r="B58" s="9">
        <v>6169.7820000000002</v>
      </c>
      <c r="C58" s="10">
        <v>3115.0909999999999</v>
      </c>
      <c r="D58" s="11">
        <v>454.988</v>
      </c>
      <c r="E58" s="11">
        <v>416.52</v>
      </c>
      <c r="F58" s="11">
        <v>1478.183</v>
      </c>
      <c r="G58" s="11">
        <v>363.279</v>
      </c>
      <c r="H58" s="7">
        <f t="shared" si="1"/>
        <v>11997.842999999999</v>
      </c>
      <c r="J58" s="25">
        <f t="shared" si="0"/>
        <v>42583</v>
      </c>
      <c r="K58" s="18">
        <f t="shared" si="2"/>
        <v>9739.860999999999</v>
      </c>
      <c r="L58" s="18">
        <f t="shared" si="3"/>
        <v>6169.7820000000002</v>
      </c>
      <c r="M58" s="18">
        <f t="shared" si="4"/>
        <v>3115.0909999999999</v>
      </c>
      <c r="N58" s="18">
        <f t="shared" si="5"/>
        <v>454.988</v>
      </c>
      <c r="O58" s="19">
        <f t="shared" si="6"/>
        <v>2257.982</v>
      </c>
      <c r="Q58" s="24">
        <f t="shared" si="7"/>
        <v>2671.9999999986612</v>
      </c>
      <c r="R58" s="22">
        <f t="shared" si="8"/>
        <v>2.744118451432076E-4</v>
      </c>
      <c r="V58" s="26">
        <f t="shared" si="9"/>
        <v>529.00000000045111</v>
      </c>
      <c r="W58" s="22">
        <f t="shared" si="10"/>
        <v>8.5747820684378695E-5</v>
      </c>
      <c r="AA58" s="26">
        <f t="shared" si="11"/>
        <v>1317.9999999997563</v>
      </c>
      <c r="AB58" s="22">
        <f t="shared" si="12"/>
        <v>4.2328069515651379E-4</v>
      </c>
      <c r="AF58" s="26">
        <f t="shared" si="13"/>
        <v>824.99999999998863</v>
      </c>
      <c r="AG58" s="22">
        <f t="shared" si="14"/>
        <v>1.8165284270184046E-3</v>
      </c>
    </row>
    <row r="59" spans="1:33" x14ac:dyDescent="0.3">
      <c r="A59" s="8">
        <v>42614</v>
      </c>
      <c r="B59" s="9">
        <v>6172.96</v>
      </c>
      <c r="C59" s="10">
        <v>3115.6089999999999</v>
      </c>
      <c r="D59" s="11">
        <v>455.68599999999998</v>
      </c>
      <c r="E59" s="11">
        <v>415.262</v>
      </c>
      <c r="F59" s="11">
        <v>1484.971</v>
      </c>
      <c r="G59" s="11">
        <v>367.53800000000001</v>
      </c>
      <c r="H59" s="7">
        <f t="shared" si="1"/>
        <v>12012.026</v>
      </c>
      <c r="J59" s="25">
        <f t="shared" si="0"/>
        <v>42614</v>
      </c>
      <c r="K59" s="18">
        <f t="shared" si="2"/>
        <v>9744.2549999999992</v>
      </c>
      <c r="L59" s="18">
        <f t="shared" si="3"/>
        <v>6172.96</v>
      </c>
      <c r="M59" s="18">
        <f t="shared" si="4"/>
        <v>3115.6089999999999</v>
      </c>
      <c r="N59" s="18">
        <f t="shared" si="5"/>
        <v>455.68599999999998</v>
      </c>
      <c r="O59" s="19">
        <f t="shared" si="6"/>
        <v>2267.7709999999997</v>
      </c>
      <c r="Q59" s="24">
        <f t="shared" si="7"/>
        <v>4394.0000000002328</v>
      </c>
      <c r="R59" s="22">
        <f t="shared" si="8"/>
        <v>4.5113580163014255E-4</v>
      </c>
      <c r="V59" s="26">
        <f t="shared" si="9"/>
        <v>3177.9999999998836</v>
      </c>
      <c r="W59" s="22">
        <f t="shared" si="10"/>
        <v>5.1509113287950825E-4</v>
      </c>
      <c r="AA59" s="26">
        <f t="shared" si="11"/>
        <v>518.0000000000291</v>
      </c>
      <c r="AB59" s="22">
        <f t="shared" si="12"/>
        <v>1.6628727700096491E-4</v>
      </c>
      <c r="AF59" s="26">
        <f t="shared" si="13"/>
        <v>697.99999999997908</v>
      </c>
      <c r="AG59" s="22">
        <f t="shared" si="14"/>
        <v>1.5341063940146338E-3</v>
      </c>
    </row>
    <row r="60" spans="1:33" x14ac:dyDescent="0.3">
      <c r="A60" s="8">
        <v>42644</v>
      </c>
      <c r="B60" s="9">
        <v>6180.768</v>
      </c>
      <c r="C60" s="10">
        <v>3112.7240000000002</v>
      </c>
      <c r="D60" s="11">
        <v>456.31</v>
      </c>
      <c r="E60" s="11">
        <v>414.38499999999999</v>
      </c>
      <c r="F60" s="11">
        <v>1489.758</v>
      </c>
      <c r="G60" s="11">
        <v>376.06400000000002</v>
      </c>
      <c r="H60" s="7">
        <f t="shared" si="1"/>
        <v>12030.009</v>
      </c>
      <c r="J60" s="25">
        <f t="shared" si="0"/>
        <v>42644</v>
      </c>
      <c r="K60" s="18">
        <f t="shared" si="2"/>
        <v>9749.8019999999997</v>
      </c>
      <c r="L60" s="18">
        <f t="shared" si="3"/>
        <v>6180.768</v>
      </c>
      <c r="M60" s="18">
        <f t="shared" si="4"/>
        <v>3112.7240000000002</v>
      </c>
      <c r="N60" s="18">
        <f t="shared" si="5"/>
        <v>456.31</v>
      </c>
      <c r="O60" s="19">
        <f t="shared" si="6"/>
        <v>2280.2069999999999</v>
      </c>
      <c r="Q60" s="24">
        <f t="shared" si="7"/>
        <v>5547.0000000004802</v>
      </c>
      <c r="R60" s="22">
        <f t="shared" si="8"/>
        <v>5.6925850154798674E-4</v>
      </c>
      <c r="V60" s="26">
        <f t="shared" si="9"/>
        <v>7807.9999999999927</v>
      </c>
      <c r="W60" s="22">
        <f t="shared" si="10"/>
        <v>1.2648713097120901E-3</v>
      </c>
      <c r="AA60" s="26">
        <f t="shared" si="11"/>
        <v>-2884.9999999997635</v>
      </c>
      <c r="AB60" s="22">
        <f t="shared" si="12"/>
        <v>-9.2598268909860337E-4</v>
      </c>
      <c r="AF60" s="26">
        <f t="shared" si="13"/>
        <v>624.00000000002365</v>
      </c>
      <c r="AG60" s="22">
        <f t="shared" si="14"/>
        <v>1.3693639918717082E-3</v>
      </c>
    </row>
    <row r="61" spans="1:33" x14ac:dyDescent="0.3">
      <c r="A61" s="8">
        <v>42675</v>
      </c>
      <c r="B61" s="9">
        <v>6184.7560000000003</v>
      </c>
      <c r="C61" s="10">
        <v>3117.74</v>
      </c>
      <c r="D61" s="11">
        <v>457.65499999999997</v>
      </c>
      <c r="E61" s="11">
        <v>413.22399999999999</v>
      </c>
      <c r="F61" s="11">
        <v>1490.9110000000001</v>
      </c>
      <c r="G61" s="11">
        <v>382.45499999999998</v>
      </c>
      <c r="H61" s="7">
        <f t="shared" si="1"/>
        <v>12046.741</v>
      </c>
      <c r="J61" s="25">
        <f t="shared" si="0"/>
        <v>42675</v>
      </c>
      <c r="K61" s="18">
        <f t="shared" si="2"/>
        <v>9760.1509999999998</v>
      </c>
      <c r="L61" s="18">
        <f t="shared" si="3"/>
        <v>6184.7560000000003</v>
      </c>
      <c r="M61" s="18">
        <f t="shared" si="4"/>
        <v>3117.74</v>
      </c>
      <c r="N61" s="18">
        <f t="shared" si="5"/>
        <v>457.65499999999997</v>
      </c>
      <c r="O61" s="19">
        <f t="shared" si="6"/>
        <v>2286.59</v>
      </c>
      <c r="Q61" s="24">
        <f t="shared" si="7"/>
        <v>10349.00000000016</v>
      </c>
      <c r="R61" s="22">
        <f t="shared" si="8"/>
        <v>1.0614574531873089E-3</v>
      </c>
      <c r="V61" s="26">
        <f t="shared" si="9"/>
        <v>3988.0000000002838</v>
      </c>
      <c r="W61" s="22">
        <f t="shared" si="10"/>
        <v>6.4522725978388706E-4</v>
      </c>
      <c r="AA61" s="26">
        <f t="shared" si="11"/>
        <v>5015.9999999996217</v>
      </c>
      <c r="AB61" s="22">
        <f t="shared" si="12"/>
        <v>1.6114502924124974E-3</v>
      </c>
      <c r="AF61" s="26">
        <f t="shared" si="13"/>
        <v>1344.9999999999704</v>
      </c>
      <c r="AG61" s="22">
        <f t="shared" si="14"/>
        <v>2.947557581468585E-3</v>
      </c>
    </row>
    <row r="62" spans="1:33" x14ac:dyDescent="0.3">
      <c r="A62" s="8">
        <v>42705</v>
      </c>
      <c r="B62" s="9">
        <v>6186.25</v>
      </c>
      <c r="C62" s="10">
        <v>3120.7950000000001</v>
      </c>
      <c r="D62" s="11">
        <v>459.334</v>
      </c>
      <c r="E62" s="11">
        <v>411.601</v>
      </c>
      <c r="F62" s="11">
        <v>1490.71</v>
      </c>
      <c r="G62" s="11">
        <v>381.97699999999998</v>
      </c>
      <c r="H62" s="7">
        <f t="shared" si="1"/>
        <v>12050.667000000003</v>
      </c>
      <c r="J62" s="25">
        <f t="shared" si="0"/>
        <v>42705</v>
      </c>
      <c r="K62" s="18">
        <f t="shared" si="2"/>
        <v>9766.3790000000008</v>
      </c>
      <c r="L62" s="18">
        <f t="shared" si="3"/>
        <v>6186.25</v>
      </c>
      <c r="M62" s="18">
        <f t="shared" si="4"/>
        <v>3120.7950000000001</v>
      </c>
      <c r="N62" s="18">
        <f t="shared" si="5"/>
        <v>459.334</v>
      </c>
      <c r="O62" s="19">
        <f t="shared" si="6"/>
        <v>2284.288</v>
      </c>
      <c r="Q62" s="24">
        <f t="shared" si="7"/>
        <v>6228.000000000975</v>
      </c>
      <c r="R62" s="22">
        <f t="shared" si="8"/>
        <v>6.381048817791779E-4</v>
      </c>
      <c r="V62" s="26">
        <f t="shared" si="9"/>
        <v>1493.9999999996871</v>
      </c>
      <c r="W62" s="22">
        <f t="shared" si="10"/>
        <v>2.415616719559921E-4</v>
      </c>
      <c r="AA62" s="26">
        <f t="shared" si="11"/>
        <v>3055.000000000291</v>
      </c>
      <c r="AB62" s="22">
        <f t="shared" si="12"/>
        <v>9.7987644896635473E-4</v>
      </c>
      <c r="AF62" s="26">
        <f t="shared" si="13"/>
        <v>1679.0000000000305</v>
      </c>
      <c r="AG62" s="22">
        <f t="shared" si="14"/>
        <v>3.6687024068349228E-3</v>
      </c>
    </row>
    <row r="63" spans="1:33" x14ac:dyDescent="0.3">
      <c r="A63" s="8">
        <v>42736</v>
      </c>
      <c r="B63" s="9">
        <v>6192.7539999999999</v>
      </c>
      <c r="C63" s="10">
        <v>3123.029</v>
      </c>
      <c r="D63" s="11">
        <v>460.267</v>
      </c>
      <c r="E63" s="11">
        <v>408.14100000000002</v>
      </c>
      <c r="F63" s="11">
        <v>1507.9490000000001</v>
      </c>
      <c r="G63" s="11">
        <v>380.58199999999999</v>
      </c>
      <c r="H63" s="7">
        <f t="shared" si="1"/>
        <v>12072.722</v>
      </c>
      <c r="J63" s="25">
        <f t="shared" si="0"/>
        <v>42736</v>
      </c>
      <c r="K63" s="18">
        <f t="shared" si="2"/>
        <v>9776.0499999999993</v>
      </c>
      <c r="L63" s="18">
        <f t="shared" si="3"/>
        <v>6192.7539999999999</v>
      </c>
      <c r="M63" s="18">
        <f t="shared" si="4"/>
        <v>3123.029</v>
      </c>
      <c r="N63" s="18">
        <f t="shared" si="5"/>
        <v>460.267</v>
      </c>
      <c r="O63" s="19">
        <f t="shared" si="6"/>
        <v>2296.672</v>
      </c>
      <c r="Q63" s="24">
        <f t="shared" si="7"/>
        <v>9670.9999999984575</v>
      </c>
      <c r="R63" s="22">
        <f t="shared" si="8"/>
        <v>9.9023394443298329E-4</v>
      </c>
      <c r="V63" s="26">
        <f t="shared" si="9"/>
        <v>6503.9999999999054</v>
      </c>
      <c r="W63" s="22">
        <f t="shared" si="10"/>
        <v>1.0513639119014151E-3</v>
      </c>
      <c r="AA63" s="26">
        <f t="shared" si="11"/>
        <v>2233.9999999999236</v>
      </c>
      <c r="AB63" s="22">
        <f t="shared" si="12"/>
        <v>7.1584323866202837E-4</v>
      </c>
      <c r="AF63" s="26">
        <f t="shared" si="13"/>
        <v>932.99999999999272</v>
      </c>
      <c r="AG63" s="22">
        <f t="shared" si="14"/>
        <v>2.031201696369056E-3</v>
      </c>
    </row>
    <row r="64" spans="1:33" x14ac:dyDescent="0.3">
      <c r="A64" s="8">
        <v>42767</v>
      </c>
      <c r="B64" s="9">
        <v>6189.402</v>
      </c>
      <c r="C64" s="10">
        <v>3123.567</v>
      </c>
      <c r="D64" s="11">
        <v>461.29399999999998</v>
      </c>
      <c r="E64" s="11">
        <v>405.47899999999998</v>
      </c>
      <c r="F64" s="11">
        <v>1522.655</v>
      </c>
      <c r="G64" s="11">
        <v>380.45600000000002</v>
      </c>
      <c r="H64" s="7">
        <f t="shared" si="1"/>
        <v>12082.853000000001</v>
      </c>
      <c r="J64" s="25">
        <f t="shared" si="0"/>
        <v>42767</v>
      </c>
      <c r="K64" s="18">
        <f t="shared" si="2"/>
        <v>9774.2630000000008</v>
      </c>
      <c r="L64" s="18">
        <f t="shared" si="3"/>
        <v>6189.402</v>
      </c>
      <c r="M64" s="18">
        <f t="shared" si="4"/>
        <v>3123.567</v>
      </c>
      <c r="N64" s="18">
        <f t="shared" si="5"/>
        <v>461.29399999999998</v>
      </c>
      <c r="O64" s="19">
        <f t="shared" si="6"/>
        <v>2308.59</v>
      </c>
      <c r="Q64" s="24">
        <f t="shared" si="7"/>
        <v>-1786.9999999984429</v>
      </c>
      <c r="R64" s="22">
        <f t="shared" si="8"/>
        <v>-1.8279366410756115E-4</v>
      </c>
      <c r="V64" s="26">
        <f t="shared" si="9"/>
        <v>-3351.9999999998618</v>
      </c>
      <c r="W64" s="22">
        <f t="shared" si="10"/>
        <v>-5.4127775784407195E-4</v>
      </c>
      <c r="AA64" s="26">
        <f t="shared" si="11"/>
        <v>538.00000000001091</v>
      </c>
      <c r="AB64" s="22">
        <f t="shared" si="12"/>
        <v>1.7226865328501262E-4</v>
      </c>
      <c r="AF64" s="26">
        <f t="shared" si="13"/>
        <v>1026.9999999999868</v>
      </c>
      <c r="AG64" s="22">
        <f t="shared" si="14"/>
        <v>2.2313135636489179E-3</v>
      </c>
    </row>
    <row r="65" spans="1:33" x14ac:dyDescent="0.3">
      <c r="A65" s="8">
        <v>42795</v>
      </c>
      <c r="B65" s="9">
        <v>6201.6729999999998</v>
      </c>
      <c r="C65" s="10">
        <v>3125.0990000000002</v>
      </c>
      <c r="D65" s="11">
        <v>461.85500000000002</v>
      </c>
      <c r="E65" s="11">
        <v>403.09</v>
      </c>
      <c r="F65" s="11">
        <v>1519.37</v>
      </c>
      <c r="G65" s="11">
        <v>387.697</v>
      </c>
      <c r="H65" s="7">
        <f t="shared" si="1"/>
        <v>12098.784</v>
      </c>
      <c r="J65" s="25">
        <f t="shared" si="0"/>
        <v>42795</v>
      </c>
      <c r="K65" s="18">
        <f t="shared" si="2"/>
        <v>9788.6270000000004</v>
      </c>
      <c r="L65" s="18">
        <f t="shared" si="3"/>
        <v>6201.6729999999998</v>
      </c>
      <c r="M65" s="18">
        <f t="shared" si="4"/>
        <v>3125.0990000000002</v>
      </c>
      <c r="N65" s="18">
        <f t="shared" si="5"/>
        <v>461.85500000000002</v>
      </c>
      <c r="O65" s="19">
        <f t="shared" si="6"/>
        <v>2310.1569999999997</v>
      </c>
      <c r="Q65" s="24">
        <f t="shared" si="7"/>
        <v>14363.999999999578</v>
      </c>
      <c r="R65" s="22">
        <f t="shared" si="8"/>
        <v>1.469573716197381E-3</v>
      </c>
      <c r="V65" s="26">
        <f t="shared" si="9"/>
        <v>12270.999999999731</v>
      </c>
      <c r="W65" s="22">
        <f t="shared" si="10"/>
        <v>1.9825824853514362E-3</v>
      </c>
      <c r="AA65" s="26">
        <f t="shared" si="11"/>
        <v>1532.0000000001528</v>
      </c>
      <c r="AB65" s="22">
        <f t="shared" si="12"/>
        <v>4.9046490758808403E-4</v>
      </c>
      <c r="AF65" s="26">
        <f t="shared" si="13"/>
        <v>561.00000000003547</v>
      </c>
      <c r="AG65" s="22">
        <f t="shared" si="14"/>
        <v>1.2161441510187831E-3</v>
      </c>
    </row>
    <row r="66" spans="1:33" x14ac:dyDescent="0.3">
      <c r="A66" s="8">
        <v>42826</v>
      </c>
      <c r="B66" s="9">
        <v>6198.4719999999998</v>
      </c>
      <c r="C66" s="10">
        <v>3129.7620000000002</v>
      </c>
      <c r="D66" s="11">
        <v>463.11799999999999</v>
      </c>
      <c r="E66" s="11">
        <v>400.11900000000003</v>
      </c>
      <c r="F66" s="11">
        <v>1520.0050000000001</v>
      </c>
      <c r="G66" s="11">
        <v>388.41399999999999</v>
      </c>
      <c r="H66" s="7">
        <f t="shared" si="1"/>
        <v>12099.890000000003</v>
      </c>
      <c r="J66" s="25">
        <f t="shared" si="0"/>
        <v>42826</v>
      </c>
      <c r="K66" s="18">
        <f t="shared" si="2"/>
        <v>9791.3520000000008</v>
      </c>
      <c r="L66" s="18">
        <f t="shared" si="3"/>
        <v>6198.4719999999998</v>
      </c>
      <c r="M66" s="18">
        <f t="shared" si="4"/>
        <v>3129.7620000000002</v>
      </c>
      <c r="N66" s="18">
        <f t="shared" si="5"/>
        <v>463.11799999999999</v>
      </c>
      <c r="O66" s="19">
        <f t="shared" si="6"/>
        <v>2308.5380000000005</v>
      </c>
      <c r="Q66" s="24">
        <f t="shared" si="7"/>
        <v>2725.0000000003638</v>
      </c>
      <c r="R66" s="22">
        <f t="shared" si="8"/>
        <v>2.7838429230175876E-4</v>
      </c>
      <c r="V66" s="26">
        <f t="shared" si="9"/>
        <v>-3201.0000000000218</v>
      </c>
      <c r="W66" s="22">
        <f t="shared" si="10"/>
        <v>-5.1615104504865172E-4</v>
      </c>
      <c r="AA66" s="26">
        <f t="shared" si="11"/>
        <v>4663.0000000000109</v>
      </c>
      <c r="AB66" s="22">
        <f t="shared" si="12"/>
        <v>1.4921127298688219E-3</v>
      </c>
      <c r="AF66" s="26">
        <f t="shared" si="13"/>
        <v>1262.9999999999768</v>
      </c>
      <c r="AG66" s="22">
        <f t="shared" si="14"/>
        <v>2.7346245033614824E-3</v>
      </c>
    </row>
    <row r="67" spans="1:33" x14ac:dyDescent="0.3">
      <c r="A67" s="8">
        <v>42856</v>
      </c>
      <c r="B67" s="9">
        <v>6212.8379999999997</v>
      </c>
      <c r="C67" s="10">
        <v>3139.95</v>
      </c>
      <c r="D67" s="11">
        <v>465.822</v>
      </c>
      <c r="E67" s="11">
        <v>400.30900000000003</v>
      </c>
      <c r="F67" s="11">
        <v>1533.33</v>
      </c>
      <c r="G67" s="11">
        <v>387.81299999999999</v>
      </c>
      <c r="H67" s="7">
        <f t="shared" si="1"/>
        <v>12140.062</v>
      </c>
      <c r="J67" s="25">
        <f t="shared" ref="J67:J130" si="15">A67</f>
        <v>42856</v>
      </c>
      <c r="K67" s="18">
        <f t="shared" si="2"/>
        <v>9818.61</v>
      </c>
      <c r="L67" s="18">
        <f t="shared" si="3"/>
        <v>6212.8379999999997</v>
      </c>
      <c r="M67" s="18">
        <f t="shared" si="4"/>
        <v>3139.95</v>
      </c>
      <c r="N67" s="18">
        <f t="shared" si="5"/>
        <v>465.822</v>
      </c>
      <c r="O67" s="19">
        <f t="shared" si="6"/>
        <v>2321.4519999999998</v>
      </c>
      <c r="Q67" s="24">
        <f t="shared" si="7"/>
        <v>27257.999999999811</v>
      </c>
      <c r="R67" s="22">
        <f t="shared" si="8"/>
        <v>2.7838852080896981E-3</v>
      </c>
      <c r="V67" s="26">
        <f t="shared" si="9"/>
        <v>14365.999999999985</v>
      </c>
      <c r="W67" s="22">
        <f t="shared" si="10"/>
        <v>2.3176679672023415E-3</v>
      </c>
      <c r="AA67" s="26">
        <f t="shared" si="11"/>
        <v>10187.999999999647</v>
      </c>
      <c r="AB67" s="22">
        <f t="shared" si="12"/>
        <v>3.2551995966465519E-3</v>
      </c>
      <c r="AF67" s="26">
        <f t="shared" si="13"/>
        <v>2704.0000000000077</v>
      </c>
      <c r="AG67" s="22">
        <f t="shared" si="14"/>
        <v>5.83868474125393E-3</v>
      </c>
    </row>
    <row r="68" spans="1:33" x14ac:dyDescent="0.3">
      <c r="A68" s="8">
        <v>42887</v>
      </c>
      <c r="B68" s="9">
        <v>6227.4530000000004</v>
      </c>
      <c r="C68" s="10">
        <v>3142.6990000000001</v>
      </c>
      <c r="D68" s="11">
        <v>465.68400000000003</v>
      </c>
      <c r="E68" s="11">
        <v>399.65300000000002</v>
      </c>
      <c r="F68" s="11">
        <v>1540.106</v>
      </c>
      <c r="G68" s="11">
        <v>393.75799999999998</v>
      </c>
      <c r="H68" s="7">
        <f t="shared" ref="H68:H131" si="16">+SUM(B68:G68)</f>
        <v>12169.352999999999</v>
      </c>
      <c r="J68" s="25">
        <f t="shared" si="15"/>
        <v>42887</v>
      </c>
      <c r="K68" s="18">
        <f t="shared" ref="K68:K131" si="17">B68+C68+D68</f>
        <v>9835.8359999999993</v>
      </c>
      <c r="L68" s="18">
        <f t="shared" ref="L68:L131" si="18">B68</f>
        <v>6227.4530000000004</v>
      </c>
      <c r="M68" s="18">
        <f t="shared" ref="M68:M131" si="19">C68</f>
        <v>3142.6990000000001</v>
      </c>
      <c r="N68" s="18">
        <f t="shared" ref="N68:N131" si="20">D68</f>
        <v>465.68400000000003</v>
      </c>
      <c r="O68" s="19">
        <f t="shared" ref="O68:O131" si="21">E68+F68+G68</f>
        <v>2333.5169999999998</v>
      </c>
      <c r="Q68" s="24">
        <f t="shared" si="7"/>
        <v>17225.999999998749</v>
      </c>
      <c r="R68" s="22">
        <f t="shared" si="8"/>
        <v>1.7544234876423204E-3</v>
      </c>
      <c r="V68" s="26">
        <f t="shared" si="9"/>
        <v>14615.000000000691</v>
      </c>
      <c r="W68" s="22">
        <f t="shared" si="10"/>
        <v>2.3523871055386447E-3</v>
      </c>
      <c r="AA68" s="26">
        <f t="shared" si="11"/>
        <v>2749.000000000251</v>
      </c>
      <c r="AB68" s="22">
        <f t="shared" si="12"/>
        <v>8.7549164795630574E-4</v>
      </c>
      <c r="AF68" s="26">
        <f t="shared" si="13"/>
        <v>-137.99999999997681</v>
      </c>
      <c r="AG68" s="22">
        <f t="shared" si="14"/>
        <v>-2.9625049911763401E-4</v>
      </c>
    </row>
    <row r="69" spans="1:33" x14ac:dyDescent="0.3">
      <c r="A69" s="8">
        <v>42917</v>
      </c>
      <c r="B69" s="9">
        <v>6235.6090000000004</v>
      </c>
      <c r="C69" s="10">
        <v>3148.5390000000002</v>
      </c>
      <c r="D69" s="11">
        <v>467.13799999999998</v>
      </c>
      <c r="E69" s="11">
        <v>399.49599999999998</v>
      </c>
      <c r="F69" s="11">
        <v>1550.8050000000001</v>
      </c>
      <c r="G69" s="11">
        <v>399.97899999999998</v>
      </c>
      <c r="H69" s="7">
        <f t="shared" si="16"/>
        <v>12201.566000000001</v>
      </c>
      <c r="J69" s="25">
        <f t="shared" si="15"/>
        <v>42917</v>
      </c>
      <c r="K69" s="18">
        <f t="shared" si="17"/>
        <v>9851.2860000000019</v>
      </c>
      <c r="L69" s="18">
        <f t="shared" si="18"/>
        <v>6235.6090000000004</v>
      </c>
      <c r="M69" s="18">
        <f t="shared" si="19"/>
        <v>3148.5390000000002</v>
      </c>
      <c r="N69" s="18">
        <f t="shared" si="20"/>
        <v>467.13799999999998</v>
      </c>
      <c r="O69" s="19">
        <f t="shared" si="21"/>
        <v>2350.2799999999997</v>
      </c>
      <c r="Q69" s="24">
        <f t="shared" ref="Q69:Q132" si="22">(K69-K68)*1000</f>
        <v>15450.000000002547</v>
      </c>
      <c r="R69" s="22">
        <f t="shared" ref="R69:R132" si="23">K69/K68-1</f>
        <v>1.5707866621610389E-3</v>
      </c>
      <c r="V69" s="26">
        <f t="shared" ref="V69:V132" si="24">(L69-L68)*1000</f>
        <v>8155.9999999999491</v>
      </c>
      <c r="W69" s="22">
        <f t="shared" ref="W69:W132" si="25">L69/L68-1</f>
        <v>1.3096847137987755E-3</v>
      </c>
      <c r="AA69" s="26">
        <f t="shared" ref="AA69:AA132" si="26">(M69-M68)*1000</f>
        <v>5840.0000000001455</v>
      </c>
      <c r="AB69" s="22">
        <f t="shared" ref="AB69:AB132" si="27">M69/M68-1</f>
        <v>1.8582753232174731E-3</v>
      </c>
      <c r="AF69" s="26">
        <f t="shared" ref="AF69:AF132" si="28">(N69-N68)*1000</f>
        <v>1453.9999999999509</v>
      </c>
      <c r="AG69" s="22">
        <f t="shared" ref="AG69:AG132" si="29">N69/N68-1</f>
        <v>3.1222889341269155E-3</v>
      </c>
    </row>
    <row r="70" spans="1:33" x14ac:dyDescent="0.3">
      <c r="A70" s="8">
        <v>42948</v>
      </c>
      <c r="B70" s="9">
        <v>6235.0550000000003</v>
      </c>
      <c r="C70" s="10">
        <v>3149.598</v>
      </c>
      <c r="D70" s="11">
        <v>467.84300000000002</v>
      </c>
      <c r="E70" s="11">
        <v>399.47300000000001</v>
      </c>
      <c r="F70" s="11">
        <v>1570.5709999999999</v>
      </c>
      <c r="G70" s="11">
        <v>399.66399999999999</v>
      </c>
      <c r="H70" s="7">
        <f t="shared" si="16"/>
        <v>12222.204000000002</v>
      </c>
      <c r="J70" s="25">
        <f t="shared" si="15"/>
        <v>42948</v>
      </c>
      <c r="K70" s="18">
        <f t="shared" si="17"/>
        <v>9852.496000000001</v>
      </c>
      <c r="L70" s="18">
        <f t="shared" si="18"/>
        <v>6235.0550000000003</v>
      </c>
      <c r="M70" s="18">
        <f t="shared" si="19"/>
        <v>3149.598</v>
      </c>
      <c r="N70" s="18">
        <f t="shared" si="20"/>
        <v>467.84300000000002</v>
      </c>
      <c r="O70" s="19">
        <f t="shared" si="21"/>
        <v>2369.7079999999996</v>
      </c>
      <c r="Q70" s="24">
        <f t="shared" si="22"/>
        <v>1209.9999999991269</v>
      </c>
      <c r="R70" s="22">
        <f t="shared" si="23"/>
        <v>1.2282660355200647E-4</v>
      </c>
      <c r="V70" s="26">
        <f t="shared" si="24"/>
        <v>-554.00000000008731</v>
      </c>
      <c r="W70" s="22">
        <f t="shared" si="25"/>
        <v>-8.8844569952950536E-5</v>
      </c>
      <c r="AA70" s="26">
        <f t="shared" si="26"/>
        <v>1058.9999999997417</v>
      </c>
      <c r="AB70" s="22">
        <f t="shared" si="27"/>
        <v>3.3634647688973729E-4</v>
      </c>
      <c r="AF70" s="26">
        <f t="shared" si="28"/>
        <v>705.00000000004093</v>
      </c>
      <c r="AG70" s="22">
        <f t="shared" si="29"/>
        <v>1.5091900038104455E-3</v>
      </c>
    </row>
    <row r="71" spans="1:33" x14ac:dyDescent="0.3">
      <c r="A71" s="8">
        <v>42979</v>
      </c>
      <c r="B71" s="9">
        <v>6245.8429999999998</v>
      </c>
      <c r="C71" s="10">
        <v>3158.6239999999998</v>
      </c>
      <c r="D71" s="11">
        <v>469.80399999999997</v>
      </c>
      <c r="E71" s="11">
        <v>399.125</v>
      </c>
      <c r="F71" s="11">
        <v>1582.271</v>
      </c>
      <c r="G71" s="11">
        <v>409.83600000000001</v>
      </c>
      <c r="H71" s="7">
        <f t="shared" si="16"/>
        <v>12265.503000000001</v>
      </c>
      <c r="J71" s="25">
        <f t="shared" si="15"/>
        <v>42979</v>
      </c>
      <c r="K71" s="18">
        <f t="shared" si="17"/>
        <v>9874.2710000000006</v>
      </c>
      <c r="L71" s="18">
        <f t="shared" si="18"/>
        <v>6245.8429999999998</v>
      </c>
      <c r="M71" s="18">
        <f t="shared" si="19"/>
        <v>3158.6239999999998</v>
      </c>
      <c r="N71" s="18">
        <f t="shared" si="20"/>
        <v>469.80399999999997</v>
      </c>
      <c r="O71" s="19">
        <f t="shared" si="21"/>
        <v>2391.232</v>
      </c>
      <c r="Q71" s="24">
        <f t="shared" si="22"/>
        <v>21774.999999999636</v>
      </c>
      <c r="R71" s="22">
        <f t="shared" si="23"/>
        <v>2.2100998569296593E-3</v>
      </c>
      <c r="V71" s="26">
        <f t="shared" si="24"/>
        <v>10787.999999999556</v>
      </c>
      <c r="W71" s="22">
        <f t="shared" si="25"/>
        <v>1.7302172955970807E-3</v>
      </c>
      <c r="AA71" s="26">
        <f t="shared" si="26"/>
        <v>9025.9999999998399</v>
      </c>
      <c r="AB71" s="22">
        <f t="shared" si="27"/>
        <v>2.8657625512842344E-3</v>
      </c>
      <c r="AF71" s="26">
        <f t="shared" si="28"/>
        <v>1960.9999999999559</v>
      </c>
      <c r="AG71" s="22">
        <f t="shared" si="29"/>
        <v>4.1915770888951709E-3</v>
      </c>
    </row>
    <row r="72" spans="1:33" x14ac:dyDescent="0.3">
      <c r="A72" s="8">
        <v>43009</v>
      </c>
      <c r="B72" s="9">
        <v>6257.2629999999999</v>
      </c>
      <c r="C72" s="10">
        <v>3156.5810000000001</v>
      </c>
      <c r="D72" s="11">
        <v>471.97</v>
      </c>
      <c r="E72" s="11">
        <v>402.09899999999999</v>
      </c>
      <c r="F72" s="11">
        <v>1599.3340000000001</v>
      </c>
      <c r="G72" s="11">
        <v>408.57</v>
      </c>
      <c r="H72" s="7">
        <f t="shared" si="16"/>
        <v>12295.817000000001</v>
      </c>
      <c r="J72" s="25">
        <f t="shared" si="15"/>
        <v>43009</v>
      </c>
      <c r="K72" s="18">
        <f t="shared" si="17"/>
        <v>9885.8140000000003</v>
      </c>
      <c r="L72" s="18">
        <f t="shared" si="18"/>
        <v>6257.2629999999999</v>
      </c>
      <c r="M72" s="18">
        <f t="shared" si="19"/>
        <v>3156.5810000000001</v>
      </c>
      <c r="N72" s="18">
        <f t="shared" si="20"/>
        <v>471.97</v>
      </c>
      <c r="O72" s="19">
        <f t="shared" si="21"/>
        <v>2410.0030000000002</v>
      </c>
      <c r="Q72" s="24">
        <f t="shared" si="22"/>
        <v>11542.999999999665</v>
      </c>
      <c r="R72" s="22">
        <f t="shared" si="23"/>
        <v>1.1689976910700395E-3</v>
      </c>
      <c r="V72" s="26">
        <f t="shared" si="24"/>
        <v>11420.000000000073</v>
      </c>
      <c r="W72" s="22">
        <f t="shared" si="25"/>
        <v>1.8284161161272738E-3</v>
      </c>
      <c r="AA72" s="26">
        <f t="shared" si="26"/>
        <v>-2042.9999999996653</v>
      </c>
      <c r="AB72" s="22">
        <f t="shared" si="27"/>
        <v>-6.4680063217392725E-4</v>
      </c>
      <c r="AF72" s="26">
        <f t="shared" si="28"/>
        <v>2166.0000000000537</v>
      </c>
      <c r="AG72" s="22">
        <f t="shared" si="29"/>
        <v>4.6104332870731124E-3</v>
      </c>
    </row>
    <row r="73" spans="1:33" x14ac:dyDescent="0.3">
      <c r="A73" s="8">
        <v>43040</v>
      </c>
      <c r="B73" s="9">
        <v>6269.6080000000002</v>
      </c>
      <c r="C73" s="10">
        <v>3160.75</v>
      </c>
      <c r="D73" s="11">
        <v>473.54300000000001</v>
      </c>
      <c r="E73" s="11">
        <v>402.45800000000003</v>
      </c>
      <c r="F73" s="11">
        <v>1598.816</v>
      </c>
      <c r="G73" s="11">
        <v>412.51799999999997</v>
      </c>
      <c r="H73" s="7">
        <f t="shared" si="16"/>
        <v>12317.693000000001</v>
      </c>
      <c r="J73" s="25">
        <f t="shared" si="15"/>
        <v>43040</v>
      </c>
      <c r="K73" s="18">
        <f t="shared" si="17"/>
        <v>9903.9009999999998</v>
      </c>
      <c r="L73" s="18">
        <f t="shared" si="18"/>
        <v>6269.6080000000002</v>
      </c>
      <c r="M73" s="18">
        <f t="shared" si="19"/>
        <v>3160.75</v>
      </c>
      <c r="N73" s="18">
        <f t="shared" si="20"/>
        <v>473.54300000000001</v>
      </c>
      <c r="O73" s="19">
        <f t="shared" si="21"/>
        <v>2413.7919999999999</v>
      </c>
      <c r="Q73" s="24">
        <f t="shared" si="22"/>
        <v>18086.999999999534</v>
      </c>
      <c r="R73" s="22">
        <f t="shared" si="23"/>
        <v>1.8295913720407508E-3</v>
      </c>
      <c r="V73" s="26">
        <f t="shared" si="24"/>
        <v>12345.000000000255</v>
      </c>
      <c r="W73" s="22">
        <f t="shared" si="25"/>
        <v>1.9729073238572425E-3</v>
      </c>
      <c r="AA73" s="26">
        <f t="shared" si="26"/>
        <v>4168.999999999869</v>
      </c>
      <c r="AB73" s="22">
        <f t="shared" si="27"/>
        <v>1.3207327801820767E-3</v>
      </c>
      <c r="AF73" s="26">
        <f t="shared" si="28"/>
        <v>1572.9999999999791</v>
      </c>
      <c r="AG73" s="22">
        <f t="shared" si="29"/>
        <v>3.3328389516282808E-3</v>
      </c>
    </row>
    <row r="74" spans="1:33" x14ac:dyDescent="0.3">
      <c r="A74" s="8">
        <v>43070</v>
      </c>
      <c r="B74" s="9">
        <v>6280.7629999999999</v>
      </c>
      <c r="C74" s="10">
        <v>3164.8440000000001</v>
      </c>
      <c r="D74" s="11">
        <v>475.05</v>
      </c>
      <c r="E74" s="11">
        <v>402.91899999999998</v>
      </c>
      <c r="F74" s="11">
        <v>1593.8969999999999</v>
      </c>
      <c r="G74" s="11">
        <v>419.267</v>
      </c>
      <c r="H74" s="7">
        <f t="shared" si="16"/>
        <v>12336.739999999998</v>
      </c>
      <c r="J74" s="25">
        <f t="shared" si="15"/>
        <v>43070</v>
      </c>
      <c r="K74" s="18">
        <f t="shared" si="17"/>
        <v>9920.6569999999992</v>
      </c>
      <c r="L74" s="18">
        <f t="shared" si="18"/>
        <v>6280.7629999999999</v>
      </c>
      <c r="M74" s="18">
        <f t="shared" si="19"/>
        <v>3164.8440000000001</v>
      </c>
      <c r="N74" s="18">
        <f t="shared" si="20"/>
        <v>475.05</v>
      </c>
      <c r="O74" s="19">
        <f t="shared" si="21"/>
        <v>2416.0829999999996</v>
      </c>
      <c r="Q74" s="24">
        <f t="shared" si="22"/>
        <v>16755.999999999403</v>
      </c>
      <c r="R74" s="22">
        <f t="shared" si="23"/>
        <v>1.6918585918821449E-3</v>
      </c>
      <c r="V74" s="26">
        <f t="shared" si="24"/>
        <v>11154.999999999745</v>
      </c>
      <c r="W74" s="22">
        <f t="shared" si="25"/>
        <v>1.7792180946558656E-3</v>
      </c>
      <c r="AA74" s="26">
        <f t="shared" si="26"/>
        <v>4094.0000000000509</v>
      </c>
      <c r="AB74" s="22">
        <f t="shared" si="27"/>
        <v>1.2952622004271941E-3</v>
      </c>
      <c r="AF74" s="26">
        <f t="shared" si="28"/>
        <v>1507.000000000005</v>
      </c>
      <c r="AG74" s="22">
        <f t="shared" si="29"/>
        <v>3.1823931512027226E-3</v>
      </c>
    </row>
    <row r="75" spans="1:33" x14ac:dyDescent="0.3">
      <c r="A75" s="8">
        <v>43101</v>
      </c>
      <c r="B75" s="9">
        <v>6275.1189999999997</v>
      </c>
      <c r="C75" s="10">
        <v>3178.3110000000001</v>
      </c>
      <c r="D75" s="11">
        <v>477.08100000000002</v>
      </c>
      <c r="E75" s="11">
        <v>402.75900000000001</v>
      </c>
      <c r="F75" s="11">
        <v>1595.67</v>
      </c>
      <c r="G75" s="11">
        <v>418.95</v>
      </c>
      <c r="H75" s="7">
        <f t="shared" si="16"/>
        <v>12347.890000000001</v>
      </c>
      <c r="J75" s="25">
        <f t="shared" si="15"/>
        <v>43101</v>
      </c>
      <c r="K75" s="18">
        <f t="shared" si="17"/>
        <v>9930.5110000000004</v>
      </c>
      <c r="L75" s="18">
        <f t="shared" si="18"/>
        <v>6275.1189999999997</v>
      </c>
      <c r="M75" s="18">
        <f t="shared" si="19"/>
        <v>3178.3110000000001</v>
      </c>
      <c r="N75" s="18">
        <f t="shared" si="20"/>
        <v>477.08100000000002</v>
      </c>
      <c r="O75" s="19">
        <f t="shared" si="21"/>
        <v>2417.3789999999999</v>
      </c>
      <c r="Q75" s="24">
        <f t="shared" si="22"/>
        <v>9854.0000000011787</v>
      </c>
      <c r="R75" s="22">
        <f t="shared" si="23"/>
        <v>9.9328098935402842E-4</v>
      </c>
      <c r="V75" s="26">
        <f t="shared" si="24"/>
        <v>-5644.0000000002328</v>
      </c>
      <c r="W75" s="22">
        <f t="shared" si="25"/>
        <v>-8.9861693555393085E-4</v>
      </c>
      <c r="AA75" s="26">
        <f t="shared" si="26"/>
        <v>13467.000000000098</v>
      </c>
      <c r="AB75" s="22">
        <f t="shared" si="27"/>
        <v>4.2551860376056627E-3</v>
      </c>
      <c r="AF75" s="26">
        <f t="shared" si="28"/>
        <v>2031.0000000000059</v>
      </c>
      <c r="AG75" s="22">
        <f t="shared" si="29"/>
        <v>4.2753394379539955E-3</v>
      </c>
    </row>
    <row r="76" spans="1:33" x14ac:dyDescent="0.3">
      <c r="A76" s="8">
        <v>43132</v>
      </c>
      <c r="B76" s="9">
        <v>6270.4480000000003</v>
      </c>
      <c r="C76" s="10">
        <v>3160.4989999999998</v>
      </c>
      <c r="D76" s="11">
        <v>478.76900000000001</v>
      </c>
      <c r="E76" s="11">
        <v>403.029</v>
      </c>
      <c r="F76" s="11">
        <v>1594.605</v>
      </c>
      <c r="G76" s="11">
        <v>423.45</v>
      </c>
      <c r="H76" s="7">
        <f t="shared" si="16"/>
        <v>12330.800000000001</v>
      </c>
      <c r="J76" s="25">
        <f t="shared" si="15"/>
        <v>43132</v>
      </c>
      <c r="K76" s="18">
        <f t="shared" si="17"/>
        <v>9909.7160000000003</v>
      </c>
      <c r="L76" s="18">
        <f t="shared" si="18"/>
        <v>6270.4480000000003</v>
      </c>
      <c r="M76" s="18">
        <f t="shared" si="19"/>
        <v>3160.4989999999998</v>
      </c>
      <c r="N76" s="18">
        <f t="shared" si="20"/>
        <v>478.76900000000001</v>
      </c>
      <c r="O76" s="19">
        <f t="shared" si="21"/>
        <v>2421.0839999999998</v>
      </c>
      <c r="Q76" s="24">
        <f t="shared" si="22"/>
        <v>-20795.000000000073</v>
      </c>
      <c r="R76" s="22">
        <f t="shared" si="23"/>
        <v>-2.0940513534499772E-3</v>
      </c>
      <c r="V76" s="26">
        <f t="shared" si="24"/>
        <v>-4670.999999999367</v>
      </c>
      <c r="W76" s="22">
        <f t="shared" si="25"/>
        <v>-7.4436835381119781E-4</v>
      </c>
      <c r="AA76" s="26">
        <f t="shared" si="26"/>
        <v>-17812.000000000353</v>
      </c>
      <c r="AB76" s="22">
        <f t="shared" si="27"/>
        <v>-5.6042344503103303E-3</v>
      </c>
      <c r="AF76" s="26">
        <f t="shared" si="28"/>
        <v>1687.9999999999882</v>
      </c>
      <c r="AG76" s="22">
        <f t="shared" si="29"/>
        <v>3.5381832435161797E-3</v>
      </c>
    </row>
    <row r="77" spans="1:33" x14ac:dyDescent="0.3">
      <c r="A77" s="8">
        <v>43160</v>
      </c>
      <c r="B77" s="9">
        <v>6278.9719999999998</v>
      </c>
      <c r="C77" s="10">
        <v>3161.8270000000002</v>
      </c>
      <c r="D77" s="11">
        <v>480.83600000000001</v>
      </c>
      <c r="E77" s="11">
        <v>403.32499999999999</v>
      </c>
      <c r="F77" s="11">
        <v>1593.8030000000001</v>
      </c>
      <c r="G77" s="11">
        <v>422.92200000000003</v>
      </c>
      <c r="H77" s="7">
        <f t="shared" si="16"/>
        <v>12341.684999999999</v>
      </c>
      <c r="J77" s="25">
        <f t="shared" si="15"/>
        <v>43160</v>
      </c>
      <c r="K77" s="18">
        <f t="shared" si="17"/>
        <v>9921.6349999999984</v>
      </c>
      <c r="L77" s="18">
        <f t="shared" si="18"/>
        <v>6278.9719999999998</v>
      </c>
      <c r="M77" s="18">
        <f t="shared" si="19"/>
        <v>3161.8270000000002</v>
      </c>
      <c r="N77" s="18">
        <f t="shared" si="20"/>
        <v>480.83600000000001</v>
      </c>
      <c r="O77" s="19">
        <f t="shared" si="21"/>
        <v>2420.0500000000002</v>
      </c>
      <c r="Q77" s="24">
        <f t="shared" si="22"/>
        <v>11918.99999999805</v>
      </c>
      <c r="R77" s="22">
        <f t="shared" si="23"/>
        <v>1.2027589892584789E-3</v>
      </c>
      <c r="V77" s="26">
        <f t="shared" si="24"/>
        <v>8523.9999999994325</v>
      </c>
      <c r="W77" s="22">
        <f t="shared" si="25"/>
        <v>1.3593925027366449E-3</v>
      </c>
      <c r="AA77" s="26">
        <f t="shared" si="26"/>
        <v>1328.0000000004293</v>
      </c>
      <c r="AB77" s="22">
        <f t="shared" si="27"/>
        <v>4.2018681227240506E-4</v>
      </c>
      <c r="AF77" s="26">
        <f t="shared" si="28"/>
        <v>2067.0000000000073</v>
      </c>
      <c r="AG77" s="22">
        <f t="shared" si="29"/>
        <v>4.3173221323853372E-3</v>
      </c>
    </row>
    <row r="78" spans="1:33" x14ac:dyDescent="0.3">
      <c r="A78" s="8">
        <v>43191</v>
      </c>
      <c r="B78" s="9">
        <v>6281.7929999999997</v>
      </c>
      <c r="C78" s="10">
        <v>3162.3589999999999</v>
      </c>
      <c r="D78" s="11">
        <v>481.32499999999999</v>
      </c>
      <c r="E78" s="11">
        <v>404.17500000000001</v>
      </c>
      <c r="F78" s="11">
        <v>1596.03</v>
      </c>
      <c r="G78" s="11">
        <v>417.185</v>
      </c>
      <c r="H78" s="7">
        <f t="shared" si="16"/>
        <v>12342.867</v>
      </c>
      <c r="J78" s="25">
        <f t="shared" si="15"/>
        <v>43191</v>
      </c>
      <c r="K78" s="18">
        <f t="shared" si="17"/>
        <v>9925.4770000000008</v>
      </c>
      <c r="L78" s="18">
        <f t="shared" si="18"/>
        <v>6281.7929999999997</v>
      </c>
      <c r="M78" s="18">
        <f t="shared" si="19"/>
        <v>3162.3589999999999</v>
      </c>
      <c r="N78" s="18">
        <f t="shared" si="20"/>
        <v>481.32499999999999</v>
      </c>
      <c r="O78" s="19">
        <f t="shared" si="21"/>
        <v>2417.39</v>
      </c>
      <c r="Q78" s="24">
        <f t="shared" si="22"/>
        <v>3842.000000002372</v>
      </c>
      <c r="R78" s="22">
        <f t="shared" si="23"/>
        <v>3.872345636584118E-4</v>
      </c>
      <c r="V78" s="26">
        <f t="shared" si="24"/>
        <v>2820.9999999999127</v>
      </c>
      <c r="W78" s="22">
        <f t="shared" si="25"/>
        <v>4.4927736578537214E-4</v>
      </c>
      <c r="AA78" s="26">
        <f t="shared" si="26"/>
        <v>531.99999999969805</v>
      </c>
      <c r="AB78" s="22">
        <f t="shared" si="27"/>
        <v>1.6825715005897024E-4</v>
      </c>
      <c r="AF78" s="26">
        <f t="shared" si="28"/>
        <v>488.9999999999759</v>
      </c>
      <c r="AG78" s="22">
        <f t="shared" si="29"/>
        <v>1.0169787619895843E-3</v>
      </c>
    </row>
    <row r="79" spans="1:33" x14ac:dyDescent="0.3">
      <c r="A79" s="8">
        <v>43221</v>
      </c>
      <c r="B79" s="9">
        <v>6275.308</v>
      </c>
      <c r="C79" s="10">
        <v>3159.0619999999999</v>
      </c>
      <c r="D79" s="11">
        <v>481.95600000000002</v>
      </c>
      <c r="E79" s="11">
        <v>403.37200000000001</v>
      </c>
      <c r="F79" s="11">
        <v>1600.8040000000001</v>
      </c>
      <c r="G79" s="11">
        <v>414.33300000000003</v>
      </c>
      <c r="H79" s="7">
        <f t="shared" si="16"/>
        <v>12334.834999999999</v>
      </c>
      <c r="J79" s="25">
        <f t="shared" si="15"/>
        <v>43221</v>
      </c>
      <c r="K79" s="18">
        <f t="shared" si="17"/>
        <v>9916.3259999999991</v>
      </c>
      <c r="L79" s="18">
        <f t="shared" si="18"/>
        <v>6275.308</v>
      </c>
      <c r="M79" s="18">
        <f t="shared" si="19"/>
        <v>3159.0619999999999</v>
      </c>
      <c r="N79" s="18">
        <f t="shared" si="20"/>
        <v>481.95600000000002</v>
      </c>
      <c r="O79" s="19">
        <f t="shared" si="21"/>
        <v>2418.509</v>
      </c>
      <c r="Q79" s="24">
        <f t="shared" si="22"/>
        <v>-9151.0000000016589</v>
      </c>
      <c r="R79" s="22">
        <f t="shared" si="23"/>
        <v>-9.2197080301548162E-4</v>
      </c>
      <c r="V79" s="26">
        <f t="shared" si="24"/>
        <v>-6484.9999999996726</v>
      </c>
      <c r="W79" s="22">
        <f t="shared" si="25"/>
        <v>-1.0323485667228516E-3</v>
      </c>
      <c r="AA79" s="26">
        <f t="shared" si="26"/>
        <v>-3297.0000000000255</v>
      </c>
      <c r="AB79" s="22">
        <f t="shared" si="27"/>
        <v>-1.0425761275048018E-3</v>
      </c>
      <c r="AF79" s="26">
        <f t="shared" si="28"/>
        <v>631.00000000002865</v>
      </c>
      <c r="AG79" s="22">
        <f t="shared" si="29"/>
        <v>1.3109645250091173E-3</v>
      </c>
    </row>
    <row r="80" spans="1:33" x14ac:dyDescent="0.3">
      <c r="A80" s="8">
        <v>43252</v>
      </c>
      <c r="B80" s="9">
        <v>6254.3270000000002</v>
      </c>
      <c r="C80" s="10">
        <v>3158.0529999999999</v>
      </c>
      <c r="D80" s="11">
        <v>483.42099999999999</v>
      </c>
      <c r="E80" s="11">
        <v>403.55500000000001</v>
      </c>
      <c r="F80" s="11">
        <v>1606.9639999999999</v>
      </c>
      <c r="G80" s="11">
        <v>404.96800000000002</v>
      </c>
      <c r="H80" s="7">
        <f t="shared" si="16"/>
        <v>12311.288000000002</v>
      </c>
      <c r="J80" s="25">
        <f t="shared" si="15"/>
        <v>43252</v>
      </c>
      <c r="K80" s="18">
        <f t="shared" si="17"/>
        <v>9895.8010000000013</v>
      </c>
      <c r="L80" s="18">
        <f t="shared" si="18"/>
        <v>6254.3270000000002</v>
      </c>
      <c r="M80" s="18">
        <f t="shared" si="19"/>
        <v>3158.0529999999999</v>
      </c>
      <c r="N80" s="18">
        <f t="shared" si="20"/>
        <v>483.42099999999999</v>
      </c>
      <c r="O80" s="19">
        <f t="shared" si="21"/>
        <v>2415.4870000000001</v>
      </c>
      <c r="Q80" s="24">
        <f t="shared" si="22"/>
        <v>-20524.999999997817</v>
      </c>
      <c r="R80" s="22">
        <f t="shared" si="23"/>
        <v>-2.0698190035298714E-3</v>
      </c>
      <c r="V80" s="26">
        <f t="shared" si="24"/>
        <v>-20980.999999999767</v>
      </c>
      <c r="W80" s="22">
        <f t="shared" si="25"/>
        <v>-3.3434215499860143E-3</v>
      </c>
      <c r="AA80" s="26">
        <f t="shared" si="26"/>
        <v>-1009.0000000000146</v>
      </c>
      <c r="AB80" s="22">
        <f t="shared" si="27"/>
        <v>-3.1939860629515149E-4</v>
      </c>
      <c r="AF80" s="26">
        <f t="shared" si="28"/>
        <v>1464.999999999975</v>
      </c>
      <c r="AG80" s="22">
        <f t="shared" si="29"/>
        <v>3.0396965698114009E-3</v>
      </c>
    </row>
    <row r="81" spans="1:33" x14ac:dyDescent="0.3">
      <c r="A81" s="8">
        <v>43282</v>
      </c>
      <c r="B81" s="9">
        <v>6244.0540000000001</v>
      </c>
      <c r="C81" s="10">
        <v>3159.0079999999998</v>
      </c>
      <c r="D81" s="11">
        <v>486.67</v>
      </c>
      <c r="E81" s="11">
        <v>402.32900000000001</v>
      </c>
      <c r="F81" s="11">
        <v>1606.3530000000001</v>
      </c>
      <c r="G81" s="11">
        <v>343.524</v>
      </c>
      <c r="H81" s="7">
        <f t="shared" si="16"/>
        <v>12241.938</v>
      </c>
      <c r="J81" s="25">
        <f t="shared" si="15"/>
        <v>43282</v>
      </c>
      <c r="K81" s="18">
        <f t="shared" si="17"/>
        <v>9889.732</v>
      </c>
      <c r="L81" s="18">
        <f t="shared" si="18"/>
        <v>6244.0540000000001</v>
      </c>
      <c r="M81" s="18">
        <f t="shared" si="19"/>
        <v>3159.0079999999998</v>
      </c>
      <c r="N81" s="18">
        <f t="shared" si="20"/>
        <v>486.67</v>
      </c>
      <c r="O81" s="19">
        <f t="shared" si="21"/>
        <v>2352.2060000000001</v>
      </c>
      <c r="Q81" s="24">
        <f t="shared" si="22"/>
        <v>-6069.0000000013242</v>
      </c>
      <c r="R81" s="22">
        <f t="shared" si="23"/>
        <v>-6.1329042489854935E-4</v>
      </c>
      <c r="V81" s="26">
        <f t="shared" si="24"/>
        <v>-10273.000000000138</v>
      </c>
      <c r="W81" s="22">
        <f t="shared" si="25"/>
        <v>-1.6425428347446314E-3</v>
      </c>
      <c r="AA81" s="26">
        <f t="shared" si="26"/>
        <v>954.99999999992724</v>
      </c>
      <c r="AB81" s="22">
        <f t="shared" si="27"/>
        <v>3.0240151131089021E-4</v>
      </c>
      <c r="AF81" s="26">
        <f t="shared" si="28"/>
        <v>3249.0000000000236</v>
      </c>
      <c r="AG81" s="22">
        <f t="shared" si="29"/>
        <v>6.7208499423898616E-3</v>
      </c>
    </row>
    <row r="82" spans="1:33" x14ac:dyDescent="0.3">
      <c r="A82" s="8">
        <v>43313</v>
      </c>
      <c r="B82" s="9">
        <v>6234.9210000000003</v>
      </c>
      <c r="C82" s="10">
        <v>3165.8380000000002</v>
      </c>
      <c r="D82" s="11">
        <v>489.14499999999998</v>
      </c>
      <c r="E82" s="11">
        <v>400.89600000000002</v>
      </c>
      <c r="F82" s="11">
        <v>1609.538</v>
      </c>
      <c r="G82" s="11">
        <v>346.56900000000002</v>
      </c>
      <c r="H82" s="7">
        <f t="shared" si="16"/>
        <v>12246.907000000001</v>
      </c>
      <c r="J82" s="25">
        <f t="shared" si="15"/>
        <v>43313</v>
      </c>
      <c r="K82" s="18">
        <f t="shared" si="17"/>
        <v>9889.9040000000005</v>
      </c>
      <c r="L82" s="18">
        <f t="shared" si="18"/>
        <v>6234.9210000000003</v>
      </c>
      <c r="M82" s="18">
        <f t="shared" si="19"/>
        <v>3165.8380000000002</v>
      </c>
      <c r="N82" s="18">
        <f t="shared" si="20"/>
        <v>489.14499999999998</v>
      </c>
      <c r="O82" s="19">
        <f t="shared" si="21"/>
        <v>2357.0030000000002</v>
      </c>
      <c r="Q82" s="24">
        <f t="shared" si="22"/>
        <v>172.00000000048021</v>
      </c>
      <c r="R82" s="22">
        <f t="shared" si="23"/>
        <v>1.7391775631647732E-5</v>
      </c>
      <c r="V82" s="26">
        <f t="shared" si="24"/>
        <v>-9132.9999999998108</v>
      </c>
      <c r="W82" s="22">
        <f t="shared" si="25"/>
        <v>-1.4626715271840451E-3</v>
      </c>
      <c r="AA82" s="26">
        <f t="shared" si="26"/>
        <v>6830.000000000382</v>
      </c>
      <c r="AB82" s="22">
        <f t="shared" si="27"/>
        <v>2.1620711311907126E-3</v>
      </c>
      <c r="AF82" s="26">
        <f t="shared" si="28"/>
        <v>2474.9999999999659</v>
      </c>
      <c r="AG82" s="22">
        <f t="shared" si="29"/>
        <v>5.0855816056054604E-3</v>
      </c>
    </row>
    <row r="83" spans="1:33" x14ac:dyDescent="0.3">
      <c r="A83" s="8">
        <v>43344</v>
      </c>
      <c r="B83" s="9">
        <v>6210.0519999999997</v>
      </c>
      <c r="C83" s="10">
        <v>3157.7130000000002</v>
      </c>
      <c r="D83" s="11">
        <v>491.17099999999999</v>
      </c>
      <c r="E83" s="11">
        <v>400.26100000000002</v>
      </c>
      <c r="F83" s="11">
        <v>1615.7249999999999</v>
      </c>
      <c r="G83" s="11">
        <v>345.80500000000001</v>
      </c>
      <c r="H83" s="7">
        <f t="shared" si="16"/>
        <v>12220.727000000001</v>
      </c>
      <c r="J83" s="25">
        <f t="shared" si="15"/>
        <v>43344</v>
      </c>
      <c r="K83" s="18">
        <f t="shared" si="17"/>
        <v>9858.9359999999997</v>
      </c>
      <c r="L83" s="18">
        <f t="shared" si="18"/>
        <v>6210.0519999999997</v>
      </c>
      <c r="M83" s="18">
        <f t="shared" si="19"/>
        <v>3157.7130000000002</v>
      </c>
      <c r="N83" s="18">
        <f t="shared" si="20"/>
        <v>491.17099999999999</v>
      </c>
      <c r="O83" s="19">
        <f t="shared" si="21"/>
        <v>2361.7909999999997</v>
      </c>
      <c r="Q83" s="24">
        <f t="shared" si="22"/>
        <v>-30968.000000000757</v>
      </c>
      <c r="R83" s="22">
        <f t="shared" si="23"/>
        <v>-3.1312740750568668E-3</v>
      </c>
      <c r="V83" s="26">
        <f t="shared" si="24"/>
        <v>-24869.000000000597</v>
      </c>
      <c r="W83" s="22">
        <f t="shared" si="25"/>
        <v>-3.988663208403187E-3</v>
      </c>
      <c r="AA83" s="26">
        <f t="shared" si="26"/>
        <v>-8125</v>
      </c>
      <c r="AB83" s="22">
        <f t="shared" si="27"/>
        <v>-2.5664610760247619E-3</v>
      </c>
      <c r="AF83" s="26">
        <f t="shared" si="28"/>
        <v>2026.0000000000105</v>
      </c>
      <c r="AG83" s="22">
        <f t="shared" si="29"/>
        <v>4.1419211072382112E-3</v>
      </c>
    </row>
    <row r="84" spans="1:33" x14ac:dyDescent="0.3">
      <c r="A84" s="8">
        <v>43374</v>
      </c>
      <c r="B84" s="9">
        <v>6195.6090000000004</v>
      </c>
      <c r="C84" s="10">
        <v>3161.866</v>
      </c>
      <c r="D84" s="11">
        <v>490.02600000000001</v>
      </c>
      <c r="E84" s="11">
        <v>399.20699999999999</v>
      </c>
      <c r="F84" s="11">
        <v>1577.672</v>
      </c>
      <c r="G84" s="11">
        <v>349.41399999999999</v>
      </c>
      <c r="H84" s="7">
        <f t="shared" si="16"/>
        <v>12173.794000000002</v>
      </c>
      <c r="J84" s="25">
        <f t="shared" si="15"/>
        <v>43374</v>
      </c>
      <c r="K84" s="18">
        <f t="shared" si="17"/>
        <v>9847.5010000000002</v>
      </c>
      <c r="L84" s="18">
        <f t="shared" si="18"/>
        <v>6195.6090000000004</v>
      </c>
      <c r="M84" s="18">
        <f t="shared" si="19"/>
        <v>3161.866</v>
      </c>
      <c r="N84" s="18">
        <f t="shared" si="20"/>
        <v>490.02600000000001</v>
      </c>
      <c r="O84" s="19">
        <f t="shared" si="21"/>
        <v>2326.2929999999997</v>
      </c>
      <c r="Q84" s="24">
        <f t="shared" si="22"/>
        <v>-11434.999999999491</v>
      </c>
      <c r="R84" s="22">
        <f t="shared" si="23"/>
        <v>-1.1598614698380416E-3</v>
      </c>
      <c r="V84" s="26">
        <f t="shared" si="24"/>
        <v>-14442.999999999302</v>
      </c>
      <c r="W84" s="22">
        <f t="shared" si="25"/>
        <v>-2.3257454204891337E-3</v>
      </c>
      <c r="AA84" s="26">
        <f t="shared" si="26"/>
        <v>4152.9999999997926</v>
      </c>
      <c r="AB84" s="22">
        <f t="shared" si="27"/>
        <v>1.3151923559866496E-3</v>
      </c>
      <c r="AF84" s="26">
        <f t="shared" si="28"/>
        <v>-1144.9999999999818</v>
      </c>
      <c r="AG84" s="22">
        <f t="shared" si="29"/>
        <v>-2.3311636884099096E-3</v>
      </c>
    </row>
    <row r="85" spans="1:33" x14ac:dyDescent="0.3">
      <c r="A85" s="8">
        <v>43405</v>
      </c>
      <c r="B85" s="9">
        <v>6169.5079999999998</v>
      </c>
      <c r="C85" s="10">
        <v>3159.3150000000001</v>
      </c>
      <c r="D85" s="11">
        <v>490.59199999999998</v>
      </c>
      <c r="E85" s="11">
        <v>399.66</v>
      </c>
      <c r="F85" s="11">
        <v>1573.171</v>
      </c>
      <c r="G85" s="11">
        <v>353.59899999999999</v>
      </c>
      <c r="H85" s="7">
        <f t="shared" si="16"/>
        <v>12145.845000000001</v>
      </c>
      <c r="J85" s="25">
        <f t="shared" si="15"/>
        <v>43405</v>
      </c>
      <c r="K85" s="18">
        <f t="shared" si="17"/>
        <v>9819.4150000000009</v>
      </c>
      <c r="L85" s="18">
        <f t="shared" si="18"/>
        <v>6169.5079999999998</v>
      </c>
      <c r="M85" s="18">
        <f t="shared" si="19"/>
        <v>3159.3150000000001</v>
      </c>
      <c r="N85" s="18">
        <f t="shared" si="20"/>
        <v>490.59199999999998</v>
      </c>
      <c r="O85" s="19">
        <f t="shared" si="21"/>
        <v>2326.4300000000003</v>
      </c>
      <c r="Q85" s="24">
        <f t="shared" si="22"/>
        <v>-28085.999999999331</v>
      </c>
      <c r="R85" s="22">
        <f t="shared" si="23"/>
        <v>-2.852094150586959E-3</v>
      </c>
      <c r="V85" s="26">
        <f t="shared" si="24"/>
        <v>-26101.000000000568</v>
      </c>
      <c r="W85" s="22">
        <f t="shared" si="25"/>
        <v>-4.2128223391760811E-3</v>
      </c>
      <c r="AA85" s="26">
        <f t="shared" si="26"/>
        <v>-2550.9999999999309</v>
      </c>
      <c r="AB85" s="22">
        <f t="shared" si="27"/>
        <v>-8.0680205929029025E-4</v>
      </c>
      <c r="AF85" s="26">
        <f t="shared" si="28"/>
        <v>565.99999999997408</v>
      </c>
      <c r="AG85" s="22">
        <f t="shared" si="29"/>
        <v>1.1550407529394846E-3</v>
      </c>
    </row>
    <row r="86" spans="1:33" x14ac:dyDescent="0.3">
      <c r="A86" s="8">
        <v>43435</v>
      </c>
      <c r="B86" s="9">
        <v>6152.2709999999997</v>
      </c>
      <c r="C86" s="10">
        <v>3158.288</v>
      </c>
      <c r="D86" s="11">
        <v>491.00299999999999</v>
      </c>
      <c r="E86" s="11">
        <v>399.15899999999999</v>
      </c>
      <c r="F86" s="11">
        <v>1566.903</v>
      </c>
      <c r="G86" s="11">
        <v>361.00400000000002</v>
      </c>
      <c r="H86" s="7">
        <f t="shared" si="16"/>
        <v>12128.628000000001</v>
      </c>
      <c r="J86" s="25">
        <f t="shared" si="15"/>
        <v>43435</v>
      </c>
      <c r="K86" s="18">
        <f t="shared" si="17"/>
        <v>9801.5619999999999</v>
      </c>
      <c r="L86" s="18">
        <f t="shared" si="18"/>
        <v>6152.2709999999997</v>
      </c>
      <c r="M86" s="18">
        <f t="shared" si="19"/>
        <v>3158.288</v>
      </c>
      <c r="N86" s="18">
        <f t="shared" si="20"/>
        <v>491.00299999999999</v>
      </c>
      <c r="O86" s="19">
        <f t="shared" si="21"/>
        <v>2327.0659999999998</v>
      </c>
      <c r="Q86" s="24">
        <f t="shared" si="22"/>
        <v>-17853.000000000975</v>
      </c>
      <c r="R86" s="22">
        <f t="shared" si="23"/>
        <v>-1.8181327502708733E-3</v>
      </c>
      <c r="V86" s="26">
        <f t="shared" si="24"/>
        <v>-17237.00000000008</v>
      </c>
      <c r="W86" s="22">
        <f t="shared" si="25"/>
        <v>-2.7939018800202664E-3</v>
      </c>
      <c r="AA86" s="26">
        <f t="shared" si="26"/>
        <v>-1027.0000000000437</v>
      </c>
      <c r="AB86" s="22">
        <f t="shared" si="27"/>
        <v>-3.2507046622454183E-4</v>
      </c>
      <c r="AF86" s="26">
        <f t="shared" si="28"/>
        <v>411.00000000000136</v>
      </c>
      <c r="AG86" s="22">
        <f t="shared" si="29"/>
        <v>8.3776335529317514E-4</v>
      </c>
    </row>
    <row r="87" spans="1:33" x14ac:dyDescent="0.3">
      <c r="A87" s="8">
        <v>43466</v>
      </c>
      <c r="B87" s="9">
        <v>6146.1350000000002</v>
      </c>
      <c r="C87" s="10">
        <v>3167.46</v>
      </c>
      <c r="D87" s="11">
        <v>491.91800000000001</v>
      </c>
      <c r="E87" s="11">
        <v>400.95499999999998</v>
      </c>
      <c r="F87" s="11">
        <v>1582.2639999999999</v>
      </c>
      <c r="G87" s="11">
        <v>352.12900000000002</v>
      </c>
      <c r="H87" s="7">
        <f t="shared" si="16"/>
        <v>12140.861000000001</v>
      </c>
      <c r="J87" s="25">
        <f t="shared" si="15"/>
        <v>43466</v>
      </c>
      <c r="K87" s="18">
        <f t="shared" si="17"/>
        <v>9805.5130000000008</v>
      </c>
      <c r="L87" s="18">
        <f t="shared" si="18"/>
        <v>6146.1350000000002</v>
      </c>
      <c r="M87" s="18">
        <f t="shared" si="19"/>
        <v>3167.46</v>
      </c>
      <c r="N87" s="18">
        <f t="shared" si="20"/>
        <v>491.91800000000001</v>
      </c>
      <c r="O87" s="19">
        <f t="shared" si="21"/>
        <v>2335.348</v>
      </c>
      <c r="Q87" s="24">
        <f t="shared" si="22"/>
        <v>3951.0000000009313</v>
      </c>
      <c r="R87" s="22">
        <f t="shared" si="23"/>
        <v>4.0309901625890099E-4</v>
      </c>
      <c r="V87" s="26">
        <f t="shared" si="24"/>
        <v>-6135.9999999995125</v>
      </c>
      <c r="W87" s="22">
        <f t="shared" si="25"/>
        <v>-9.9735528555222608E-4</v>
      </c>
      <c r="AA87" s="26">
        <f t="shared" si="26"/>
        <v>9172.0000000000255</v>
      </c>
      <c r="AB87" s="22">
        <f t="shared" si="27"/>
        <v>2.9041050087896814E-3</v>
      </c>
      <c r="AF87" s="26">
        <f t="shared" si="28"/>
        <v>915.00000000002046</v>
      </c>
      <c r="AG87" s="22">
        <f t="shared" si="29"/>
        <v>1.8635324020424004E-3</v>
      </c>
    </row>
    <row r="88" spans="1:33" x14ac:dyDescent="0.3">
      <c r="A88" s="8">
        <v>43497</v>
      </c>
      <c r="B88" s="9">
        <v>6149.9269999999997</v>
      </c>
      <c r="C88" s="10">
        <v>3170.4209999999998</v>
      </c>
      <c r="D88" s="11">
        <v>493.18</v>
      </c>
      <c r="E88" s="11">
        <v>400.33</v>
      </c>
      <c r="F88" s="11">
        <v>1596.1279999999999</v>
      </c>
      <c r="G88" s="11">
        <v>344.529</v>
      </c>
      <c r="H88" s="7">
        <f t="shared" si="16"/>
        <v>12154.515000000001</v>
      </c>
      <c r="J88" s="25">
        <f t="shared" si="15"/>
        <v>43497</v>
      </c>
      <c r="K88" s="18">
        <f t="shared" si="17"/>
        <v>9813.5280000000002</v>
      </c>
      <c r="L88" s="18">
        <f t="shared" si="18"/>
        <v>6149.9269999999997</v>
      </c>
      <c r="M88" s="18">
        <f t="shared" si="19"/>
        <v>3170.4209999999998</v>
      </c>
      <c r="N88" s="18">
        <f t="shared" si="20"/>
        <v>493.18</v>
      </c>
      <c r="O88" s="19">
        <f t="shared" si="21"/>
        <v>2340.9870000000001</v>
      </c>
      <c r="Q88" s="24">
        <f t="shared" si="22"/>
        <v>8014.9999999994179</v>
      </c>
      <c r="R88" s="22">
        <f t="shared" si="23"/>
        <v>8.1739731516328185E-4</v>
      </c>
      <c r="V88" s="26">
        <f t="shared" si="24"/>
        <v>3791.9999999994616</v>
      </c>
      <c r="W88" s="22">
        <f t="shared" si="25"/>
        <v>6.1697310586228404E-4</v>
      </c>
      <c r="AA88" s="26">
        <f t="shared" si="26"/>
        <v>2960.9999999997854</v>
      </c>
      <c r="AB88" s="22">
        <f t="shared" si="27"/>
        <v>9.3481843496046046E-4</v>
      </c>
      <c r="AF88" s="26">
        <f t="shared" si="28"/>
        <v>1262.0000000000005</v>
      </c>
      <c r="AG88" s="22">
        <f t="shared" si="29"/>
        <v>2.5654682284446118E-3</v>
      </c>
    </row>
    <row r="89" spans="1:33" x14ac:dyDescent="0.3">
      <c r="A89" s="8">
        <v>43525</v>
      </c>
      <c r="B89" s="9">
        <v>6133.4369999999999</v>
      </c>
      <c r="C89" s="10">
        <v>3168.2779999999998</v>
      </c>
      <c r="D89" s="11">
        <v>494.25400000000002</v>
      </c>
      <c r="E89" s="11">
        <v>399.90499999999997</v>
      </c>
      <c r="F89" s="11">
        <v>1576.5909999999999</v>
      </c>
      <c r="G89" s="11">
        <v>358.24799999999999</v>
      </c>
      <c r="H89" s="7">
        <f t="shared" si="16"/>
        <v>12130.713000000002</v>
      </c>
      <c r="J89" s="25">
        <f t="shared" si="15"/>
        <v>43525</v>
      </c>
      <c r="K89" s="18">
        <f t="shared" si="17"/>
        <v>9795.969000000001</v>
      </c>
      <c r="L89" s="18">
        <f t="shared" si="18"/>
        <v>6133.4369999999999</v>
      </c>
      <c r="M89" s="18">
        <f t="shared" si="19"/>
        <v>3168.2779999999998</v>
      </c>
      <c r="N89" s="18">
        <f t="shared" si="20"/>
        <v>494.25400000000002</v>
      </c>
      <c r="O89" s="19">
        <f t="shared" si="21"/>
        <v>2334.7439999999997</v>
      </c>
      <c r="Q89" s="24">
        <f t="shared" si="22"/>
        <v>-17558.999999999287</v>
      </c>
      <c r="R89" s="22">
        <f t="shared" si="23"/>
        <v>-1.7892647781714288E-3</v>
      </c>
      <c r="V89" s="26">
        <f t="shared" si="24"/>
        <v>-16489.999999999782</v>
      </c>
      <c r="W89" s="22">
        <f t="shared" si="25"/>
        <v>-2.6813326402085336E-3</v>
      </c>
      <c r="AA89" s="26">
        <f t="shared" si="26"/>
        <v>-2143.0000000000291</v>
      </c>
      <c r="AB89" s="22">
        <f t="shared" si="27"/>
        <v>-6.7593546724553644E-4</v>
      </c>
      <c r="AF89" s="26">
        <f t="shared" si="28"/>
        <v>1074.0000000000123</v>
      </c>
      <c r="AG89" s="22">
        <f t="shared" si="29"/>
        <v>2.1777038809360771E-3</v>
      </c>
    </row>
    <row r="90" spans="1:33" x14ac:dyDescent="0.3">
      <c r="A90" s="8">
        <v>43556</v>
      </c>
      <c r="B90" s="9">
        <v>6126.665</v>
      </c>
      <c r="C90" s="10">
        <v>3181.3609999999999</v>
      </c>
      <c r="D90" s="11">
        <v>495.80500000000001</v>
      </c>
      <c r="E90" s="11">
        <v>399.36</v>
      </c>
      <c r="F90" s="11">
        <v>1578.335</v>
      </c>
      <c r="G90" s="11">
        <v>358.48</v>
      </c>
      <c r="H90" s="7">
        <f t="shared" si="16"/>
        <v>12140.006000000001</v>
      </c>
      <c r="J90" s="25">
        <f t="shared" si="15"/>
        <v>43556</v>
      </c>
      <c r="K90" s="18">
        <f t="shared" si="17"/>
        <v>9803.8310000000001</v>
      </c>
      <c r="L90" s="18">
        <f t="shared" si="18"/>
        <v>6126.665</v>
      </c>
      <c r="M90" s="18">
        <f t="shared" si="19"/>
        <v>3181.3609999999999</v>
      </c>
      <c r="N90" s="18">
        <f t="shared" si="20"/>
        <v>495.80500000000001</v>
      </c>
      <c r="O90" s="19">
        <f t="shared" si="21"/>
        <v>2336.1750000000002</v>
      </c>
      <c r="Q90" s="24">
        <f t="shared" si="22"/>
        <v>7861.9999999991705</v>
      </c>
      <c r="R90" s="22">
        <f t="shared" si="23"/>
        <v>8.0257501835689915E-4</v>
      </c>
      <c r="V90" s="26">
        <f t="shared" si="24"/>
        <v>-6771.9999999999345</v>
      </c>
      <c r="W90" s="22">
        <f t="shared" si="25"/>
        <v>-1.1041117728933791E-3</v>
      </c>
      <c r="AA90" s="26">
        <f t="shared" si="26"/>
        <v>13083.000000000084</v>
      </c>
      <c r="AB90" s="22">
        <f t="shared" si="27"/>
        <v>4.1293724856215075E-3</v>
      </c>
      <c r="AF90" s="26">
        <f t="shared" si="28"/>
        <v>1550.9999999999877</v>
      </c>
      <c r="AG90" s="22">
        <f t="shared" si="29"/>
        <v>3.138062615578141E-3</v>
      </c>
    </row>
    <row r="91" spans="1:33" x14ac:dyDescent="0.3">
      <c r="A91" s="8">
        <v>43586</v>
      </c>
      <c r="B91" s="9">
        <v>6120.0169999999998</v>
      </c>
      <c r="C91" s="10">
        <v>3184.6179999999999</v>
      </c>
      <c r="D91" s="11">
        <v>497.99700000000001</v>
      </c>
      <c r="E91" s="11">
        <v>398.49400000000003</v>
      </c>
      <c r="F91" s="11">
        <v>1585.0640000000001</v>
      </c>
      <c r="G91" s="11">
        <v>355.11200000000002</v>
      </c>
      <c r="H91" s="7">
        <f t="shared" si="16"/>
        <v>12141.302</v>
      </c>
      <c r="J91" s="25">
        <f t="shared" si="15"/>
        <v>43586</v>
      </c>
      <c r="K91" s="18">
        <f t="shared" si="17"/>
        <v>9802.6319999999996</v>
      </c>
      <c r="L91" s="18">
        <f t="shared" si="18"/>
        <v>6120.0169999999998</v>
      </c>
      <c r="M91" s="18">
        <f t="shared" si="19"/>
        <v>3184.6179999999999</v>
      </c>
      <c r="N91" s="18">
        <f t="shared" si="20"/>
        <v>497.99700000000001</v>
      </c>
      <c r="O91" s="19">
        <f t="shared" si="21"/>
        <v>2338.67</v>
      </c>
      <c r="Q91" s="24">
        <f t="shared" si="22"/>
        <v>-1199.0000000005239</v>
      </c>
      <c r="R91" s="22">
        <f t="shared" si="23"/>
        <v>-1.2229912979944135E-4</v>
      </c>
      <c r="V91" s="26">
        <f t="shared" si="24"/>
        <v>-6648.0000000001382</v>
      </c>
      <c r="W91" s="22">
        <f t="shared" si="25"/>
        <v>-1.0850927870219573E-3</v>
      </c>
      <c r="AA91" s="26">
        <f t="shared" si="26"/>
        <v>3257.0000000000618</v>
      </c>
      <c r="AB91" s="22">
        <f t="shared" si="27"/>
        <v>1.0237756733675329E-3</v>
      </c>
      <c r="AF91" s="26">
        <f t="shared" si="28"/>
        <v>2192.0000000000073</v>
      </c>
      <c r="AG91" s="22">
        <f t="shared" si="29"/>
        <v>4.4210929700183588E-3</v>
      </c>
    </row>
    <row r="92" spans="1:33" x14ac:dyDescent="0.3">
      <c r="A92" s="8">
        <v>43617</v>
      </c>
      <c r="B92" s="9">
        <v>6112.4719999999998</v>
      </c>
      <c r="C92" s="10">
        <v>3186.748</v>
      </c>
      <c r="D92" s="11">
        <v>498.02699999999999</v>
      </c>
      <c r="E92" s="11">
        <v>397.01400000000001</v>
      </c>
      <c r="F92" s="11">
        <v>1582.443</v>
      </c>
      <c r="G92" s="11">
        <v>356.62599999999998</v>
      </c>
      <c r="H92" s="7">
        <f t="shared" si="16"/>
        <v>12133.329999999998</v>
      </c>
      <c r="J92" s="25">
        <f t="shared" si="15"/>
        <v>43617</v>
      </c>
      <c r="K92" s="18">
        <f t="shared" si="17"/>
        <v>9797.2469999999994</v>
      </c>
      <c r="L92" s="18">
        <f t="shared" si="18"/>
        <v>6112.4719999999998</v>
      </c>
      <c r="M92" s="18">
        <f t="shared" si="19"/>
        <v>3186.748</v>
      </c>
      <c r="N92" s="18">
        <f t="shared" si="20"/>
        <v>498.02699999999999</v>
      </c>
      <c r="O92" s="19">
        <f t="shared" si="21"/>
        <v>2336.0829999999996</v>
      </c>
      <c r="Q92" s="24">
        <f t="shared" si="22"/>
        <v>-5385.0000000002183</v>
      </c>
      <c r="R92" s="22">
        <f t="shared" si="23"/>
        <v>-5.4934225828329186E-4</v>
      </c>
      <c r="V92" s="26">
        <f t="shared" si="24"/>
        <v>-7545.0000000000728</v>
      </c>
      <c r="W92" s="22">
        <f t="shared" si="25"/>
        <v>-1.2328397127001622E-3</v>
      </c>
      <c r="AA92" s="26">
        <f t="shared" si="26"/>
        <v>2130.0000000001091</v>
      </c>
      <c r="AB92" s="22">
        <f t="shared" si="27"/>
        <v>6.68840030421336E-4</v>
      </c>
      <c r="AF92" s="26">
        <f t="shared" si="28"/>
        <v>29.999999999972715</v>
      </c>
      <c r="AG92" s="22">
        <f t="shared" si="29"/>
        <v>6.0241326754972846E-5</v>
      </c>
    </row>
    <row r="93" spans="1:33" x14ac:dyDescent="0.3">
      <c r="A93" s="8">
        <v>43647</v>
      </c>
      <c r="B93" s="9">
        <v>6105.6629999999996</v>
      </c>
      <c r="C93" s="10">
        <v>3189.55</v>
      </c>
      <c r="D93" s="11">
        <v>498.06400000000002</v>
      </c>
      <c r="E93" s="11">
        <v>396.78899999999999</v>
      </c>
      <c r="F93" s="11">
        <v>1595.982</v>
      </c>
      <c r="G93" s="11">
        <v>350.89600000000002</v>
      </c>
      <c r="H93" s="7">
        <f t="shared" si="16"/>
        <v>12136.944000000001</v>
      </c>
      <c r="J93" s="25">
        <f t="shared" si="15"/>
        <v>43647</v>
      </c>
      <c r="K93" s="18">
        <f t="shared" si="17"/>
        <v>9793.277</v>
      </c>
      <c r="L93" s="18">
        <f t="shared" si="18"/>
        <v>6105.6629999999996</v>
      </c>
      <c r="M93" s="18">
        <f t="shared" si="19"/>
        <v>3189.55</v>
      </c>
      <c r="N93" s="18">
        <f t="shared" si="20"/>
        <v>498.06400000000002</v>
      </c>
      <c r="O93" s="19">
        <f t="shared" si="21"/>
        <v>2343.6669999999999</v>
      </c>
      <c r="Q93" s="24">
        <f t="shared" si="22"/>
        <v>-3969.9999999993452</v>
      </c>
      <c r="R93" s="22">
        <f t="shared" si="23"/>
        <v>-4.0521587339781284E-4</v>
      </c>
      <c r="V93" s="26">
        <f t="shared" si="24"/>
        <v>-6809.0000000001965</v>
      </c>
      <c r="W93" s="22">
        <f t="shared" si="25"/>
        <v>-1.1139519330314318E-3</v>
      </c>
      <c r="AA93" s="26">
        <f t="shared" si="26"/>
        <v>2802.0000000001346</v>
      </c>
      <c r="AB93" s="22">
        <f t="shared" si="27"/>
        <v>8.7926626140499842E-4</v>
      </c>
      <c r="AF93" s="26">
        <f t="shared" si="28"/>
        <v>37.000000000034561</v>
      </c>
      <c r="AG93" s="22">
        <f t="shared" si="29"/>
        <v>7.4293160812644032E-5</v>
      </c>
    </row>
    <row r="94" spans="1:33" x14ac:dyDescent="0.3">
      <c r="A94" s="8">
        <v>43678</v>
      </c>
      <c r="B94" s="9">
        <v>6095.14</v>
      </c>
      <c r="C94" s="10">
        <v>3187.5859999999998</v>
      </c>
      <c r="D94" s="11">
        <v>498.6</v>
      </c>
      <c r="E94" s="11">
        <v>401.00099999999998</v>
      </c>
      <c r="F94" s="11">
        <v>1605.902</v>
      </c>
      <c r="G94" s="11">
        <v>365.49099999999999</v>
      </c>
      <c r="H94" s="7">
        <f t="shared" si="16"/>
        <v>12153.720000000001</v>
      </c>
      <c r="J94" s="25">
        <f t="shared" si="15"/>
        <v>43678</v>
      </c>
      <c r="K94" s="18">
        <f t="shared" si="17"/>
        <v>9781.3260000000009</v>
      </c>
      <c r="L94" s="18">
        <f t="shared" si="18"/>
        <v>6095.14</v>
      </c>
      <c r="M94" s="18">
        <f t="shared" si="19"/>
        <v>3187.5859999999998</v>
      </c>
      <c r="N94" s="18">
        <f t="shared" si="20"/>
        <v>498.6</v>
      </c>
      <c r="O94" s="19">
        <f t="shared" si="21"/>
        <v>2372.3940000000002</v>
      </c>
      <c r="Q94" s="24">
        <f t="shared" si="22"/>
        <v>-11950.999999999112</v>
      </c>
      <c r="R94" s="22">
        <f t="shared" si="23"/>
        <v>-1.2203269651209769E-3</v>
      </c>
      <c r="V94" s="26">
        <f t="shared" si="24"/>
        <v>-10522.999999999229</v>
      </c>
      <c r="W94" s="22">
        <f t="shared" si="25"/>
        <v>-1.7234819543756608E-3</v>
      </c>
      <c r="AA94" s="26">
        <f t="shared" si="26"/>
        <v>-1964.0000000003965</v>
      </c>
      <c r="AB94" s="22">
        <f t="shared" si="27"/>
        <v>-6.1576084400638553E-4</v>
      </c>
      <c r="AF94" s="26">
        <f t="shared" si="28"/>
        <v>536.00000000000136</v>
      </c>
      <c r="AG94" s="22">
        <f t="shared" si="29"/>
        <v>1.0761669183076972E-3</v>
      </c>
    </row>
    <row r="95" spans="1:33" x14ac:dyDescent="0.3">
      <c r="A95" s="8">
        <v>43709</v>
      </c>
      <c r="B95" s="9">
        <v>6066.1289999999999</v>
      </c>
      <c r="C95" s="10">
        <v>3201.4450000000002</v>
      </c>
      <c r="D95" s="11">
        <v>499.22800000000001</v>
      </c>
      <c r="E95" s="11">
        <v>399.34100000000001</v>
      </c>
      <c r="F95" s="11">
        <v>1622.095</v>
      </c>
      <c r="G95" s="11">
        <v>359.30599999999998</v>
      </c>
      <c r="H95" s="7">
        <f t="shared" si="16"/>
        <v>12147.544</v>
      </c>
      <c r="J95" s="25">
        <f t="shared" si="15"/>
        <v>43709</v>
      </c>
      <c r="K95" s="18">
        <f t="shared" si="17"/>
        <v>9766.8019999999997</v>
      </c>
      <c r="L95" s="18">
        <f t="shared" si="18"/>
        <v>6066.1289999999999</v>
      </c>
      <c r="M95" s="18">
        <f t="shared" si="19"/>
        <v>3201.4450000000002</v>
      </c>
      <c r="N95" s="18">
        <f t="shared" si="20"/>
        <v>499.22800000000001</v>
      </c>
      <c r="O95" s="19">
        <f t="shared" si="21"/>
        <v>2380.7420000000002</v>
      </c>
      <c r="Q95" s="24">
        <f t="shared" si="22"/>
        <v>-14524.000000001251</v>
      </c>
      <c r="R95" s="22">
        <f t="shared" si="23"/>
        <v>-1.4848702517430423E-3</v>
      </c>
      <c r="V95" s="26">
        <f t="shared" si="24"/>
        <v>-29011.000000000422</v>
      </c>
      <c r="W95" s="22">
        <f t="shared" si="25"/>
        <v>-4.759693788822017E-3</v>
      </c>
      <c r="AA95" s="26">
        <f t="shared" si="26"/>
        <v>13859.000000000378</v>
      </c>
      <c r="AB95" s="22">
        <f t="shared" si="27"/>
        <v>4.3478042631635017E-3</v>
      </c>
      <c r="AF95" s="26">
        <f t="shared" si="28"/>
        <v>627.9999999999859</v>
      </c>
      <c r="AG95" s="22">
        <f t="shared" si="29"/>
        <v>1.2595266746890932E-3</v>
      </c>
    </row>
    <row r="96" spans="1:33" x14ac:dyDescent="0.3">
      <c r="A96" s="8">
        <v>43739</v>
      </c>
      <c r="B96" s="9">
        <v>6042.9989999999998</v>
      </c>
      <c r="C96" s="10">
        <v>3207.7460000000001</v>
      </c>
      <c r="D96" s="11">
        <v>500.24299999999999</v>
      </c>
      <c r="E96" s="11">
        <v>398.21499999999997</v>
      </c>
      <c r="F96" s="11">
        <v>1629.3579999999999</v>
      </c>
      <c r="G96" s="11">
        <v>355.48200000000003</v>
      </c>
      <c r="H96" s="7">
        <f t="shared" si="16"/>
        <v>12134.043</v>
      </c>
      <c r="J96" s="25">
        <f t="shared" si="15"/>
        <v>43739</v>
      </c>
      <c r="K96" s="18">
        <f t="shared" si="17"/>
        <v>9750.9879999999994</v>
      </c>
      <c r="L96" s="18">
        <f t="shared" si="18"/>
        <v>6042.9989999999998</v>
      </c>
      <c r="M96" s="18">
        <f t="shared" si="19"/>
        <v>3207.7460000000001</v>
      </c>
      <c r="N96" s="18">
        <f t="shared" si="20"/>
        <v>500.24299999999999</v>
      </c>
      <c r="O96" s="19">
        <f t="shared" si="21"/>
        <v>2383.0549999999998</v>
      </c>
      <c r="Q96" s="24">
        <f t="shared" si="22"/>
        <v>-15814.000000000306</v>
      </c>
      <c r="R96" s="22">
        <f t="shared" si="23"/>
        <v>-1.61915845125149E-3</v>
      </c>
      <c r="V96" s="26">
        <f t="shared" si="24"/>
        <v>-23130.000000000109</v>
      </c>
      <c r="W96" s="22">
        <f t="shared" si="25"/>
        <v>-3.8129752928103278E-3</v>
      </c>
      <c r="AA96" s="26">
        <f t="shared" si="26"/>
        <v>6300.9999999999309</v>
      </c>
      <c r="AB96" s="22">
        <f t="shared" si="27"/>
        <v>1.9681737465424565E-3</v>
      </c>
      <c r="AF96" s="26">
        <f t="shared" si="28"/>
        <v>1014.9999999999864</v>
      </c>
      <c r="AG96" s="22">
        <f t="shared" si="29"/>
        <v>2.0331391668735321E-3</v>
      </c>
    </row>
    <row r="97" spans="1:33" x14ac:dyDescent="0.3">
      <c r="A97" s="8">
        <v>43770</v>
      </c>
      <c r="B97" s="12">
        <v>6023.71</v>
      </c>
      <c r="C97" s="13">
        <v>3205.0340000000001</v>
      </c>
      <c r="D97" s="14">
        <v>500.18</v>
      </c>
      <c r="E97" s="14">
        <v>404.84399999999999</v>
      </c>
      <c r="F97" s="14">
        <v>1620.9459999999999</v>
      </c>
      <c r="G97" s="14">
        <v>365.12599999999998</v>
      </c>
      <c r="H97" s="7">
        <f t="shared" si="16"/>
        <v>12119.84</v>
      </c>
      <c r="J97" s="25">
        <f t="shared" si="15"/>
        <v>43770</v>
      </c>
      <c r="K97" s="18">
        <f t="shared" si="17"/>
        <v>9728.9240000000009</v>
      </c>
      <c r="L97" s="18">
        <f t="shared" si="18"/>
        <v>6023.71</v>
      </c>
      <c r="M97" s="18">
        <f t="shared" si="19"/>
        <v>3205.0340000000001</v>
      </c>
      <c r="N97" s="18">
        <f t="shared" si="20"/>
        <v>500.18</v>
      </c>
      <c r="O97" s="19">
        <f t="shared" si="21"/>
        <v>2390.9160000000002</v>
      </c>
      <c r="P97" s="103"/>
      <c r="Q97" s="24">
        <f t="shared" si="22"/>
        <v>-22063.999999998487</v>
      </c>
      <c r="R97" s="22">
        <f t="shared" si="23"/>
        <v>-2.2627450674740368E-3</v>
      </c>
      <c r="V97" s="26">
        <f t="shared" si="24"/>
        <v>-19288.99999999976</v>
      </c>
      <c r="W97" s="22">
        <f t="shared" si="25"/>
        <v>-3.1919581651428386E-3</v>
      </c>
      <c r="AA97" s="26">
        <f t="shared" si="26"/>
        <v>-2711.9999999999891</v>
      </c>
      <c r="AB97" s="22">
        <f t="shared" si="27"/>
        <v>-8.454534741840769E-4</v>
      </c>
      <c r="AF97" s="26">
        <f t="shared" si="28"/>
        <v>-62.999999999988177</v>
      </c>
      <c r="AG97" s="22">
        <f t="shared" si="29"/>
        <v>-1.2593879374622752E-4</v>
      </c>
    </row>
    <row r="98" spans="1:33" x14ac:dyDescent="0.3">
      <c r="A98" s="8">
        <v>43800</v>
      </c>
      <c r="B98" s="12">
        <v>6001.7920000000004</v>
      </c>
      <c r="C98" s="13">
        <v>3212.0819999999999</v>
      </c>
      <c r="D98" s="14">
        <v>500.06099999999998</v>
      </c>
      <c r="E98" s="14">
        <v>404.87</v>
      </c>
      <c r="F98" s="14">
        <v>1625.3140000000001</v>
      </c>
      <c r="G98" s="14">
        <v>365.60399999999998</v>
      </c>
      <c r="H98" s="7">
        <f t="shared" si="16"/>
        <v>12109.723</v>
      </c>
      <c r="J98" s="25">
        <f t="shared" si="15"/>
        <v>43800</v>
      </c>
      <c r="K98" s="18">
        <f t="shared" si="17"/>
        <v>9713.9349999999995</v>
      </c>
      <c r="L98" s="18">
        <f t="shared" si="18"/>
        <v>6001.7920000000004</v>
      </c>
      <c r="M98" s="18">
        <f t="shared" si="19"/>
        <v>3212.0819999999999</v>
      </c>
      <c r="N98" s="18">
        <f t="shared" si="20"/>
        <v>500.06099999999998</v>
      </c>
      <c r="O98" s="19">
        <f t="shared" si="21"/>
        <v>2395.788</v>
      </c>
      <c r="P98" s="103"/>
      <c r="Q98" s="24">
        <f t="shared" si="22"/>
        <v>-14989.000000001397</v>
      </c>
      <c r="R98" s="22">
        <f t="shared" si="23"/>
        <v>-1.5406636951836861E-3</v>
      </c>
      <c r="V98" s="26">
        <f t="shared" si="24"/>
        <v>-21917.999999999665</v>
      </c>
      <c r="W98" s="22">
        <f t="shared" si="25"/>
        <v>-3.6386213811753221E-3</v>
      </c>
      <c r="AA98" s="26">
        <f t="shared" si="26"/>
        <v>7047.9999999997744</v>
      </c>
      <c r="AB98" s="22">
        <f t="shared" si="27"/>
        <v>2.1990406342022872E-3</v>
      </c>
      <c r="AF98" s="26">
        <f t="shared" si="28"/>
        <v>-119.00000000002819</v>
      </c>
      <c r="AG98" s="22">
        <f t="shared" si="29"/>
        <v>-2.3791435083375667E-4</v>
      </c>
    </row>
    <row r="99" spans="1:33" x14ac:dyDescent="0.3">
      <c r="A99" s="8">
        <v>43831</v>
      </c>
      <c r="B99" s="12">
        <v>5988.3329999999996</v>
      </c>
      <c r="C99" s="13">
        <v>3209.0709999999999</v>
      </c>
      <c r="D99" s="14">
        <v>499.55099999999999</v>
      </c>
      <c r="E99" s="14">
        <v>402.67899999999997</v>
      </c>
      <c r="F99" s="14">
        <v>1630.375</v>
      </c>
      <c r="G99" s="14">
        <v>366.08199999999999</v>
      </c>
      <c r="H99" s="7">
        <f t="shared" si="16"/>
        <v>12096.090999999999</v>
      </c>
      <c r="J99" s="25">
        <f t="shared" si="15"/>
        <v>43831</v>
      </c>
      <c r="K99" s="18">
        <f t="shared" si="17"/>
        <v>9696.9549999999981</v>
      </c>
      <c r="L99" s="18">
        <f t="shared" si="18"/>
        <v>5988.3329999999996</v>
      </c>
      <c r="M99" s="18">
        <f t="shared" si="19"/>
        <v>3209.0709999999999</v>
      </c>
      <c r="N99" s="18">
        <f t="shared" si="20"/>
        <v>499.55099999999999</v>
      </c>
      <c r="O99" s="19">
        <f t="shared" si="21"/>
        <v>2399.136</v>
      </c>
      <c r="P99" s="103"/>
      <c r="Q99" s="24">
        <f t="shared" si="22"/>
        <v>-16980.000000001382</v>
      </c>
      <c r="R99" s="22">
        <f t="shared" si="23"/>
        <v>-1.7480042845665622E-3</v>
      </c>
      <c r="V99" s="26">
        <f t="shared" si="24"/>
        <v>-13459.000000000742</v>
      </c>
      <c r="W99" s="22">
        <f t="shared" si="25"/>
        <v>-2.2424969075903745E-3</v>
      </c>
      <c r="AA99" s="26">
        <f t="shared" si="26"/>
        <v>-3010.9999999999673</v>
      </c>
      <c r="AB99" s="22">
        <f t="shared" si="27"/>
        <v>-9.3739823578598003E-4</v>
      </c>
      <c r="AF99" s="26">
        <f t="shared" si="28"/>
        <v>-509.99999999999091</v>
      </c>
      <c r="AG99" s="22">
        <f t="shared" si="29"/>
        <v>-1.0198755751797961E-3</v>
      </c>
    </row>
    <row r="100" spans="1:33" x14ac:dyDescent="0.3">
      <c r="A100" s="8">
        <v>43862</v>
      </c>
      <c r="B100" s="12">
        <v>5990.5079999999998</v>
      </c>
      <c r="C100" s="13">
        <v>3210.799</v>
      </c>
      <c r="D100" s="14">
        <v>500.09300000000002</v>
      </c>
      <c r="E100" s="14">
        <v>397.81700000000001</v>
      </c>
      <c r="F100" s="14">
        <v>1627.921</v>
      </c>
      <c r="G100" s="14">
        <v>365.38099999999997</v>
      </c>
      <c r="H100" s="7">
        <f t="shared" si="16"/>
        <v>12092.519</v>
      </c>
      <c r="J100" s="25">
        <f t="shared" si="15"/>
        <v>43862</v>
      </c>
      <c r="K100" s="18">
        <f t="shared" si="17"/>
        <v>9701.4000000000015</v>
      </c>
      <c r="L100" s="18">
        <f t="shared" si="18"/>
        <v>5990.5079999999998</v>
      </c>
      <c r="M100" s="18">
        <f t="shared" si="19"/>
        <v>3210.799</v>
      </c>
      <c r="N100" s="18">
        <f t="shared" si="20"/>
        <v>500.09300000000002</v>
      </c>
      <c r="O100" s="19">
        <f t="shared" si="21"/>
        <v>2391.1190000000001</v>
      </c>
      <c r="P100" s="103"/>
      <c r="Q100" s="24">
        <f t="shared" si="22"/>
        <v>4445.0000000033469</v>
      </c>
      <c r="R100" s="22">
        <f t="shared" si="23"/>
        <v>4.5839131974978464E-4</v>
      </c>
      <c r="V100" s="26">
        <f t="shared" si="24"/>
        <v>2175.0000000001819</v>
      </c>
      <c r="W100" s="22">
        <f t="shared" si="25"/>
        <v>3.6320625456198741E-4</v>
      </c>
      <c r="AA100" s="26">
        <f t="shared" si="26"/>
        <v>1728.0000000000655</v>
      </c>
      <c r="AB100" s="22">
        <f t="shared" si="27"/>
        <v>5.3847359562930741E-4</v>
      </c>
      <c r="AF100" s="26">
        <f t="shared" si="28"/>
        <v>542.00000000003001</v>
      </c>
      <c r="AG100" s="22">
        <f t="shared" si="29"/>
        <v>1.0849743069276663E-3</v>
      </c>
    </row>
    <row r="101" spans="1:33" x14ac:dyDescent="0.3">
      <c r="A101" s="8">
        <v>43891</v>
      </c>
      <c r="B101" s="12">
        <v>5947.2529999999997</v>
      </c>
      <c r="C101" s="13">
        <v>3216.7240000000002</v>
      </c>
      <c r="D101" s="14">
        <v>498.74400000000003</v>
      </c>
      <c r="E101" s="14">
        <v>392.20400000000001</v>
      </c>
      <c r="F101" s="14">
        <v>1606.356</v>
      </c>
      <c r="G101" s="14">
        <v>362.447</v>
      </c>
      <c r="H101" s="7">
        <f t="shared" si="16"/>
        <v>12023.727999999999</v>
      </c>
      <c r="J101" s="25">
        <f t="shared" si="15"/>
        <v>43891</v>
      </c>
      <c r="K101" s="18">
        <f t="shared" si="17"/>
        <v>9662.7209999999995</v>
      </c>
      <c r="L101" s="18">
        <f t="shared" si="18"/>
        <v>5947.2529999999997</v>
      </c>
      <c r="M101" s="18">
        <f t="shared" si="19"/>
        <v>3216.7240000000002</v>
      </c>
      <c r="N101" s="18">
        <f t="shared" si="20"/>
        <v>498.74400000000003</v>
      </c>
      <c r="O101" s="19">
        <f t="shared" si="21"/>
        <v>2361.0070000000001</v>
      </c>
      <c r="P101" s="103"/>
      <c r="Q101" s="24">
        <f t="shared" si="22"/>
        <v>-38679.000000001906</v>
      </c>
      <c r="R101" s="22">
        <f t="shared" si="23"/>
        <v>-3.9869503370649761E-3</v>
      </c>
      <c r="V101" s="26">
        <f t="shared" si="24"/>
        <v>-43255.000000000109</v>
      </c>
      <c r="W101" s="22">
        <f t="shared" si="25"/>
        <v>-7.2205896394763602E-3</v>
      </c>
      <c r="AA101" s="26">
        <f t="shared" si="26"/>
        <v>5925.0000000001819</v>
      </c>
      <c r="AB101" s="22">
        <f t="shared" si="27"/>
        <v>1.8453350708032001E-3</v>
      </c>
      <c r="AF101" s="26">
        <f t="shared" si="28"/>
        <v>-1348.9999999999895</v>
      </c>
      <c r="AG101" s="22">
        <f t="shared" si="29"/>
        <v>-2.6974982653226176E-3</v>
      </c>
    </row>
    <row r="102" spans="1:33" x14ac:dyDescent="0.3">
      <c r="A102" s="8">
        <v>43922</v>
      </c>
      <c r="B102" s="12">
        <v>5839.9920000000002</v>
      </c>
      <c r="C102" s="13">
        <v>3206.5990000000002</v>
      </c>
      <c r="D102" s="14">
        <v>490.41800000000001</v>
      </c>
      <c r="E102" s="14">
        <v>384.00900000000001</v>
      </c>
      <c r="F102" s="14">
        <v>1586.0709999999999</v>
      </c>
      <c r="G102" s="14">
        <v>355.49200000000002</v>
      </c>
      <c r="H102" s="7">
        <f t="shared" si="16"/>
        <v>11862.581</v>
      </c>
      <c r="J102" s="25">
        <f t="shared" si="15"/>
        <v>43922</v>
      </c>
      <c r="K102" s="18">
        <f t="shared" si="17"/>
        <v>9537.009</v>
      </c>
      <c r="L102" s="18">
        <f t="shared" si="18"/>
        <v>5839.9920000000002</v>
      </c>
      <c r="M102" s="18">
        <f t="shared" si="19"/>
        <v>3206.5990000000002</v>
      </c>
      <c r="N102" s="18">
        <f t="shared" si="20"/>
        <v>490.41800000000001</v>
      </c>
      <c r="O102" s="19">
        <f t="shared" si="21"/>
        <v>2325.5720000000001</v>
      </c>
      <c r="P102" s="103"/>
      <c r="Q102" s="24">
        <f t="shared" si="22"/>
        <v>-125711.99999999953</v>
      </c>
      <c r="R102" s="22">
        <f t="shared" si="23"/>
        <v>-1.3009999978266906E-2</v>
      </c>
      <c r="V102" s="26">
        <f t="shared" si="24"/>
        <v>-107260.99999999951</v>
      </c>
      <c r="W102" s="22">
        <f t="shared" si="25"/>
        <v>-1.8035385412391136E-2</v>
      </c>
      <c r="AA102" s="26">
        <f t="shared" si="26"/>
        <v>-10125</v>
      </c>
      <c r="AB102" s="22">
        <f t="shared" si="27"/>
        <v>-3.1476122912628135E-3</v>
      </c>
      <c r="AF102" s="26">
        <f t="shared" si="28"/>
        <v>-8326.0000000000218</v>
      </c>
      <c r="AG102" s="22">
        <f t="shared" si="29"/>
        <v>-1.6693935165134843E-2</v>
      </c>
    </row>
    <row r="103" spans="1:33" x14ac:dyDescent="0.3">
      <c r="A103" s="8">
        <v>43952</v>
      </c>
      <c r="B103" s="12">
        <v>5814.6909999999998</v>
      </c>
      <c r="C103" s="13">
        <v>3198.8609999999999</v>
      </c>
      <c r="D103" s="14">
        <v>483.483</v>
      </c>
      <c r="E103" s="14">
        <v>380.80099999999999</v>
      </c>
      <c r="F103" s="14">
        <v>1551.6079999999999</v>
      </c>
      <c r="G103" s="14">
        <v>352.84699999999998</v>
      </c>
      <c r="H103" s="7">
        <f t="shared" si="16"/>
        <v>11782.290999999999</v>
      </c>
      <c r="J103" s="25">
        <f t="shared" si="15"/>
        <v>43952</v>
      </c>
      <c r="K103" s="18">
        <f t="shared" si="17"/>
        <v>9497.0349999999999</v>
      </c>
      <c r="L103" s="18">
        <f t="shared" si="18"/>
        <v>5814.6909999999998</v>
      </c>
      <c r="M103" s="18">
        <f t="shared" si="19"/>
        <v>3198.8609999999999</v>
      </c>
      <c r="N103" s="18">
        <f t="shared" si="20"/>
        <v>483.483</v>
      </c>
      <c r="O103" s="19">
        <f t="shared" si="21"/>
        <v>2285.2559999999999</v>
      </c>
      <c r="P103" s="103"/>
      <c r="Q103" s="24">
        <f t="shared" si="22"/>
        <v>-39974.00000000016</v>
      </c>
      <c r="R103" s="22">
        <f t="shared" si="23"/>
        <v>-4.19146086577038E-3</v>
      </c>
      <c r="V103" s="26">
        <f t="shared" si="24"/>
        <v>-25301.000000000386</v>
      </c>
      <c r="W103" s="22">
        <f t="shared" si="25"/>
        <v>-4.3323689484506822E-3</v>
      </c>
      <c r="AA103" s="26">
        <f t="shared" si="26"/>
        <v>-7738.0000000002838</v>
      </c>
      <c r="AB103" s="22">
        <f t="shared" si="27"/>
        <v>-2.413148635049267E-3</v>
      </c>
      <c r="AF103" s="26">
        <f t="shared" si="28"/>
        <v>-6935.0000000000018</v>
      </c>
      <c r="AG103" s="22">
        <f t="shared" si="29"/>
        <v>-1.4140998087345924E-2</v>
      </c>
    </row>
    <row r="104" spans="1:33" x14ac:dyDescent="0.3">
      <c r="A104" s="8">
        <v>43983</v>
      </c>
      <c r="B104" s="12">
        <v>5808.8509999999997</v>
      </c>
      <c r="C104" s="13">
        <v>3196.7559999999999</v>
      </c>
      <c r="D104" s="14">
        <v>483.28899999999999</v>
      </c>
      <c r="E104" s="14">
        <v>381.38799999999998</v>
      </c>
      <c r="F104" s="14">
        <v>1569.694</v>
      </c>
      <c r="G104" s="14">
        <v>350.22199999999998</v>
      </c>
      <c r="H104" s="7">
        <f t="shared" si="16"/>
        <v>11790.2</v>
      </c>
      <c r="J104" s="25">
        <f t="shared" si="15"/>
        <v>43983</v>
      </c>
      <c r="K104" s="18">
        <f t="shared" si="17"/>
        <v>9488.8960000000006</v>
      </c>
      <c r="L104" s="18">
        <f t="shared" si="18"/>
        <v>5808.8509999999997</v>
      </c>
      <c r="M104" s="18">
        <f t="shared" si="19"/>
        <v>3196.7559999999999</v>
      </c>
      <c r="N104" s="18">
        <f t="shared" si="20"/>
        <v>483.28899999999999</v>
      </c>
      <c r="O104" s="19">
        <f t="shared" si="21"/>
        <v>2301.3040000000001</v>
      </c>
      <c r="P104" s="103"/>
      <c r="Q104" s="24">
        <f t="shared" si="22"/>
        <v>-8138.9999999992142</v>
      </c>
      <c r="R104" s="22">
        <f t="shared" si="23"/>
        <v>-8.570043176632236E-4</v>
      </c>
      <c r="V104" s="26">
        <f t="shared" si="24"/>
        <v>-5840.0000000001455</v>
      </c>
      <c r="W104" s="22">
        <f t="shared" si="25"/>
        <v>-1.0043525958645105E-3</v>
      </c>
      <c r="AA104" s="26">
        <f t="shared" si="26"/>
        <v>-2105.0000000000182</v>
      </c>
      <c r="AB104" s="22">
        <f t="shared" si="27"/>
        <v>-6.5804672350566751E-4</v>
      </c>
      <c r="AF104" s="26">
        <f t="shared" si="28"/>
        <v>-194.00000000001683</v>
      </c>
      <c r="AG104" s="22">
        <f t="shared" si="29"/>
        <v>-4.0125505964017094E-4</v>
      </c>
    </row>
    <row r="105" spans="1:33" x14ac:dyDescent="0.3">
      <c r="A105" s="8">
        <v>44013</v>
      </c>
      <c r="B105" s="12">
        <v>5793.9870000000001</v>
      </c>
      <c r="C105" s="13">
        <v>3200.1289999999999</v>
      </c>
      <c r="D105" s="14">
        <v>482.036</v>
      </c>
      <c r="E105" s="14">
        <v>391.60199999999998</v>
      </c>
      <c r="F105" s="14">
        <v>1593.8489999999999</v>
      </c>
      <c r="G105" s="14">
        <v>355.47</v>
      </c>
      <c r="H105" s="7">
        <f t="shared" si="16"/>
        <v>11817.073</v>
      </c>
      <c r="J105" s="25">
        <f t="shared" si="15"/>
        <v>44013</v>
      </c>
      <c r="K105" s="18">
        <f t="shared" si="17"/>
        <v>9476.152</v>
      </c>
      <c r="L105" s="18">
        <f t="shared" si="18"/>
        <v>5793.9870000000001</v>
      </c>
      <c r="M105" s="18">
        <f t="shared" si="19"/>
        <v>3200.1289999999999</v>
      </c>
      <c r="N105" s="18">
        <f t="shared" si="20"/>
        <v>482.036</v>
      </c>
      <c r="O105" s="19">
        <f t="shared" si="21"/>
        <v>2340.9210000000003</v>
      </c>
      <c r="P105" s="103"/>
      <c r="Q105" s="24">
        <f t="shared" si="22"/>
        <v>-12744.000000000597</v>
      </c>
      <c r="R105" s="22">
        <f t="shared" si="23"/>
        <v>-1.3430434899909249E-3</v>
      </c>
      <c r="V105" s="26">
        <f t="shared" si="24"/>
        <v>-14863.999999999578</v>
      </c>
      <c r="W105" s="22">
        <f t="shared" si="25"/>
        <v>-2.5588537216739704E-3</v>
      </c>
      <c r="AA105" s="26">
        <f t="shared" si="26"/>
        <v>3373.0000000000473</v>
      </c>
      <c r="AB105" s="22">
        <f t="shared" si="27"/>
        <v>1.0551321402072489E-3</v>
      </c>
      <c r="AF105" s="26">
        <f t="shared" si="28"/>
        <v>-1252.9999999999859</v>
      </c>
      <c r="AG105" s="22">
        <f t="shared" si="29"/>
        <v>-2.5926516018365264E-3</v>
      </c>
    </row>
    <row r="106" spans="1:33" x14ac:dyDescent="0.3">
      <c r="A106" s="8">
        <v>44044</v>
      </c>
      <c r="B106" s="12">
        <v>5796.3990000000003</v>
      </c>
      <c r="C106" s="13">
        <v>3203.174</v>
      </c>
      <c r="D106" s="14">
        <v>480.01400000000001</v>
      </c>
      <c r="E106" s="14">
        <v>392.14299999999997</v>
      </c>
      <c r="F106" s="14">
        <v>1625.2339999999999</v>
      </c>
      <c r="G106" s="14">
        <v>352.06400000000002</v>
      </c>
      <c r="H106" s="7">
        <f t="shared" si="16"/>
        <v>11849.028</v>
      </c>
      <c r="J106" s="25">
        <f t="shared" si="15"/>
        <v>44044</v>
      </c>
      <c r="K106" s="18">
        <f t="shared" si="17"/>
        <v>9479.5869999999995</v>
      </c>
      <c r="L106" s="18">
        <f t="shared" si="18"/>
        <v>5796.3990000000003</v>
      </c>
      <c r="M106" s="18">
        <f t="shared" si="19"/>
        <v>3203.174</v>
      </c>
      <c r="N106" s="18">
        <f t="shared" si="20"/>
        <v>480.01400000000001</v>
      </c>
      <c r="O106" s="19">
        <f t="shared" si="21"/>
        <v>2369.4409999999998</v>
      </c>
      <c r="P106" s="103"/>
      <c r="Q106" s="24">
        <f t="shared" si="22"/>
        <v>3434.9999999994907</v>
      </c>
      <c r="R106" s="22">
        <f t="shared" si="23"/>
        <v>3.6248890900014707E-4</v>
      </c>
      <c r="V106" s="26">
        <f t="shared" si="24"/>
        <v>2412.0000000002619</v>
      </c>
      <c r="W106" s="22">
        <f t="shared" si="25"/>
        <v>4.1629365064155266E-4</v>
      </c>
      <c r="AA106" s="26">
        <f t="shared" si="26"/>
        <v>3045.0000000000728</v>
      </c>
      <c r="AB106" s="22">
        <f t="shared" si="27"/>
        <v>9.5152414168309107E-4</v>
      </c>
      <c r="AF106" s="26">
        <f t="shared" si="28"/>
        <v>-2021.9999999999914</v>
      </c>
      <c r="AG106" s="22">
        <f t="shared" si="29"/>
        <v>-4.1947074492361125E-3</v>
      </c>
    </row>
    <row r="107" spans="1:33" x14ac:dyDescent="0.3">
      <c r="A107" s="8">
        <v>44075</v>
      </c>
      <c r="B107" s="12">
        <v>5800.9279999999999</v>
      </c>
      <c r="C107" s="13">
        <v>3204.7379999999998</v>
      </c>
      <c r="D107" s="14">
        <v>478.07799999999997</v>
      </c>
      <c r="E107" s="14">
        <v>390.47899999999998</v>
      </c>
      <c r="F107" s="14">
        <v>1645.9639999999999</v>
      </c>
      <c r="G107" s="14">
        <v>352.33800000000002</v>
      </c>
      <c r="H107" s="7">
        <f t="shared" si="16"/>
        <v>11872.524999999998</v>
      </c>
      <c r="J107" s="25">
        <f t="shared" si="15"/>
        <v>44075</v>
      </c>
      <c r="K107" s="18">
        <f t="shared" si="17"/>
        <v>9483.7439999999988</v>
      </c>
      <c r="L107" s="18">
        <f t="shared" si="18"/>
        <v>5800.9279999999999</v>
      </c>
      <c r="M107" s="18">
        <f t="shared" si="19"/>
        <v>3204.7379999999998</v>
      </c>
      <c r="N107" s="18">
        <f t="shared" si="20"/>
        <v>478.07799999999997</v>
      </c>
      <c r="O107" s="19">
        <f t="shared" si="21"/>
        <v>2388.7809999999999</v>
      </c>
      <c r="P107" s="103"/>
      <c r="Q107" s="24">
        <f t="shared" si="22"/>
        <v>4156.9999999992433</v>
      </c>
      <c r="R107" s="22">
        <f t="shared" si="23"/>
        <v>4.3852121405696387E-4</v>
      </c>
      <c r="V107" s="26">
        <f t="shared" si="24"/>
        <v>4528.9999999995416</v>
      </c>
      <c r="W107" s="22">
        <f t="shared" si="25"/>
        <v>7.8134717779088092E-4</v>
      </c>
      <c r="AA107" s="26">
        <f t="shared" si="26"/>
        <v>1563.9999999998508</v>
      </c>
      <c r="AB107" s="22">
        <f t="shared" si="27"/>
        <v>4.882657014573244E-4</v>
      </c>
      <c r="AF107" s="26">
        <f t="shared" si="28"/>
        <v>-1936.0000000000355</v>
      </c>
      <c r="AG107" s="22">
        <f t="shared" si="29"/>
        <v>-4.033215697875514E-3</v>
      </c>
    </row>
    <row r="108" spans="1:33" x14ac:dyDescent="0.3">
      <c r="A108" s="8">
        <v>44105</v>
      </c>
      <c r="B108" s="12">
        <v>5802.2690000000002</v>
      </c>
      <c r="C108" s="13">
        <v>3204.6460000000002</v>
      </c>
      <c r="D108" s="14">
        <v>476.99799999999999</v>
      </c>
      <c r="E108" s="14">
        <v>384.63799999999998</v>
      </c>
      <c r="F108" s="14">
        <v>1665.1289999999999</v>
      </c>
      <c r="G108" s="14">
        <v>353.12</v>
      </c>
      <c r="H108" s="7">
        <f t="shared" si="16"/>
        <v>11886.800000000001</v>
      </c>
      <c r="J108" s="25">
        <f t="shared" si="15"/>
        <v>44105</v>
      </c>
      <c r="K108" s="18">
        <f t="shared" si="17"/>
        <v>9483.9130000000005</v>
      </c>
      <c r="L108" s="18">
        <f t="shared" si="18"/>
        <v>5802.2690000000002</v>
      </c>
      <c r="M108" s="18">
        <f t="shared" si="19"/>
        <v>3204.6460000000002</v>
      </c>
      <c r="N108" s="18">
        <f t="shared" si="20"/>
        <v>476.99799999999999</v>
      </c>
      <c r="O108" s="19">
        <f t="shared" si="21"/>
        <v>2402.8869999999997</v>
      </c>
      <c r="P108" s="103"/>
      <c r="Q108" s="24">
        <f t="shared" si="22"/>
        <v>169.00000000168802</v>
      </c>
      <c r="R108" s="22">
        <f t="shared" si="23"/>
        <v>1.781996646066375E-5</v>
      </c>
      <c r="V108" s="26">
        <f t="shared" si="24"/>
        <v>1341.0000000003492</v>
      </c>
      <c r="W108" s="22">
        <f t="shared" si="25"/>
        <v>2.311699093662245E-4</v>
      </c>
      <c r="AA108" s="26">
        <f t="shared" si="26"/>
        <v>-91.999999999643478</v>
      </c>
      <c r="AB108" s="22">
        <f t="shared" si="27"/>
        <v>-2.8707494965196645E-5</v>
      </c>
      <c r="AF108" s="26">
        <f t="shared" si="28"/>
        <v>-1079.9999999999841</v>
      </c>
      <c r="AG108" s="22">
        <f t="shared" si="29"/>
        <v>-2.2590455950701749E-3</v>
      </c>
    </row>
    <row r="109" spans="1:33" x14ac:dyDescent="0.3">
      <c r="A109" s="8">
        <v>44136</v>
      </c>
      <c r="B109" s="12">
        <v>5808.4350000000004</v>
      </c>
      <c r="C109" s="13">
        <v>3220.866</v>
      </c>
      <c r="D109" s="14">
        <v>476.28399999999999</v>
      </c>
      <c r="E109" s="14">
        <v>381.16300000000001</v>
      </c>
      <c r="F109" s="14">
        <v>1652.335</v>
      </c>
      <c r="G109" s="14">
        <v>354.30599999999998</v>
      </c>
      <c r="H109" s="7">
        <f>+SUM(B109:G109)</f>
        <v>11893.388999999999</v>
      </c>
      <c r="J109" s="25">
        <f t="shared" si="15"/>
        <v>44136</v>
      </c>
      <c r="K109" s="18">
        <f t="shared" si="17"/>
        <v>9505.5849999999991</v>
      </c>
      <c r="L109" s="18">
        <f t="shared" si="18"/>
        <v>5808.4350000000004</v>
      </c>
      <c r="M109" s="18">
        <f t="shared" si="19"/>
        <v>3220.866</v>
      </c>
      <c r="N109" s="18">
        <f t="shared" si="20"/>
        <v>476.28399999999999</v>
      </c>
      <c r="O109" s="19">
        <f t="shared" si="21"/>
        <v>2387.8040000000001</v>
      </c>
      <c r="P109" s="103"/>
      <c r="Q109" s="24">
        <f t="shared" si="22"/>
        <v>21671.999999998661</v>
      </c>
      <c r="R109" s="22">
        <f t="shared" si="23"/>
        <v>2.2851327294965973E-3</v>
      </c>
      <c r="V109" s="26">
        <f t="shared" si="24"/>
        <v>6166.0000000001673</v>
      </c>
      <c r="W109" s="22">
        <f t="shared" si="25"/>
        <v>1.0626877175119454E-3</v>
      </c>
      <c r="AA109" s="26">
        <f t="shared" si="26"/>
        <v>16219.9999999998</v>
      </c>
      <c r="AB109" s="22">
        <f t="shared" si="27"/>
        <v>5.061401477729488E-3</v>
      </c>
      <c r="AF109" s="26">
        <f t="shared" si="28"/>
        <v>-713.99999999999864</v>
      </c>
      <c r="AG109" s="22">
        <f t="shared" si="29"/>
        <v>-1.4968616220613074E-3</v>
      </c>
    </row>
    <row r="110" spans="1:33" x14ac:dyDescent="0.3">
      <c r="A110" s="8">
        <v>44166</v>
      </c>
      <c r="B110" s="12">
        <v>5806.3919999999998</v>
      </c>
      <c r="C110" s="13">
        <v>3220.819</v>
      </c>
      <c r="D110" s="14">
        <v>474.6</v>
      </c>
      <c r="E110" s="14">
        <v>378.00599999999997</v>
      </c>
      <c r="F110" s="14">
        <v>1645.7180000000001</v>
      </c>
      <c r="G110" s="14">
        <v>353.20100000000002</v>
      </c>
      <c r="H110" s="7">
        <f t="shared" si="16"/>
        <v>11878.736000000001</v>
      </c>
      <c r="J110" s="25">
        <f t="shared" si="15"/>
        <v>44166</v>
      </c>
      <c r="K110" s="18">
        <f t="shared" si="17"/>
        <v>9501.8109999999997</v>
      </c>
      <c r="L110" s="18">
        <f t="shared" si="18"/>
        <v>5806.3919999999998</v>
      </c>
      <c r="M110" s="18">
        <f t="shared" si="19"/>
        <v>3220.819</v>
      </c>
      <c r="N110" s="18">
        <f t="shared" si="20"/>
        <v>474.6</v>
      </c>
      <c r="O110" s="19">
        <f t="shared" si="21"/>
        <v>2376.9250000000002</v>
      </c>
      <c r="P110" s="103"/>
      <c r="Q110" s="24">
        <f t="shared" si="22"/>
        <v>-3773.9999999994325</v>
      </c>
      <c r="R110" s="22">
        <f t="shared" si="23"/>
        <v>-3.9702974619648668E-4</v>
      </c>
      <c r="V110" s="26">
        <f t="shared" si="24"/>
        <v>-2043.0000000005748</v>
      </c>
      <c r="W110" s="22">
        <f t="shared" si="25"/>
        <v>-3.5172985494380526E-4</v>
      </c>
      <c r="AA110" s="26">
        <f t="shared" si="26"/>
        <v>-47.000000000025466</v>
      </c>
      <c r="AB110" s="22">
        <f t="shared" si="27"/>
        <v>-1.4592348765884999E-5</v>
      </c>
      <c r="AF110" s="26">
        <f t="shared" si="28"/>
        <v>-1683.9999999999691</v>
      </c>
      <c r="AG110" s="22">
        <f t="shared" si="29"/>
        <v>-3.5357055874225551E-3</v>
      </c>
    </row>
    <row r="111" spans="1:33" x14ac:dyDescent="0.3">
      <c r="A111" s="8">
        <v>44197</v>
      </c>
      <c r="B111" s="12">
        <v>5824.8739999999998</v>
      </c>
      <c r="C111" s="13">
        <v>3226.529</v>
      </c>
      <c r="D111" s="14">
        <v>474.09500000000003</v>
      </c>
      <c r="E111" s="14">
        <v>377.214</v>
      </c>
      <c r="F111" s="14">
        <v>1648.9110000000001</v>
      </c>
      <c r="G111" s="14">
        <v>358.673</v>
      </c>
      <c r="H111" s="7">
        <f t="shared" si="16"/>
        <v>11910.296</v>
      </c>
      <c r="J111" s="25">
        <f t="shared" si="15"/>
        <v>44197</v>
      </c>
      <c r="K111" s="18">
        <f t="shared" si="17"/>
        <v>9525.4979999999996</v>
      </c>
      <c r="L111" s="18">
        <f t="shared" si="18"/>
        <v>5824.8739999999998</v>
      </c>
      <c r="M111" s="18">
        <f t="shared" si="19"/>
        <v>3226.529</v>
      </c>
      <c r="N111" s="18">
        <f t="shared" si="20"/>
        <v>474.09500000000003</v>
      </c>
      <c r="O111" s="19">
        <f t="shared" si="21"/>
        <v>2384.7979999999998</v>
      </c>
      <c r="P111" s="103"/>
      <c r="Q111" s="24">
        <f t="shared" si="22"/>
        <v>23686.999999999898</v>
      </c>
      <c r="R111" s="22">
        <f t="shared" si="23"/>
        <v>2.4928931968863921E-3</v>
      </c>
      <c r="V111" s="26">
        <f t="shared" si="24"/>
        <v>18481.999999999971</v>
      </c>
      <c r="W111" s="22">
        <f t="shared" si="25"/>
        <v>3.1830437903606068E-3</v>
      </c>
      <c r="AA111" s="26">
        <f t="shared" si="26"/>
        <v>5710.0000000000364</v>
      </c>
      <c r="AB111" s="22">
        <f t="shared" si="27"/>
        <v>1.7728410072097578E-3</v>
      </c>
      <c r="AF111" s="26">
        <f t="shared" si="28"/>
        <v>-504.99999999999545</v>
      </c>
      <c r="AG111" s="22">
        <f t="shared" si="29"/>
        <v>-1.0640539401600702E-3</v>
      </c>
    </row>
    <row r="112" spans="1:33" x14ac:dyDescent="0.3">
      <c r="A112" s="8">
        <v>44228</v>
      </c>
      <c r="B112" s="12">
        <v>5837.2219999999998</v>
      </c>
      <c r="C112" s="13">
        <v>3240.1979999999999</v>
      </c>
      <c r="D112" s="14">
        <v>473.666</v>
      </c>
      <c r="E112" s="14">
        <v>378.56599999999997</v>
      </c>
      <c r="F112" s="14">
        <v>1655.519</v>
      </c>
      <c r="G112" s="14">
        <v>363.00799999999998</v>
      </c>
      <c r="H112" s="7">
        <f t="shared" si="16"/>
        <v>11948.179</v>
      </c>
      <c r="J112" s="25">
        <f t="shared" si="15"/>
        <v>44228</v>
      </c>
      <c r="K112" s="18">
        <f t="shared" si="17"/>
        <v>9551.0859999999993</v>
      </c>
      <c r="L112" s="18">
        <f t="shared" si="18"/>
        <v>5837.2219999999998</v>
      </c>
      <c r="M112" s="18">
        <f t="shared" si="19"/>
        <v>3240.1979999999999</v>
      </c>
      <c r="N112" s="18">
        <f t="shared" si="20"/>
        <v>473.666</v>
      </c>
      <c r="O112" s="19">
        <f t="shared" si="21"/>
        <v>2397.0929999999998</v>
      </c>
      <c r="P112" s="103"/>
      <c r="Q112" s="24">
        <f t="shared" si="22"/>
        <v>25587.999999999738</v>
      </c>
      <c r="R112" s="22">
        <f t="shared" si="23"/>
        <v>2.6862637522993005E-3</v>
      </c>
      <c r="V112" s="26">
        <f t="shared" si="24"/>
        <v>12347.999999999956</v>
      </c>
      <c r="W112" s="22">
        <f t="shared" si="25"/>
        <v>2.1198741809693722E-3</v>
      </c>
      <c r="AA112" s="26">
        <f t="shared" si="26"/>
        <v>13668.999999999869</v>
      </c>
      <c r="AB112" s="22">
        <f t="shared" si="27"/>
        <v>4.2364410795625584E-3</v>
      </c>
      <c r="AF112" s="26">
        <f t="shared" si="28"/>
        <v>-429.00000000003047</v>
      </c>
      <c r="AG112" s="22">
        <f t="shared" si="29"/>
        <v>-9.0488193294602226E-4</v>
      </c>
    </row>
    <row r="113" spans="1:33" x14ac:dyDescent="0.3">
      <c r="A113" s="8">
        <v>44256</v>
      </c>
      <c r="B113" s="12">
        <v>5861.1379999999999</v>
      </c>
      <c r="C113" s="13">
        <v>3257.8470000000002</v>
      </c>
      <c r="D113" s="14">
        <v>474.03800000000001</v>
      </c>
      <c r="E113" s="14">
        <v>380.33499999999998</v>
      </c>
      <c r="F113" s="14">
        <v>1663.8030000000001</v>
      </c>
      <c r="G113" s="14">
        <v>363.16899999999998</v>
      </c>
      <c r="H113" s="7">
        <f t="shared" si="16"/>
        <v>12000.33</v>
      </c>
      <c r="J113" s="25">
        <f t="shared" si="15"/>
        <v>44256</v>
      </c>
      <c r="K113" s="18">
        <f t="shared" si="17"/>
        <v>9593.023000000001</v>
      </c>
      <c r="L113" s="18">
        <f t="shared" si="18"/>
        <v>5861.1379999999999</v>
      </c>
      <c r="M113" s="18">
        <f t="shared" si="19"/>
        <v>3257.8470000000002</v>
      </c>
      <c r="N113" s="18">
        <f t="shared" si="20"/>
        <v>474.03800000000001</v>
      </c>
      <c r="O113" s="19">
        <f t="shared" si="21"/>
        <v>2407.3070000000002</v>
      </c>
      <c r="P113" s="103"/>
      <c r="Q113" s="24">
        <f t="shared" si="22"/>
        <v>41937.000000001717</v>
      </c>
      <c r="R113" s="22">
        <f t="shared" si="23"/>
        <v>4.3908095896112442E-3</v>
      </c>
      <c r="V113" s="26">
        <f t="shared" si="24"/>
        <v>23916.000000000167</v>
      </c>
      <c r="W113" s="22">
        <f t="shared" si="25"/>
        <v>4.0971544340784316E-3</v>
      </c>
      <c r="AA113" s="26">
        <f t="shared" si="26"/>
        <v>17649.000000000342</v>
      </c>
      <c r="AB113" s="22">
        <f t="shared" si="27"/>
        <v>5.4468893567616306E-3</v>
      </c>
      <c r="AF113" s="26">
        <f t="shared" si="28"/>
        <v>372.0000000000141</v>
      </c>
      <c r="AG113" s="22">
        <f t="shared" si="29"/>
        <v>7.8536352619784644E-4</v>
      </c>
    </row>
    <row r="114" spans="1:33" x14ac:dyDescent="0.3">
      <c r="A114" s="8">
        <v>44287</v>
      </c>
      <c r="B114" s="12">
        <v>5895.3909999999996</v>
      </c>
      <c r="C114" s="13">
        <v>3262.4870000000001</v>
      </c>
      <c r="D114" s="14">
        <v>474.97</v>
      </c>
      <c r="E114" s="14">
        <v>380.52699999999999</v>
      </c>
      <c r="F114" s="14">
        <v>1686.952</v>
      </c>
      <c r="G114" s="14">
        <v>361.18799999999999</v>
      </c>
      <c r="H114" s="7">
        <f t="shared" si="16"/>
        <v>12061.514999999999</v>
      </c>
      <c r="J114" s="25">
        <f t="shared" si="15"/>
        <v>44287</v>
      </c>
      <c r="K114" s="18">
        <f t="shared" si="17"/>
        <v>9632.848</v>
      </c>
      <c r="L114" s="18">
        <f t="shared" si="18"/>
        <v>5895.3909999999996</v>
      </c>
      <c r="M114" s="18">
        <f t="shared" si="19"/>
        <v>3262.4870000000001</v>
      </c>
      <c r="N114" s="18">
        <f t="shared" si="20"/>
        <v>474.97</v>
      </c>
      <c r="O114" s="19">
        <f t="shared" si="21"/>
        <v>2428.6669999999999</v>
      </c>
      <c r="P114" s="103"/>
      <c r="Q114" s="24">
        <f t="shared" si="22"/>
        <v>39824.999999998909</v>
      </c>
      <c r="R114" s="22">
        <f t="shared" si="23"/>
        <v>4.1514546561598475E-3</v>
      </c>
      <c r="V114" s="26">
        <f t="shared" si="24"/>
        <v>34252.999999999702</v>
      </c>
      <c r="W114" s="22">
        <f t="shared" si="25"/>
        <v>5.8440869332883061E-3</v>
      </c>
      <c r="AA114" s="26">
        <f t="shared" si="26"/>
        <v>4639.9999999998727</v>
      </c>
      <c r="AB114" s="22">
        <f t="shared" si="27"/>
        <v>1.4242535023898384E-3</v>
      </c>
      <c r="AF114" s="26">
        <f t="shared" si="28"/>
        <v>932.00000000001637</v>
      </c>
      <c r="AG114" s="22">
        <f t="shared" si="29"/>
        <v>1.9660871069409058E-3</v>
      </c>
    </row>
    <row r="115" spans="1:33" x14ac:dyDescent="0.3">
      <c r="A115" s="8">
        <v>44317</v>
      </c>
      <c r="B115" s="12">
        <v>5896.5860000000002</v>
      </c>
      <c r="C115" s="13">
        <v>3274.3739999999998</v>
      </c>
      <c r="D115" s="14">
        <v>476.78199999999998</v>
      </c>
      <c r="E115" s="14">
        <v>379.94600000000003</v>
      </c>
      <c r="F115" s="14">
        <v>1693.213</v>
      </c>
      <c r="G115" s="14">
        <v>366.73</v>
      </c>
      <c r="H115" s="7">
        <f t="shared" si="16"/>
        <v>12087.630999999998</v>
      </c>
      <c r="J115" s="25">
        <f t="shared" si="15"/>
        <v>44317</v>
      </c>
      <c r="K115" s="18">
        <f t="shared" si="17"/>
        <v>9647.7419999999984</v>
      </c>
      <c r="L115" s="18">
        <f t="shared" si="18"/>
        <v>5896.5860000000002</v>
      </c>
      <c r="M115" s="18">
        <f t="shared" si="19"/>
        <v>3274.3739999999998</v>
      </c>
      <c r="N115" s="18">
        <f t="shared" si="20"/>
        <v>476.78199999999998</v>
      </c>
      <c r="O115" s="19">
        <f t="shared" si="21"/>
        <v>2439.8890000000001</v>
      </c>
      <c r="P115" s="103"/>
      <c r="Q115" s="24">
        <f t="shared" si="22"/>
        <v>14893.999999998414</v>
      </c>
      <c r="R115" s="22">
        <f t="shared" si="23"/>
        <v>1.5461678622976649E-3</v>
      </c>
      <c r="V115" s="26">
        <f t="shared" si="24"/>
        <v>1195.0000000006185</v>
      </c>
      <c r="W115" s="22">
        <f t="shared" si="25"/>
        <v>2.027007199354447E-4</v>
      </c>
      <c r="AA115" s="26">
        <f t="shared" si="26"/>
        <v>11886.999999999716</v>
      </c>
      <c r="AB115" s="22">
        <f t="shared" si="27"/>
        <v>3.6435394225324824E-3</v>
      </c>
      <c r="AF115" s="26">
        <f t="shared" si="28"/>
        <v>1811.999999999955</v>
      </c>
      <c r="AG115" s="22">
        <f t="shared" si="29"/>
        <v>3.814977788070717E-3</v>
      </c>
    </row>
    <row r="116" spans="1:33" x14ac:dyDescent="0.3">
      <c r="A116" s="8">
        <v>44348</v>
      </c>
      <c r="B116" s="12">
        <v>5901.3819999999996</v>
      </c>
      <c r="C116" s="13">
        <v>3279.1109999999999</v>
      </c>
      <c r="D116" s="14">
        <v>475.62900000000002</v>
      </c>
      <c r="E116" s="14">
        <v>378.48899999999998</v>
      </c>
      <c r="F116" s="14">
        <v>1708.8579999999999</v>
      </c>
      <c r="G116" s="14">
        <v>368.18099999999998</v>
      </c>
      <c r="H116" s="7">
        <f t="shared" si="16"/>
        <v>12111.65</v>
      </c>
      <c r="J116" s="25">
        <f t="shared" si="15"/>
        <v>44348</v>
      </c>
      <c r="K116" s="18">
        <f t="shared" si="17"/>
        <v>9656.1219999999994</v>
      </c>
      <c r="L116" s="18">
        <f t="shared" si="18"/>
        <v>5901.3819999999996</v>
      </c>
      <c r="M116" s="18">
        <f t="shared" si="19"/>
        <v>3279.1109999999999</v>
      </c>
      <c r="N116" s="18">
        <f t="shared" si="20"/>
        <v>475.62900000000002</v>
      </c>
      <c r="O116" s="19">
        <f t="shared" si="21"/>
        <v>2455.5279999999998</v>
      </c>
      <c r="P116" s="103"/>
      <c r="Q116" s="24">
        <f t="shared" si="22"/>
        <v>8380.0000000010186</v>
      </c>
      <c r="R116" s="22">
        <f t="shared" si="23"/>
        <v>8.685970250863484E-4</v>
      </c>
      <c r="V116" s="26">
        <f t="shared" si="24"/>
        <v>4795.999999999367</v>
      </c>
      <c r="W116" s="22">
        <f t="shared" si="25"/>
        <v>8.1335199724041907E-4</v>
      </c>
      <c r="AA116" s="26">
        <f t="shared" si="26"/>
        <v>4737.00000000008</v>
      </c>
      <c r="AB116" s="22">
        <f t="shared" si="27"/>
        <v>1.4466887411150875E-3</v>
      </c>
      <c r="AF116" s="26">
        <f t="shared" si="28"/>
        <v>-1152.9999999999632</v>
      </c>
      <c r="AG116" s="22">
        <f t="shared" si="29"/>
        <v>-2.4182959927178116E-3</v>
      </c>
    </row>
    <row r="117" spans="1:33" x14ac:dyDescent="0.3">
      <c r="A117" s="8">
        <v>44378</v>
      </c>
      <c r="B117" s="12">
        <v>5902.5140000000001</v>
      </c>
      <c r="C117" s="13">
        <v>3288.212</v>
      </c>
      <c r="D117" s="14">
        <v>474.18</v>
      </c>
      <c r="E117" s="14">
        <v>377.36599999999999</v>
      </c>
      <c r="F117" s="14">
        <v>1732.4690000000001</v>
      </c>
      <c r="G117" s="14">
        <v>367.03899999999999</v>
      </c>
      <c r="H117" s="7">
        <f t="shared" si="16"/>
        <v>12141.780000000002</v>
      </c>
      <c r="J117" s="25">
        <f t="shared" si="15"/>
        <v>44378</v>
      </c>
      <c r="K117" s="18">
        <f t="shared" si="17"/>
        <v>9664.9060000000009</v>
      </c>
      <c r="L117" s="18">
        <f t="shared" si="18"/>
        <v>5902.5140000000001</v>
      </c>
      <c r="M117" s="18">
        <f t="shared" si="19"/>
        <v>3288.212</v>
      </c>
      <c r="N117" s="18">
        <f t="shared" si="20"/>
        <v>474.18</v>
      </c>
      <c r="O117" s="19">
        <f t="shared" si="21"/>
        <v>2476.8739999999998</v>
      </c>
      <c r="P117" s="103"/>
      <c r="Q117" s="24">
        <f t="shared" si="22"/>
        <v>8784.0000000014697</v>
      </c>
      <c r="R117" s="22">
        <f t="shared" si="23"/>
        <v>9.0968196135077228E-4</v>
      </c>
      <c r="V117" s="26">
        <f t="shared" si="24"/>
        <v>1132.0000000005166</v>
      </c>
      <c r="W117" s="22">
        <f t="shared" si="25"/>
        <v>1.9181947550594991E-4</v>
      </c>
      <c r="AA117" s="26">
        <f t="shared" si="26"/>
        <v>9101.0000000001128</v>
      </c>
      <c r="AB117" s="22">
        <f t="shared" si="27"/>
        <v>2.7754473697292337E-3</v>
      </c>
      <c r="AF117" s="26">
        <f t="shared" si="28"/>
        <v>-1449.0000000000123</v>
      </c>
      <c r="AG117" s="22">
        <f t="shared" si="29"/>
        <v>-3.0464921188573246E-3</v>
      </c>
    </row>
    <row r="118" spans="1:33" x14ac:dyDescent="0.3">
      <c r="A118" s="8">
        <v>44409</v>
      </c>
      <c r="B118" s="12">
        <v>5916.415</v>
      </c>
      <c r="C118" s="13">
        <v>3299.3409999999999</v>
      </c>
      <c r="D118" s="14">
        <v>473.02699999999999</v>
      </c>
      <c r="E118" s="14">
        <v>384.40199999999999</v>
      </c>
      <c r="F118" s="14">
        <v>1736.6869999999999</v>
      </c>
      <c r="G118" s="14">
        <v>394.48599999999999</v>
      </c>
      <c r="H118" s="7">
        <f t="shared" si="16"/>
        <v>12204.358</v>
      </c>
      <c r="J118" s="25">
        <f t="shared" si="15"/>
        <v>44409</v>
      </c>
      <c r="K118" s="18">
        <f t="shared" si="17"/>
        <v>9688.7829999999994</v>
      </c>
      <c r="L118" s="18">
        <f t="shared" si="18"/>
        <v>5916.415</v>
      </c>
      <c r="M118" s="18">
        <f t="shared" si="19"/>
        <v>3299.3409999999999</v>
      </c>
      <c r="N118" s="18">
        <f t="shared" si="20"/>
        <v>473.02699999999999</v>
      </c>
      <c r="O118" s="19">
        <f t="shared" si="21"/>
        <v>2515.5749999999998</v>
      </c>
      <c r="P118" s="103"/>
      <c r="Q118" s="24">
        <f t="shared" si="22"/>
        <v>23876.999999998588</v>
      </c>
      <c r="R118" s="22">
        <f t="shared" si="23"/>
        <v>2.4704844516851843E-3</v>
      </c>
      <c r="V118" s="26">
        <f t="shared" si="24"/>
        <v>13900.99999999984</v>
      </c>
      <c r="W118" s="22">
        <f t="shared" si="25"/>
        <v>2.3550981835875895E-3</v>
      </c>
      <c r="AA118" s="26">
        <f t="shared" si="26"/>
        <v>11128.999999999905</v>
      </c>
      <c r="AB118" s="22">
        <f t="shared" si="27"/>
        <v>3.384514137166228E-3</v>
      </c>
      <c r="AF118" s="26">
        <f t="shared" si="28"/>
        <v>-1153.00000000002</v>
      </c>
      <c r="AG118" s="22">
        <f t="shared" si="29"/>
        <v>-2.4315660719558263E-3</v>
      </c>
    </row>
    <row r="119" spans="1:33" x14ac:dyDescent="0.3">
      <c r="A119" s="8">
        <v>44440</v>
      </c>
      <c r="B119" s="12">
        <v>5936.5129999999999</v>
      </c>
      <c r="C119" s="13">
        <v>3307.431</v>
      </c>
      <c r="D119" s="14">
        <v>471.31400000000002</v>
      </c>
      <c r="E119" s="14">
        <v>385.113</v>
      </c>
      <c r="F119" s="14">
        <v>1767.665</v>
      </c>
      <c r="G119" s="14">
        <v>401.37</v>
      </c>
      <c r="H119" s="7">
        <f t="shared" si="16"/>
        <v>12269.406000000001</v>
      </c>
      <c r="J119" s="25">
        <f t="shared" si="15"/>
        <v>44440</v>
      </c>
      <c r="K119" s="18">
        <f t="shared" si="17"/>
        <v>9715.2579999999998</v>
      </c>
      <c r="L119" s="18">
        <f t="shared" si="18"/>
        <v>5936.5129999999999</v>
      </c>
      <c r="M119" s="18">
        <f t="shared" si="19"/>
        <v>3307.431</v>
      </c>
      <c r="N119" s="18">
        <f t="shared" si="20"/>
        <v>471.31400000000002</v>
      </c>
      <c r="O119" s="19">
        <f t="shared" si="21"/>
        <v>2554.1479999999997</v>
      </c>
      <c r="P119" s="103"/>
      <c r="Q119" s="24">
        <f t="shared" si="22"/>
        <v>26475.000000000364</v>
      </c>
      <c r="R119" s="22">
        <f t="shared" si="23"/>
        <v>2.7325413315584246E-3</v>
      </c>
      <c r="V119" s="26">
        <f t="shared" si="24"/>
        <v>20097.999999999956</v>
      </c>
      <c r="W119" s="22">
        <f t="shared" si="25"/>
        <v>3.3969895620913348E-3</v>
      </c>
      <c r="AA119" s="26">
        <f t="shared" si="26"/>
        <v>8090.0000000001455</v>
      </c>
      <c r="AB119" s="22">
        <f t="shared" si="27"/>
        <v>2.4520048094454072E-3</v>
      </c>
      <c r="AF119" s="26">
        <f t="shared" si="28"/>
        <v>-1712.9999999999654</v>
      </c>
      <c r="AG119" s="22">
        <f t="shared" si="29"/>
        <v>-3.6213577660471064E-3</v>
      </c>
    </row>
    <row r="120" spans="1:33" x14ac:dyDescent="0.3">
      <c r="A120" s="8">
        <v>44470</v>
      </c>
      <c r="B120" s="12">
        <v>5951.0320000000002</v>
      </c>
      <c r="C120" s="13">
        <v>3319.4609999999998</v>
      </c>
      <c r="D120" s="14">
        <v>472.72199999999998</v>
      </c>
      <c r="E120" s="14">
        <v>385.99400000000003</v>
      </c>
      <c r="F120" s="14">
        <v>1785.0840000000001</v>
      </c>
      <c r="G120" s="14">
        <v>398.01600000000002</v>
      </c>
      <c r="H120" s="7">
        <f t="shared" si="16"/>
        <v>12312.309000000001</v>
      </c>
      <c r="J120" s="25">
        <f t="shared" si="15"/>
        <v>44470</v>
      </c>
      <c r="K120" s="18">
        <f t="shared" si="17"/>
        <v>9743.2150000000001</v>
      </c>
      <c r="L120" s="18">
        <f t="shared" si="18"/>
        <v>5951.0320000000002</v>
      </c>
      <c r="M120" s="18">
        <f t="shared" si="19"/>
        <v>3319.4609999999998</v>
      </c>
      <c r="N120" s="18">
        <f t="shared" si="20"/>
        <v>472.72199999999998</v>
      </c>
      <c r="O120" s="19">
        <f t="shared" si="21"/>
        <v>2569.0940000000001</v>
      </c>
      <c r="P120" s="103"/>
      <c r="Q120" s="24">
        <f t="shared" si="22"/>
        <v>27957.000000000335</v>
      </c>
      <c r="R120" s="22">
        <f t="shared" si="23"/>
        <v>2.8776384528337307E-3</v>
      </c>
      <c r="V120" s="26">
        <f t="shared" si="24"/>
        <v>14519.000000000233</v>
      </c>
      <c r="W120" s="22">
        <f t="shared" si="25"/>
        <v>2.4457118176950399E-3</v>
      </c>
      <c r="AA120" s="26">
        <f t="shared" si="26"/>
        <v>12029.999999999745</v>
      </c>
      <c r="AB120" s="22">
        <f t="shared" si="27"/>
        <v>3.6372640880488749E-3</v>
      </c>
      <c r="AF120" s="26">
        <f t="shared" si="28"/>
        <v>1407.9999999999586</v>
      </c>
      <c r="AG120" s="22">
        <f t="shared" si="29"/>
        <v>2.9873926936181405E-3</v>
      </c>
    </row>
    <row r="121" spans="1:33" x14ac:dyDescent="0.3">
      <c r="A121" s="8">
        <v>44501</v>
      </c>
      <c r="B121" s="12">
        <v>5974.7259999999997</v>
      </c>
      <c r="C121" s="13">
        <v>3327.9360000000001</v>
      </c>
      <c r="D121" s="14">
        <v>472.964</v>
      </c>
      <c r="E121" s="14">
        <v>386.48399999999998</v>
      </c>
      <c r="F121" s="14">
        <v>1800.2370000000001</v>
      </c>
      <c r="G121" s="14">
        <v>394.20699999999999</v>
      </c>
      <c r="H121" s="7">
        <f t="shared" si="16"/>
        <v>12356.554000000002</v>
      </c>
      <c r="J121" s="25">
        <f t="shared" si="15"/>
        <v>44501</v>
      </c>
      <c r="K121" s="18">
        <f t="shared" si="17"/>
        <v>9775.6260000000002</v>
      </c>
      <c r="L121" s="18">
        <f t="shared" si="18"/>
        <v>5974.7259999999997</v>
      </c>
      <c r="M121" s="18">
        <f t="shared" si="19"/>
        <v>3327.9360000000001</v>
      </c>
      <c r="N121" s="18">
        <f t="shared" si="20"/>
        <v>472.964</v>
      </c>
      <c r="O121" s="19">
        <f t="shared" si="21"/>
        <v>2580.9279999999999</v>
      </c>
      <c r="P121" s="103"/>
      <c r="Q121" s="24">
        <f t="shared" si="22"/>
        <v>32411.000000000058</v>
      </c>
      <c r="R121" s="22">
        <f t="shared" si="23"/>
        <v>3.3265200449748011E-3</v>
      </c>
      <c r="V121" s="26">
        <f t="shared" si="24"/>
        <v>23693.999999999505</v>
      </c>
      <c r="W121" s="22">
        <f t="shared" si="25"/>
        <v>3.9814943021645455E-3</v>
      </c>
      <c r="AA121" s="26">
        <f t="shared" si="26"/>
        <v>8475.0000000003638</v>
      </c>
      <c r="AB121" s="22">
        <f t="shared" si="27"/>
        <v>2.5531253417347965E-3</v>
      </c>
      <c r="AF121" s="26">
        <f t="shared" si="28"/>
        <v>242.00000000001864</v>
      </c>
      <c r="AG121" s="22">
        <f t="shared" si="29"/>
        <v>5.1192878689798604E-4</v>
      </c>
    </row>
    <row r="122" spans="1:33" x14ac:dyDescent="0.3">
      <c r="A122" s="8">
        <v>44531</v>
      </c>
      <c r="B122" s="12">
        <v>6007.277</v>
      </c>
      <c r="C122" s="13">
        <v>3337.0050000000001</v>
      </c>
      <c r="D122" s="14">
        <v>474.08800000000002</v>
      </c>
      <c r="E122" s="14">
        <v>386.79700000000003</v>
      </c>
      <c r="F122" s="14">
        <v>1769.9269999999999</v>
      </c>
      <c r="G122" s="14">
        <v>440.04599999999999</v>
      </c>
      <c r="H122" s="7">
        <f t="shared" si="16"/>
        <v>12415.14</v>
      </c>
      <c r="J122" s="25">
        <f t="shared" si="15"/>
        <v>44531</v>
      </c>
      <c r="K122" s="18">
        <f t="shared" si="17"/>
        <v>9818.369999999999</v>
      </c>
      <c r="L122" s="18">
        <f t="shared" si="18"/>
        <v>6007.277</v>
      </c>
      <c r="M122" s="18">
        <f t="shared" si="19"/>
        <v>3337.0050000000001</v>
      </c>
      <c r="N122" s="18">
        <f t="shared" si="20"/>
        <v>474.08800000000002</v>
      </c>
      <c r="O122" s="19">
        <f t="shared" si="21"/>
        <v>2596.77</v>
      </c>
      <c r="P122" s="103"/>
      <c r="Q122" s="24">
        <f t="shared" si="22"/>
        <v>42743.999999998778</v>
      </c>
      <c r="R122" s="22">
        <f t="shared" si="23"/>
        <v>4.3725077043659244E-3</v>
      </c>
      <c r="V122" s="26">
        <f t="shared" si="24"/>
        <v>32551.000000000386</v>
      </c>
      <c r="W122" s="22">
        <f t="shared" si="25"/>
        <v>5.4481159470745055E-3</v>
      </c>
      <c r="AA122" s="26">
        <f t="shared" si="26"/>
        <v>9068.99999999996</v>
      </c>
      <c r="AB122" s="22">
        <f t="shared" si="27"/>
        <v>2.7251125021634515E-3</v>
      </c>
      <c r="AF122" s="26">
        <f t="shared" si="28"/>
        <v>1124.0000000000236</v>
      </c>
      <c r="AG122" s="22">
        <f t="shared" si="29"/>
        <v>2.3765022284993886E-3</v>
      </c>
    </row>
    <row r="123" spans="1:33" x14ac:dyDescent="0.3">
      <c r="A123" s="8">
        <v>44562</v>
      </c>
      <c r="B123" s="12">
        <v>6041.9160000000002</v>
      </c>
      <c r="C123" s="13">
        <v>3336.8180000000002</v>
      </c>
      <c r="D123" s="14">
        <v>473.19799999999998</v>
      </c>
      <c r="E123" s="14">
        <v>386.82799999999997</v>
      </c>
      <c r="F123" s="14">
        <v>1777.0730000000001</v>
      </c>
      <c r="G123" s="14">
        <v>439.56200000000001</v>
      </c>
      <c r="H123" s="7">
        <f t="shared" si="16"/>
        <v>12455.395</v>
      </c>
      <c r="J123" s="25">
        <f t="shared" si="15"/>
        <v>44562</v>
      </c>
      <c r="K123" s="18">
        <f t="shared" si="17"/>
        <v>9851.9320000000007</v>
      </c>
      <c r="L123" s="18">
        <f t="shared" si="18"/>
        <v>6041.9160000000002</v>
      </c>
      <c r="M123" s="18">
        <f t="shared" si="19"/>
        <v>3336.8180000000002</v>
      </c>
      <c r="N123" s="18">
        <f t="shared" si="20"/>
        <v>473.19799999999998</v>
      </c>
      <c r="O123" s="19">
        <f t="shared" si="21"/>
        <v>2603.4629999999997</v>
      </c>
      <c r="P123" s="103"/>
      <c r="Q123" s="24">
        <f t="shared" si="22"/>
        <v>33562.000000001717</v>
      </c>
      <c r="R123" s="22">
        <f t="shared" si="23"/>
        <v>3.418286334697207E-3</v>
      </c>
      <c r="V123" s="26">
        <f t="shared" si="24"/>
        <v>34639.000000000124</v>
      </c>
      <c r="W123" s="22">
        <f t="shared" si="25"/>
        <v>5.7661732595317705E-3</v>
      </c>
      <c r="AA123" s="26">
        <f t="shared" si="26"/>
        <v>-186.99999999989814</v>
      </c>
      <c r="AB123" s="22">
        <f t="shared" si="27"/>
        <v>-5.6038273841374497E-5</v>
      </c>
      <c r="AF123" s="26">
        <f t="shared" si="28"/>
        <v>-890.0000000000432</v>
      </c>
      <c r="AG123" s="22">
        <f t="shared" si="29"/>
        <v>-1.8772886046473092E-3</v>
      </c>
    </row>
    <row r="124" spans="1:33" x14ac:dyDescent="0.3">
      <c r="A124" s="8">
        <v>44593</v>
      </c>
      <c r="B124" s="12">
        <v>6060.3280000000004</v>
      </c>
      <c r="C124" s="13">
        <v>3335.578</v>
      </c>
      <c r="D124" s="14">
        <v>473.25799999999998</v>
      </c>
      <c r="E124" s="14">
        <v>387.55599999999998</v>
      </c>
      <c r="F124" s="14">
        <v>1799.6849999999999</v>
      </c>
      <c r="G124" s="14">
        <v>441.73</v>
      </c>
      <c r="H124" s="7">
        <f t="shared" si="16"/>
        <v>12498.135</v>
      </c>
      <c r="J124" s="25">
        <f t="shared" si="15"/>
        <v>44593</v>
      </c>
      <c r="K124" s="18">
        <f t="shared" si="17"/>
        <v>9869.1640000000007</v>
      </c>
      <c r="L124" s="18">
        <f t="shared" si="18"/>
        <v>6060.3280000000004</v>
      </c>
      <c r="M124" s="18">
        <f t="shared" si="19"/>
        <v>3335.578</v>
      </c>
      <c r="N124" s="18">
        <f t="shared" si="20"/>
        <v>473.25799999999998</v>
      </c>
      <c r="O124" s="19">
        <f t="shared" si="21"/>
        <v>2628.971</v>
      </c>
      <c r="P124" s="103"/>
      <c r="Q124" s="24">
        <f t="shared" si="22"/>
        <v>17231.999999999971</v>
      </c>
      <c r="R124" s="22">
        <f t="shared" si="23"/>
        <v>1.7490985524464264E-3</v>
      </c>
      <c r="V124" s="26">
        <f t="shared" si="24"/>
        <v>18412.000000000262</v>
      </c>
      <c r="W124" s="22">
        <f t="shared" si="25"/>
        <v>3.0473776861512647E-3</v>
      </c>
      <c r="AA124" s="26">
        <f t="shared" si="26"/>
        <v>-1240.0000000002365</v>
      </c>
      <c r="AB124" s="22">
        <f t="shared" si="27"/>
        <v>-3.7161151731990305E-4</v>
      </c>
      <c r="AF124" s="26">
        <f t="shared" si="28"/>
        <v>60.000000000002274</v>
      </c>
      <c r="AG124" s="22">
        <f t="shared" si="29"/>
        <v>1.267968165545863E-4</v>
      </c>
    </row>
    <row r="125" spans="1:33" x14ac:dyDescent="0.3">
      <c r="A125" s="8">
        <v>44621</v>
      </c>
      <c r="B125" s="12">
        <v>6085.4759999999997</v>
      </c>
      <c r="C125" s="13">
        <v>3344.3919999999998</v>
      </c>
      <c r="D125" s="14">
        <v>473.49599999999998</v>
      </c>
      <c r="E125" s="14">
        <v>387.988</v>
      </c>
      <c r="F125" s="14">
        <v>1818.827</v>
      </c>
      <c r="G125" s="14">
        <v>438.31799999999998</v>
      </c>
      <c r="H125" s="7">
        <f t="shared" si="16"/>
        <v>12548.496999999996</v>
      </c>
      <c r="J125" s="25">
        <f t="shared" si="15"/>
        <v>44621</v>
      </c>
      <c r="K125" s="18">
        <f t="shared" si="17"/>
        <v>9903.3639999999978</v>
      </c>
      <c r="L125" s="18">
        <f t="shared" si="18"/>
        <v>6085.4759999999997</v>
      </c>
      <c r="M125" s="18">
        <f t="shared" si="19"/>
        <v>3344.3919999999998</v>
      </c>
      <c r="N125" s="18">
        <f t="shared" si="20"/>
        <v>473.49599999999998</v>
      </c>
      <c r="O125" s="19">
        <f t="shared" si="21"/>
        <v>2645.1329999999998</v>
      </c>
      <c r="P125" s="103"/>
      <c r="Q125" s="24">
        <f t="shared" si="22"/>
        <v>34199.99999999709</v>
      </c>
      <c r="R125" s="22">
        <f t="shared" si="23"/>
        <v>3.4653391107897225E-3</v>
      </c>
      <c r="V125" s="26">
        <f t="shared" si="24"/>
        <v>25147.999999999229</v>
      </c>
      <c r="W125" s="22">
        <f t="shared" si="25"/>
        <v>4.1496103841243137E-3</v>
      </c>
      <c r="AA125" s="26">
        <f t="shared" si="26"/>
        <v>8813.9999999998508</v>
      </c>
      <c r="AB125" s="22">
        <f t="shared" si="27"/>
        <v>2.6424205939719059E-3</v>
      </c>
      <c r="AF125" s="26">
        <f t="shared" si="28"/>
        <v>237.99999999999955</v>
      </c>
      <c r="AG125" s="22">
        <f t="shared" si="29"/>
        <v>5.0289693993543771E-4</v>
      </c>
    </row>
    <row r="126" spans="1:33" x14ac:dyDescent="0.3">
      <c r="A126" s="8">
        <v>44652</v>
      </c>
      <c r="B126" s="12">
        <v>6115.7460000000001</v>
      </c>
      <c r="C126" s="13">
        <v>3349.9749999999999</v>
      </c>
      <c r="D126" s="14">
        <v>473.10599999999999</v>
      </c>
      <c r="E126" s="14">
        <v>389.22300000000001</v>
      </c>
      <c r="F126" s="14">
        <v>1844.415</v>
      </c>
      <c r="G126" s="14">
        <v>435.827</v>
      </c>
      <c r="H126" s="7">
        <f t="shared" si="16"/>
        <v>12608.291999999999</v>
      </c>
      <c r="J126" s="25">
        <f t="shared" si="15"/>
        <v>44652</v>
      </c>
      <c r="K126" s="18">
        <f t="shared" si="17"/>
        <v>9938.8269999999993</v>
      </c>
      <c r="L126" s="18">
        <f t="shared" si="18"/>
        <v>6115.7460000000001</v>
      </c>
      <c r="M126" s="18">
        <f t="shared" si="19"/>
        <v>3349.9749999999999</v>
      </c>
      <c r="N126" s="18">
        <f t="shared" si="20"/>
        <v>473.10599999999999</v>
      </c>
      <c r="O126" s="19">
        <f t="shared" si="21"/>
        <v>2669.4650000000001</v>
      </c>
      <c r="P126" s="103"/>
      <c r="Q126" s="24">
        <f t="shared" si="22"/>
        <v>35463.000000001557</v>
      </c>
      <c r="R126" s="22">
        <f t="shared" si="23"/>
        <v>3.5809044280308289E-3</v>
      </c>
      <c r="V126" s="26">
        <f t="shared" si="24"/>
        <v>30270.000000000437</v>
      </c>
      <c r="W126" s="22">
        <f t="shared" si="25"/>
        <v>4.9741384240116204E-3</v>
      </c>
      <c r="AA126" s="26">
        <f t="shared" si="26"/>
        <v>5583.0000000000837</v>
      </c>
      <c r="AB126" s="22">
        <f t="shared" si="27"/>
        <v>1.6693617255394422E-3</v>
      </c>
      <c r="AF126" s="26">
        <f t="shared" si="28"/>
        <v>-389.99999999998636</v>
      </c>
      <c r="AG126" s="22">
        <f t="shared" si="29"/>
        <v>-8.2366060114547057E-4</v>
      </c>
    </row>
    <row r="127" spans="1:33" x14ac:dyDescent="0.3">
      <c r="A127" s="8">
        <v>44682</v>
      </c>
      <c r="B127" s="12">
        <v>6140.8630000000003</v>
      </c>
      <c r="C127" s="13">
        <v>3357.4569999999999</v>
      </c>
      <c r="D127" s="14">
        <v>474.36</v>
      </c>
      <c r="E127" s="14">
        <v>391.07100000000003</v>
      </c>
      <c r="F127" s="14">
        <v>1873.585</v>
      </c>
      <c r="G127" s="14">
        <v>432.428</v>
      </c>
      <c r="H127" s="7">
        <f t="shared" si="16"/>
        <v>12669.763999999999</v>
      </c>
      <c r="J127" s="25">
        <f t="shared" si="15"/>
        <v>44682</v>
      </c>
      <c r="K127" s="18">
        <f t="shared" si="17"/>
        <v>9972.68</v>
      </c>
      <c r="L127" s="18">
        <f t="shared" si="18"/>
        <v>6140.8630000000003</v>
      </c>
      <c r="M127" s="18">
        <f t="shared" si="19"/>
        <v>3357.4569999999999</v>
      </c>
      <c r="N127" s="18">
        <f t="shared" si="20"/>
        <v>474.36</v>
      </c>
      <c r="O127" s="19">
        <f t="shared" si="21"/>
        <v>2697.0839999999998</v>
      </c>
      <c r="P127" s="103"/>
      <c r="Q127" s="24">
        <f t="shared" si="22"/>
        <v>33853.000000000975</v>
      </c>
      <c r="R127" s="22">
        <f t="shared" si="23"/>
        <v>3.406136357942513E-3</v>
      </c>
      <c r="V127" s="26">
        <f t="shared" si="24"/>
        <v>25117.000000000189</v>
      </c>
      <c r="W127" s="22">
        <f t="shared" si="25"/>
        <v>4.1069396930482061E-3</v>
      </c>
      <c r="AA127" s="26">
        <f t="shared" si="26"/>
        <v>7481.9999999999709</v>
      </c>
      <c r="AB127" s="22">
        <f t="shared" si="27"/>
        <v>2.2334495033544677E-3</v>
      </c>
      <c r="AF127" s="26">
        <f t="shared" si="28"/>
        <v>1254.0000000000191</v>
      </c>
      <c r="AG127" s="22">
        <f t="shared" si="29"/>
        <v>2.6505687943083611E-3</v>
      </c>
    </row>
    <row r="128" spans="1:33" x14ac:dyDescent="0.3">
      <c r="A128" s="8">
        <v>44713</v>
      </c>
      <c r="B128" s="12">
        <v>6168.4409999999998</v>
      </c>
      <c r="C128" s="13">
        <v>3365.6689999999999</v>
      </c>
      <c r="D128" s="14">
        <v>472.88499999999999</v>
      </c>
      <c r="E128" s="14">
        <v>392.44</v>
      </c>
      <c r="F128" s="14">
        <v>1824.604</v>
      </c>
      <c r="G128" s="14">
        <v>512.69500000000005</v>
      </c>
      <c r="H128" s="7">
        <f t="shared" si="16"/>
        <v>12736.734</v>
      </c>
      <c r="J128" s="25">
        <f t="shared" si="15"/>
        <v>44713</v>
      </c>
      <c r="K128" s="18">
        <f t="shared" si="17"/>
        <v>10006.995000000001</v>
      </c>
      <c r="L128" s="18">
        <f t="shared" si="18"/>
        <v>6168.4409999999998</v>
      </c>
      <c r="M128" s="18">
        <f t="shared" si="19"/>
        <v>3365.6689999999999</v>
      </c>
      <c r="N128" s="18">
        <f t="shared" si="20"/>
        <v>472.88499999999999</v>
      </c>
      <c r="O128" s="19">
        <f t="shared" si="21"/>
        <v>2729.739</v>
      </c>
      <c r="P128" s="103"/>
      <c r="Q128" s="24">
        <f t="shared" si="22"/>
        <v>34315.000000000509</v>
      </c>
      <c r="R128" s="22">
        <f t="shared" si="23"/>
        <v>3.4409005402760151E-3</v>
      </c>
      <c r="V128" s="26">
        <f t="shared" si="24"/>
        <v>27577.99999999952</v>
      </c>
      <c r="W128" s="22">
        <f t="shared" si="25"/>
        <v>4.4908997318453547E-3</v>
      </c>
      <c r="AA128" s="26">
        <f t="shared" si="26"/>
        <v>8211.9999999999891</v>
      </c>
      <c r="AB128" s="22">
        <f t="shared" si="27"/>
        <v>2.4458987858966275E-3</v>
      </c>
      <c r="AF128" s="26">
        <f t="shared" si="28"/>
        <v>-1475.0000000000227</v>
      </c>
      <c r="AG128" s="22">
        <f t="shared" si="29"/>
        <v>-3.1094527363184632E-3</v>
      </c>
    </row>
    <row r="129" spans="1:35" x14ac:dyDescent="0.3">
      <c r="A129" s="8">
        <v>44743</v>
      </c>
      <c r="B129" s="12">
        <v>6199.34</v>
      </c>
      <c r="C129" s="13">
        <v>3376.1959999999999</v>
      </c>
      <c r="D129" s="14">
        <v>472.68099999999998</v>
      </c>
      <c r="E129" s="14">
        <v>394.11700000000002</v>
      </c>
      <c r="F129" s="14">
        <v>1862.02</v>
      </c>
      <c r="G129" s="14">
        <v>509.084</v>
      </c>
      <c r="H129" s="7">
        <f t="shared" si="16"/>
        <v>12813.438000000002</v>
      </c>
      <c r="J129" s="25">
        <f t="shared" si="15"/>
        <v>44743</v>
      </c>
      <c r="K129" s="18">
        <f t="shared" si="17"/>
        <v>10048.217000000001</v>
      </c>
      <c r="L129" s="18">
        <f t="shared" si="18"/>
        <v>6199.34</v>
      </c>
      <c r="M129" s="18">
        <f t="shared" si="19"/>
        <v>3376.1959999999999</v>
      </c>
      <c r="N129" s="18">
        <f t="shared" si="20"/>
        <v>472.68099999999998</v>
      </c>
      <c r="O129" s="19">
        <f t="shared" si="21"/>
        <v>2765.221</v>
      </c>
      <c r="P129" s="103"/>
      <c r="Q129" s="24">
        <f t="shared" si="22"/>
        <v>41221.999999999753</v>
      </c>
      <c r="R129" s="22">
        <f t="shared" si="23"/>
        <v>4.1193185366834584E-3</v>
      </c>
      <c r="V129" s="26">
        <f t="shared" si="24"/>
        <v>30899.000000000342</v>
      </c>
      <c r="W129" s="22">
        <f t="shared" si="25"/>
        <v>5.0092073507714829E-3</v>
      </c>
      <c r="AA129" s="26">
        <f t="shared" si="26"/>
        <v>10527.000000000044</v>
      </c>
      <c r="AB129" s="22">
        <f t="shared" si="27"/>
        <v>3.1277585526088281E-3</v>
      </c>
      <c r="AF129" s="26">
        <f t="shared" si="28"/>
        <v>-204.00000000000773</v>
      </c>
      <c r="AG129" s="22">
        <f t="shared" si="29"/>
        <v>-4.3139452509599607E-4</v>
      </c>
    </row>
    <row r="130" spans="1:35" x14ac:dyDescent="0.3">
      <c r="A130" s="8">
        <v>44774</v>
      </c>
      <c r="B130" s="12">
        <v>6206.1210000000001</v>
      </c>
      <c r="C130" s="13">
        <v>3369.4319999999998</v>
      </c>
      <c r="D130" s="14">
        <v>472.214</v>
      </c>
      <c r="E130" s="14">
        <v>392.42200000000003</v>
      </c>
      <c r="F130" s="14">
        <v>1899.6320000000001</v>
      </c>
      <c r="G130" s="14">
        <v>503.226</v>
      </c>
      <c r="H130" s="7">
        <f t="shared" si="16"/>
        <v>12843.047</v>
      </c>
      <c r="J130" s="25">
        <f t="shared" si="15"/>
        <v>44774</v>
      </c>
      <c r="K130" s="18">
        <f t="shared" si="17"/>
        <v>10047.767</v>
      </c>
      <c r="L130" s="18">
        <f t="shared" si="18"/>
        <v>6206.1210000000001</v>
      </c>
      <c r="M130" s="18">
        <f t="shared" si="19"/>
        <v>3369.4319999999998</v>
      </c>
      <c r="N130" s="18">
        <f t="shared" si="20"/>
        <v>472.214</v>
      </c>
      <c r="O130" s="19">
        <f t="shared" si="21"/>
        <v>2795.28</v>
      </c>
      <c r="P130" s="103"/>
      <c r="Q130" s="24">
        <f t="shared" si="22"/>
        <v>-450.0000000007276</v>
      </c>
      <c r="R130" s="22">
        <f t="shared" si="23"/>
        <v>-4.4784064675451596E-5</v>
      </c>
      <c r="V130" s="26">
        <f t="shared" si="24"/>
        <v>6780.9999999999491</v>
      </c>
      <c r="W130" s="22">
        <f t="shared" si="25"/>
        <v>1.0938261169737284E-3</v>
      </c>
      <c r="AA130" s="26">
        <f t="shared" si="26"/>
        <v>-6764.0000000001237</v>
      </c>
      <c r="AB130" s="22">
        <f t="shared" si="27"/>
        <v>-2.0034381890151609E-3</v>
      </c>
      <c r="AF130" s="26">
        <f t="shared" si="28"/>
        <v>-466.99999999998454</v>
      </c>
      <c r="AG130" s="22">
        <f t="shared" si="29"/>
        <v>-9.8798132355648605E-4</v>
      </c>
    </row>
    <row r="131" spans="1:35" x14ac:dyDescent="0.3">
      <c r="A131" s="8">
        <v>44805</v>
      </c>
      <c r="B131" s="12">
        <v>6229.7420000000002</v>
      </c>
      <c r="C131" s="13">
        <v>3374.973</v>
      </c>
      <c r="D131" s="14">
        <v>471.274</v>
      </c>
      <c r="E131" s="14">
        <v>391.93</v>
      </c>
      <c r="F131" s="14">
        <v>1879.5550000000001</v>
      </c>
      <c r="G131" s="14">
        <v>559.03300000000002</v>
      </c>
      <c r="H131" s="7">
        <f t="shared" si="16"/>
        <v>12906.507</v>
      </c>
      <c r="J131" s="25">
        <f t="shared" ref="J131:J150" si="30">A131</f>
        <v>44805</v>
      </c>
      <c r="K131" s="18">
        <f t="shared" si="17"/>
        <v>10075.989</v>
      </c>
      <c r="L131" s="18">
        <f t="shared" si="18"/>
        <v>6229.7420000000002</v>
      </c>
      <c r="M131" s="18">
        <f t="shared" si="19"/>
        <v>3374.973</v>
      </c>
      <c r="N131" s="18">
        <f t="shared" si="20"/>
        <v>471.274</v>
      </c>
      <c r="O131" s="19">
        <f t="shared" si="21"/>
        <v>2830.518</v>
      </c>
      <c r="P131" s="103"/>
      <c r="Q131" s="24">
        <f t="shared" si="22"/>
        <v>28221.999999999753</v>
      </c>
      <c r="R131" s="22">
        <f t="shared" si="23"/>
        <v>2.8087832848830985E-3</v>
      </c>
      <c r="V131" s="26">
        <f t="shared" si="24"/>
        <v>23621.000000000095</v>
      </c>
      <c r="W131" s="22">
        <f t="shared" si="25"/>
        <v>3.8060811253921578E-3</v>
      </c>
      <c r="AA131" s="26">
        <f t="shared" si="26"/>
        <v>5541.0000000001673</v>
      </c>
      <c r="AB131" s="22">
        <f t="shared" si="27"/>
        <v>1.6444908221919796E-3</v>
      </c>
      <c r="AF131" s="26">
        <f t="shared" si="28"/>
        <v>-939.99999999999773</v>
      </c>
      <c r="AG131" s="22">
        <f t="shared" si="29"/>
        <v>-1.9906228955516303E-3</v>
      </c>
    </row>
    <row r="132" spans="1:35" x14ac:dyDescent="0.3">
      <c r="A132" s="8">
        <v>44835</v>
      </c>
      <c r="B132" s="12">
        <v>6248.277</v>
      </c>
      <c r="C132" s="13">
        <v>3378.0329999999999</v>
      </c>
      <c r="D132" s="14">
        <v>470.25</v>
      </c>
      <c r="E132" s="14">
        <v>393.697</v>
      </c>
      <c r="F132" s="14">
        <v>1908.434</v>
      </c>
      <c r="G132" s="14">
        <v>555.51300000000003</v>
      </c>
      <c r="H132" s="7">
        <f t="shared" ref="H132:H172" si="31">+SUM(B132:G132)</f>
        <v>12954.204</v>
      </c>
      <c r="J132" s="25">
        <f t="shared" si="30"/>
        <v>44835</v>
      </c>
      <c r="K132" s="18">
        <f t="shared" ref="K132:K150" si="32">B132+C132+D132</f>
        <v>10096.56</v>
      </c>
      <c r="L132" s="18">
        <f t="shared" ref="L132:L151" si="33">B132</f>
        <v>6248.277</v>
      </c>
      <c r="M132" s="18">
        <f t="shared" ref="M132:M151" si="34">C132</f>
        <v>3378.0329999999999</v>
      </c>
      <c r="N132" s="18">
        <f t="shared" ref="N132:N151" si="35">D132</f>
        <v>470.25</v>
      </c>
      <c r="O132" s="19">
        <f t="shared" ref="O132:O151" si="36">E132+F132+G132</f>
        <v>2857.6439999999998</v>
      </c>
      <c r="P132" s="103"/>
      <c r="Q132" s="24">
        <f t="shared" si="22"/>
        <v>20570.999999999913</v>
      </c>
      <c r="R132" s="22">
        <f t="shared" si="23"/>
        <v>2.0415861906954991E-3</v>
      </c>
      <c r="V132" s="26">
        <f t="shared" si="24"/>
        <v>18534.999999999854</v>
      </c>
      <c r="W132" s="22">
        <f t="shared" si="25"/>
        <v>2.9752435975678448E-3</v>
      </c>
      <c r="AA132" s="26">
        <f t="shared" si="26"/>
        <v>3059.9999999999454</v>
      </c>
      <c r="AB132" s="22">
        <f t="shared" si="27"/>
        <v>9.0667392005805425E-4</v>
      </c>
      <c r="AF132" s="26">
        <f t="shared" si="28"/>
        <v>-1024.0000000000009</v>
      </c>
      <c r="AG132" s="22">
        <f t="shared" si="29"/>
        <v>-2.1728336381807711E-3</v>
      </c>
    </row>
    <row r="133" spans="1:35" x14ac:dyDescent="0.3">
      <c r="A133" s="8">
        <v>44866</v>
      </c>
      <c r="B133" s="12">
        <v>6264.7070000000003</v>
      </c>
      <c r="C133" s="13">
        <v>3388.1849999999999</v>
      </c>
      <c r="D133" s="14">
        <v>469.44499999999999</v>
      </c>
      <c r="E133" s="14">
        <v>396.346</v>
      </c>
      <c r="F133" s="14">
        <v>1943.2280000000001</v>
      </c>
      <c r="G133" s="14">
        <v>550.83600000000001</v>
      </c>
      <c r="H133" s="7">
        <f t="shared" si="31"/>
        <v>13012.746999999999</v>
      </c>
      <c r="J133" s="25">
        <f t="shared" si="30"/>
        <v>44866</v>
      </c>
      <c r="K133" s="18">
        <f t="shared" si="32"/>
        <v>10122.337</v>
      </c>
      <c r="L133" s="18">
        <f t="shared" si="33"/>
        <v>6264.7070000000003</v>
      </c>
      <c r="M133" s="18">
        <f t="shared" si="34"/>
        <v>3388.1849999999999</v>
      </c>
      <c r="N133" s="18">
        <f t="shared" si="35"/>
        <v>469.44499999999999</v>
      </c>
      <c r="O133" s="19">
        <f t="shared" si="36"/>
        <v>2890.41</v>
      </c>
      <c r="P133" s="103"/>
      <c r="Q133" s="24">
        <f t="shared" ref="Q133:Q150" si="37">(K133-K132)*1000</f>
        <v>25777.000000000044</v>
      </c>
      <c r="R133" s="22">
        <f t="shared" ref="R133:R151" si="38">K133/K132-1</f>
        <v>2.553047770725847E-3</v>
      </c>
      <c r="V133" s="26">
        <f t="shared" ref="V133:V151" si="39">(L133-L132)*1000</f>
        <v>16430.000000000291</v>
      </c>
      <c r="W133" s="22">
        <f t="shared" ref="W133:W151" si="40">L133/L132-1</f>
        <v>2.629524907426628E-3</v>
      </c>
      <c r="AA133" s="26">
        <f t="shared" ref="AA133:AA151" si="41">(M133-M132)*1000</f>
        <v>10152.000000000044</v>
      </c>
      <c r="AB133" s="22">
        <f t="shared" ref="AB133:AB151" si="42">M133/M132-1</f>
        <v>3.005299237751613E-3</v>
      </c>
      <c r="AF133" s="26">
        <f t="shared" ref="AF133:AF160" si="43">(N133-N132)*1000</f>
        <v>-805.00000000000682</v>
      </c>
      <c r="AG133" s="22">
        <f t="shared" ref="AG133:AG160" si="44">N133/N132-1</f>
        <v>-1.7118553960658867E-3</v>
      </c>
    </row>
    <row r="134" spans="1:35" x14ac:dyDescent="0.3">
      <c r="A134" s="8">
        <v>44896</v>
      </c>
      <c r="B134" s="12">
        <v>6276.2430000000004</v>
      </c>
      <c r="C134" s="13">
        <v>3387.8510000000001</v>
      </c>
      <c r="D134" s="14">
        <v>468.94400000000002</v>
      </c>
      <c r="E134" s="14">
        <v>398.00099999999998</v>
      </c>
      <c r="F134" s="14">
        <v>1895.8430000000001</v>
      </c>
      <c r="G134" s="14">
        <v>611.61800000000005</v>
      </c>
      <c r="H134" s="7">
        <f t="shared" si="31"/>
        <v>13038.500000000002</v>
      </c>
      <c r="J134" s="25">
        <f t="shared" si="30"/>
        <v>44896</v>
      </c>
      <c r="K134" s="18">
        <f t="shared" si="32"/>
        <v>10133.038</v>
      </c>
      <c r="L134" s="18">
        <f t="shared" si="33"/>
        <v>6276.2430000000004</v>
      </c>
      <c r="M134" s="18">
        <f t="shared" si="34"/>
        <v>3387.8510000000001</v>
      </c>
      <c r="N134" s="18">
        <f t="shared" si="35"/>
        <v>468.94400000000002</v>
      </c>
      <c r="O134" s="19">
        <f t="shared" si="36"/>
        <v>2905.462</v>
      </c>
      <c r="P134" s="103"/>
      <c r="Q134" s="24">
        <f t="shared" si="37"/>
        <v>10701.000000000931</v>
      </c>
      <c r="R134" s="22">
        <f t="shared" si="38"/>
        <v>1.0571669368448777E-3</v>
      </c>
      <c r="V134" s="26">
        <f t="shared" si="39"/>
        <v>11536.000000000058</v>
      </c>
      <c r="W134" s="22">
        <f t="shared" si="40"/>
        <v>1.8414269015294416E-3</v>
      </c>
      <c r="AA134" s="26">
        <f t="shared" si="41"/>
        <v>-333.99999999983265</v>
      </c>
      <c r="AB134" s="22">
        <f t="shared" si="42"/>
        <v>-9.8577852153836076E-5</v>
      </c>
      <c r="AF134" s="26">
        <f t="shared" si="43"/>
        <v>-500.99999999997635</v>
      </c>
      <c r="AG134" s="22">
        <f t="shared" si="44"/>
        <v>-1.0672176719317417E-3</v>
      </c>
    </row>
    <row r="135" spans="1:35" x14ac:dyDescent="0.3">
      <c r="A135" s="8">
        <v>44927</v>
      </c>
      <c r="B135" s="12">
        <v>6298.7619999999997</v>
      </c>
      <c r="C135" s="13">
        <v>3399.8629999999998</v>
      </c>
      <c r="D135" s="14">
        <v>468.488</v>
      </c>
      <c r="E135" s="14">
        <v>400.07299999999998</v>
      </c>
      <c r="F135" s="14">
        <v>1910.5219999999999</v>
      </c>
      <c r="G135" s="14">
        <v>608.59799999999996</v>
      </c>
      <c r="H135" s="7">
        <f t="shared" si="31"/>
        <v>13086.305999999999</v>
      </c>
      <c r="J135" s="25">
        <f t="shared" si="30"/>
        <v>44927</v>
      </c>
      <c r="K135" s="18">
        <f t="shared" si="32"/>
        <v>10167.112999999999</v>
      </c>
      <c r="L135" s="18">
        <f t="shared" si="33"/>
        <v>6298.7619999999997</v>
      </c>
      <c r="M135" s="18">
        <f t="shared" si="34"/>
        <v>3399.8629999999998</v>
      </c>
      <c r="N135" s="18">
        <f t="shared" si="35"/>
        <v>468.488</v>
      </c>
      <c r="O135" s="19">
        <f t="shared" si="36"/>
        <v>2919.1929999999998</v>
      </c>
      <c r="P135" s="103"/>
      <c r="Q135" s="24">
        <f t="shared" si="37"/>
        <v>34074.999999998909</v>
      </c>
      <c r="R135" s="22">
        <f t="shared" si="38"/>
        <v>3.3627624805117051E-3</v>
      </c>
      <c r="V135" s="26">
        <f t="shared" si="39"/>
        <v>22518.999999999323</v>
      </c>
      <c r="W135" s="22">
        <f t="shared" si="40"/>
        <v>3.5879745255240625E-3</v>
      </c>
      <c r="AA135" s="26">
        <f t="shared" si="41"/>
        <v>12011.999999999716</v>
      </c>
      <c r="AB135" s="22">
        <f t="shared" si="42"/>
        <v>3.5456104769659991E-3</v>
      </c>
      <c r="AF135" s="26">
        <f t="shared" si="43"/>
        <v>-456.00000000001728</v>
      </c>
      <c r="AG135" s="22">
        <f t="shared" si="44"/>
        <v>-9.7239755706446385E-4</v>
      </c>
    </row>
    <row r="136" spans="1:35" x14ac:dyDescent="0.3">
      <c r="A136" s="8">
        <v>44958</v>
      </c>
      <c r="B136" s="12">
        <v>6313.0249999999996</v>
      </c>
      <c r="C136" s="13">
        <v>3411.7339999999999</v>
      </c>
      <c r="D136" s="14">
        <v>467.96</v>
      </c>
      <c r="E136" s="14">
        <v>400.02</v>
      </c>
      <c r="F136" s="14">
        <v>1920.933</v>
      </c>
      <c r="G136" s="14">
        <v>603.94000000000005</v>
      </c>
      <c r="H136" s="7">
        <f t="shared" si="31"/>
        <v>13117.611999999999</v>
      </c>
      <c r="J136" s="25">
        <f t="shared" si="30"/>
        <v>44958</v>
      </c>
      <c r="K136" s="18">
        <f t="shared" si="32"/>
        <v>10192.718999999999</v>
      </c>
      <c r="L136" s="18">
        <f t="shared" si="33"/>
        <v>6313.0249999999996</v>
      </c>
      <c r="M136" s="18">
        <f t="shared" si="34"/>
        <v>3411.7339999999999</v>
      </c>
      <c r="N136" s="18">
        <f t="shared" si="35"/>
        <v>467.96</v>
      </c>
      <c r="O136" s="19">
        <f t="shared" si="36"/>
        <v>2924.893</v>
      </c>
      <c r="P136" s="103"/>
      <c r="Q136" s="24">
        <f t="shared" si="37"/>
        <v>25605.999999999767</v>
      </c>
      <c r="R136" s="22">
        <f t="shared" si="38"/>
        <v>2.5185123839972512E-3</v>
      </c>
      <c r="V136" s="26">
        <f t="shared" si="39"/>
        <v>14262.99999999992</v>
      </c>
      <c r="W136" s="22">
        <f t="shared" si="40"/>
        <v>2.2644132291393948E-3</v>
      </c>
      <c r="AA136" s="26">
        <f t="shared" si="41"/>
        <v>11871.000000000095</v>
      </c>
      <c r="AB136" s="22">
        <f t="shared" si="42"/>
        <v>3.4916112796310461E-3</v>
      </c>
      <c r="AF136" s="26">
        <f t="shared" si="43"/>
        <v>-528.00000000002001</v>
      </c>
      <c r="AG136" s="22">
        <f t="shared" si="44"/>
        <v>-1.1270299345981227E-3</v>
      </c>
    </row>
    <row r="137" spans="1:35" x14ac:dyDescent="0.3">
      <c r="A137" s="8">
        <v>44986</v>
      </c>
      <c r="B137" s="12">
        <v>6335.7870000000003</v>
      </c>
      <c r="C137" s="13">
        <v>3418.2979999999998</v>
      </c>
      <c r="D137" s="14">
        <v>467.60199999999998</v>
      </c>
      <c r="E137" s="14">
        <v>398.52300000000002</v>
      </c>
      <c r="F137" s="14">
        <v>1920.4059999999999</v>
      </c>
      <c r="G137" s="14">
        <v>602.11699999999996</v>
      </c>
      <c r="H137" s="7">
        <f t="shared" si="31"/>
        <v>13142.732999999998</v>
      </c>
      <c r="J137" s="25">
        <f t="shared" si="30"/>
        <v>44986</v>
      </c>
      <c r="K137" s="18">
        <f t="shared" si="32"/>
        <v>10221.687</v>
      </c>
      <c r="L137" s="18">
        <f t="shared" si="33"/>
        <v>6335.7870000000003</v>
      </c>
      <c r="M137" s="18">
        <f t="shared" si="34"/>
        <v>3418.2979999999998</v>
      </c>
      <c r="N137" s="18">
        <f t="shared" si="35"/>
        <v>467.60199999999998</v>
      </c>
      <c r="O137" s="19">
        <f t="shared" si="36"/>
        <v>2921.0460000000003</v>
      </c>
      <c r="P137" s="103"/>
      <c r="Q137" s="24">
        <f t="shared" si="37"/>
        <v>28968.000000000757</v>
      </c>
      <c r="R137" s="22">
        <f t="shared" si="38"/>
        <v>2.842028706962374E-3</v>
      </c>
      <c r="V137" s="26">
        <f t="shared" si="39"/>
        <v>22762.000000000626</v>
      </c>
      <c r="W137" s="22">
        <f t="shared" si="40"/>
        <v>3.6055615176560085E-3</v>
      </c>
      <c r="AA137" s="26">
        <f t="shared" si="41"/>
        <v>6563.9999999998508</v>
      </c>
      <c r="AB137" s="22">
        <f t="shared" si="42"/>
        <v>1.9239483500179677E-3</v>
      </c>
      <c r="AF137" s="26">
        <f t="shared" si="43"/>
        <v>-358.00000000000409</v>
      </c>
      <c r="AG137" s="22">
        <f t="shared" si="44"/>
        <v>-7.6502265150868443E-4</v>
      </c>
    </row>
    <row r="138" spans="1:35" x14ac:dyDescent="0.3">
      <c r="A138" s="8">
        <v>45017</v>
      </c>
      <c r="B138" s="12">
        <v>6351.3119999999999</v>
      </c>
      <c r="C138" s="13">
        <v>3428.8789999999999</v>
      </c>
      <c r="D138" s="14">
        <v>468.512</v>
      </c>
      <c r="E138" s="14">
        <v>401.57600000000002</v>
      </c>
      <c r="F138" s="14">
        <v>1926.3810000000001</v>
      </c>
      <c r="G138" s="14">
        <v>602.71600000000001</v>
      </c>
      <c r="H138" s="7">
        <f t="shared" si="31"/>
        <v>13179.375999999998</v>
      </c>
      <c r="J138" s="25">
        <f t="shared" si="30"/>
        <v>45017</v>
      </c>
      <c r="K138" s="18">
        <f t="shared" si="32"/>
        <v>10248.703</v>
      </c>
      <c r="L138" s="18">
        <f t="shared" si="33"/>
        <v>6351.3119999999999</v>
      </c>
      <c r="M138" s="18">
        <f t="shared" si="34"/>
        <v>3428.8789999999999</v>
      </c>
      <c r="N138" s="18">
        <f t="shared" si="35"/>
        <v>468.512</v>
      </c>
      <c r="O138" s="19">
        <f t="shared" si="36"/>
        <v>2930.6730000000002</v>
      </c>
      <c r="P138" s="103"/>
      <c r="Q138" s="24">
        <f t="shared" si="37"/>
        <v>27015.999999999622</v>
      </c>
      <c r="R138" s="22">
        <f t="shared" si="38"/>
        <v>2.6430079496662096E-3</v>
      </c>
      <c r="V138" s="26">
        <f t="shared" si="39"/>
        <v>15524.999999999636</v>
      </c>
      <c r="W138" s="22">
        <f t="shared" si="40"/>
        <v>2.450366465918119E-3</v>
      </c>
      <c r="AA138" s="26">
        <f t="shared" si="41"/>
        <v>10581.000000000131</v>
      </c>
      <c r="AB138" s="22">
        <f t="shared" si="42"/>
        <v>3.0954001084750882E-3</v>
      </c>
      <c r="AF138" s="26">
        <f t="shared" si="43"/>
        <v>910.00000000002501</v>
      </c>
      <c r="AG138" s="22">
        <f t="shared" si="44"/>
        <v>1.946099460652384E-3</v>
      </c>
    </row>
    <row r="139" spans="1:35" x14ac:dyDescent="0.3">
      <c r="A139" s="8">
        <v>45047</v>
      </c>
      <c r="B139" s="12">
        <v>6368.4849999999997</v>
      </c>
      <c r="C139" s="13">
        <v>3442.7930000000001</v>
      </c>
      <c r="D139" s="14">
        <v>468.33</v>
      </c>
      <c r="E139" s="14">
        <v>402.95600000000002</v>
      </c>
      <c r="F139" s="14">
        <v>1967.51</v>
      </c>
      <c r="G139" s="14">
        <v>597.92200000000003</v>
      </c>
      <c r="H139" s="7">
        <f t="shared" si="31"/>
        <v>13247.996000000001</v>
      </c>
      <c r="J139" s="25">
        <f t="shared" si="30"/>
        <v>45047</v>
      </c>
      <c r="K139" s="18">
        <f t="shared" si="32"/>
        <v>10279.608</v>
      </c>
      <c r="L139" s="18">
        <f t="shared" si="33"/>
        <v>6368.4849999999997</v>
      </c>
      <c r="M139" s="18">
        <f t="shared" si="34"/>
        <v>3442.7930000000001</v>
      </c>
      <c r="N139" s="18">
        <f t="shared" si="35"/>
        <v>468.33</v>
      </c>
      <c r="O139" s="19">
        <f t="shared" si="36"/>
        <v>2968.3879999999999</v>
      </c>
      <c r="P139" s="103"/>
      <c r="Q139" s="24">
        <f t="shared" si="37"/>
        <v>30905.000000000655</v>
      </c>
      <c r="R139" s="22">
        <f t="shared" si="38"/>
        <v>3.0155035227386051E-3</v>
      </c>
      <c r="V139" s="26">
        <f t="shared" si="39"/>
        <v>17172.999999999774</v>
      </c>
      <c r="W139" s="22">
        <f t="shared" si="40"/>
        <v>2.7038507949224133E-3</v>
      </c>
      <c r="AA139" s="26">
        <f t="shared" si="41"/>
        <v>13914.000000000215</v>
      </c>
      <c r="AB139" s="22">
        <f t="shared" si="42"/>
        <v>4.0578859738125139E-3</v>
      </c>
      <c r="AF139" s="26">
        <f t="shared" si="43"/>
        <v>-182.00000000001637</v>
      </c>
      <c r="AG139" s="22">
        <f t="shared" si="44"/>
        <v>-3.8846390273894471E-4</v>
      </c>
    </row>
    <row r="140" spans="1:35" x14ac:dyDescent="0.3">
      <c r="A140" s="8">
        <v>45078</v>
      </c>
      <c r="B140" s="12">
        <v>6386.0619999999999</v>
      </c>
      <c r="C140" s="13">
        <v>3450.9380000000001</v>
      </c>
      <c r="D140" s="14">
        <v>467.84800000000001</v>
      </c>
      <c r="E140" s="14">
        <v>404.60599999999999</v>
      </c>
      <c r="F140" s="14">
        <v>1987.6010000000001</v>
      </c>
      <c r="G140" s="14">
        <v>592.52</v>
      </c>
      <c r="H140" s="7">
        <f t="shared" si="31"/>
        <v>13289.575000000001</v>
      </c>
      <c r="J140" s="25">
        <f t="shared" si="30"/>
        <v>45078</v>
      </c>
      <c r="K140" s="18">
        <f t="shared" si="32"/>
        <v>10304.848</v>
      </c>
      <c r="L140" s="18">
        <f t="shared" si="33"/>
        <v>6386.0619999999999</v>
      </c>
      <c r="M140" s="18">
        <f t="shared" si="34"/>
        <v>3450.9380000000001</v>
      </c>
      <c r="N140" s="18">
        <f t="shared" si="35"/>
        <v>467.84800000000001</v>
      </c>
      <c r="O140" s="19">
        <f t="shared" si="36"/>
        <v>2984.7270000000003</v>
      </c>
      <c r="P140" s="103"/>
      <c r="Q140" s="24">
        <f t="shared" si="37"/>
        <v>25239.999999999782</v>
      </c>
      <c r="R140" s="22">
        <f t="shared" si="38"/>
        <v>2.4553465462884283E-3</v>
      </c>
      <c r="V140" s="26">
        <f t="shared" si="39"/>
        <v>17577.000000000226</v>
      </c>
      <c r="W140" s="22">
        <f t="shared" si="40"/>
        <v>2.7599970793681372E-3</v>
      </c>
      <c r="AA140" s="26">
        <f t="shared" si="41"/>
        <v>8144.9999999999818</v>
      </c>
      <c r="AB140" s="22">
        <f t="shared" si="42"/>
        <v>2.3658117115958888E-3</v>
      </c>
      <c r="AF140" s="26">
        <f t="shared" si="43"/>
        <v>-481.9999999999709</v>
      </c>
      <c r="AG140" s="22">
        <f t="shared" si="44"/>
        <v>-1.0291888198491472E-3</v>
      </c>
    </row>
    <row r="141" spans="1:35" x14ac:dyDescent="0.3">
      <c r="A141" s="8">
        <v>45108</v>
      </c>
      <c r="B141" s="12">
        <v>6404.8130000000001</v>
      </c>
      <c r="C141" s="13">
        <v>3458.1990000000001</v>
      </c>
      <c r="D141" s="14">
        <v>467.96199999999999</v>
      </c>
      <c r="E141" s="14">
        <v>407.32400000000001</v>
      </c>
      <c r="F141" s="14">
        <v>1984.376</v>
      </c>
      <c r="G141" s="14">
        <v>612.02800000000002</v>
      </c>
      <c r="H141" s="7">
        <f t="shared" si="31"/>
        <v>13334.702000000001</v>
      </c>
      <c r="J141" s="25">
        <f t="shared" si="30"/>
        <v>45108</v>
      </c>
      <c r="K141" s="18">
        <f t="shared" si="32"/>
        <v>10330.974</v>
      </c>
      <c r="L141" s="18">
        <f t="shared" si="33"/>
        <v>6404.8130000000001</v>
      </c>
      <c r="M141" s="18">
        <f t="shared" si="34"/>
        <v>3458.1990000000001</v>
      </c>
      <c r="N141" s="18">
        <f t="shared" si="35"/>
        <v>467.96199999999999</v>
      </c>
      <c r="O141" s="19">
        <f t="shared" si="36"/>
        <v>3003.7280000000001</v>
      </c>
      <c r="P141" s="103"/>
      <c r="Q141" s="24">
        <f t="shared" si="37"/>
        <v>26126.000000000204</v>
      </c>
      <c r="R141" s="22">
        <f t="shared" si="38"/>
        <v>2.5353115349202593E-3</v>
      </c>
      <c r="V141" s="26">
        <f t="shared" si="39"/>
        <v>18751.000000000204</v>
      </c>
      <c r="W141" s="22">
        <f t="shared" si="40"/>
        <v>2.9362383265305603E-3</v>
      </c>
      <c r="AA141" s="26">
        <f t="shared" si="41"/>
        <v>7260.9999999999673</v>
      </c>
      <c r="AB141" s="22">
        <f t="shared" si="42"/>
        <v>2.1040656192605756E-3</v>
      </c>
      <c r="AF141" s="26">
        <f t="shared" si="43"/>
        <v>113.9999999999759</v>
      </c>
      <c r="AG141" s="22">
        <f t="shared" si="44"/>
        <v>2.4366888391091912E-4</v>
      </c>
    </row>
    <row r="142" spans="1:35" x14ac:dyDescent="0.3">
      <c r="A142" s="8">
        <v>45139</v>
      </c>
      <c r="B142" s="12">
        <v>6408.1360000000004</v>
      </c>
      <c r="C142" s="13">
        <v>3467.835</v>
      </c>
      <c r="D142" s="14">
        <v>467.774</v>
      </c>
      <c r="E142" s="14">
        <v>409.26600000000002</v>
      </c>
      <c r="F142" s="14">
        <v>2017.037</v>
      </c>
      <c r="G142" s="14">
        <v>594.98500000000001</v>
      </c>
      <c r="H142" s="7">
        <f t="shared" si="31"/>
        <v>13365.033000000001</v>
      </c>
      <c r="J142" s="25">
        <f t="shared" si="30"/>
        <v>45139</v>
      </c>
      <c r="K142" s="18">
        <f t="shared" si="32"/>
        <v>10343.745000000001</v>
      </c>
      <c r="L142" s="18">
        <f t="shared" si="33"/>
        <v>6408.1360000000004</v>
      </c>
      <c r="M142" s="18">
        <f t="shared" si="34"/>
        <v>3467.835</v>
      </c>
      <c r="N142" s="18">
        <f t="shared" si="35"/>
        <v>467.774</v>
      </c>
      <c r="O142" s="19">
        <f t="shared" si="36"/>
        <v>3021.288</v>
      </c>
      <c r="P142" s="103"/>
      <c r="Q142" s="24">
        <f t="shared" si="37"/>
        <v>12771.00000000064</v>
      </c>
      <c r="R142" s="22">
        <f t="shared" si="38"/>
        <v>1.2361854748643708E-3</v>
      </c>
      <c r="S142" s="24">
        <f>(K142-$K$142)*1000</f>
        <v>0</v>
      </c>
      <c r="T142" s="22">
        <f>K142/$K$142-1</f>
        <v>0</v>
      </c>
      <c r="V142" s="26">
        <f t="shared" si="39"/>
        <v>3323.0000000003201</v>
      </c>
      <c r="W142" s="22">
        <f t="shared" si="40"/>
        <v>5.1882857469842669E-4</v>
      </c>
      <c r="X142" s="26">
        <f>(L142-$L$142)*1000</f>
        <v>0</v>
      </c>
      <c r="Y142" s="22">
        <f>L142/$L$142-1</f>
        <v>0</v>
      </c>
      <c r="AA142" s="26">
        <f t="shared" si="41"/>
        <v>9635.9999999999673</v>
      </c>
      <c r="AB142" s="22">
        <f t="shared" si="42"/>
        <v>2.7864214870225723E-3</v>
      </c>
      <c r="AF142" s="26">
        <f t="shared" si="43"/>
        <v>-187.99999999998818</v>
      </c>
      <c r="AG142" s="22">
        <f t="shared" si="44"/>
        <v>-4.0174202178810958E-4</v>
      </c>
    </row>
    <row r="143" spans="1:35" x14ac:dyDescent="0.3">
      <c r="A143" s="8">
        <v>45170</v>
      </c>
      <c r="B143" s="12">
        <v>6393.259</v>
      </c>
      <c r="C143" s="13">
        <v>3466.33</v>
      </c>
      <c r="D143" s="14">
        <v>468.05599999999998</v>
      </c>
      <c r="E143" s="14">
        <v>410.947</v>
      </c>
      <c r="F143" s="14">
        <v>2010.057</v>
      </c>
      <c r="G143" s="14">
        <v>623.27099999999996</v>
      </c>
      <c r="H143" s="7">
        <f t="shared" si="31"/>
        <v>13371.920000000002</v>
      </c>
      <c r="J143" s="25">
        <f t="shared" si="30"/>
        <v>45170</v>
      </c>
      <c r="K143" s="18">
        <f t="shared" si="32"/>
        <v>10327.645</v>
      </c>
      <c r="L143" s="18">
        <f t="shared" si="33"/>
        <v>6393.259</v>
      </c>
      <c r="M143" s="18">
        <f t="shared" si="34"/>
        <v>3466.33</v>
      </c>
      <c r="N143" s="18">
        <f t="shared" si="35"/>
        <v>468.05599999999998</v>
      </c>
      <c r="O143" s="19">
        <f t="shared" si="36"/>
        <v>3044.2749999999996</v>
      </c>
      <c r="P143" s="103"/>
      <c r="Q143" s="24">
        <f t="shared" si="37"/>
        <v>-16100.000000000364</v>
      </c>
      <c r="R143" s="22">
        <f t="shared" si="38"/>
        <v>-1.5564962206628952E-3</v>
      </c>
      <c r="S143" s="24">
        <f t="shared" ref="S143:S155" si="45">(K143-$K$142)*1000</f>
        <v>-16100.000000000364</v>
      </c>
      <c r="T143" s="22">
        <f t="shared" ref="T143:T155" si="46">K143/$K$142-1</f>
        <v>-1.5564962206628952E-3</v>
      </c>
      <c r="V143" s="26">
        <f t="shared" si="39"/>
        <v>-14877.000000000407</v>
      </c>
      <c r="W143" s="22">
        <f t="shared" si="40"/>
        <v>-2.3215799414993965E-3</v>
      </c>
      <c r="X143" s="26">
        <f>(L143-$L$142)*1000</f>
        <v>-14877.000000000407</v>
      </c>
      <c r="Y143" s="22">
        <f>L143/$L$142-1</f>
        <v>-2.3215799414993965E-3</v>
      </c>
      <c r="AA143" s="26">
        <f t="shared" si="41"/>
        <v>-1505.0000000001091</v>
      </c>
      <c r="AB143" s="22">
        <f t="shared" si="42"/>
        <v>-4.339883529638211E-4</v>
      </c>
      <c r="AF143" s="26">
        <f t="shared" si="43"/>
        <v>281.99999999998226</v>
      </c>
      <c r="AG143" s="22">
        <f t="shared" si="44"/>
        <v>6.0285522495906463E-4</v>
      </c>
    </row>
    <row r="144" spans="1:35" x14ac:dyDescent="0.3">
      <c r="A144" s="8">
        <v>45200</v>
      </c>
      <c r="B144" s="12">
        <v>6380.8310000000001</v>
      </c>
      <c r="C144" s="13">
        <v>3467.9479999999999</v>
      </c>
      <c r="D144" s="14">
        <v>466.505</v>
      </c>
      <c r="E144" s="14">
        <v>410.553</v>
      </c>
      <c r="F144" s="14">
        <v>2042.4469999999999</v>
      </c>
      <c r="G144" s="14">
        <v>605.91499999999996</v>
      </c>
      <c r="H144" s="7">
        <f t="shared" si="31"/>
        <v>13374.199000000001</v>
      </c>
      <c r="J144" s="25">
        <f t="shared" si="30"/>
        <v>45200</v>
      </c>
      <c r="K144" s="18">
        <f t="shared" si="32"/>
        <v>10315.284</v>
      </c>
      <c r="L144" s="18">
        <f t="shared" si="33"/>
        <v>6380.8310000000001</v>
      </c>
      <c r="M144" s="18">
        <f>C144</f>
        <v>3467.9479999999999</v>
      </c>
      <c r="N144" s="18">
        <f t="shared" si="35"/>
        <v>466.505</v>
      </c>
      <c r="O144" s="19">
        <f t="shared" si="36"/>
        <v>3058.915</v>
      </c>
      <c r="P144" s="103"/>
      <c r="Q144" s="24">
        <f t="shared" si="37"/>
        <v>-12361.000000000786</v>
      </c>
      <c r="R144" s="22">
        <f t="shared" si="38"/>
        <v>-1.1968846721591708E-3</v>
      </c>
      <c r="S144" s="24">
        <f t="shared" si="45"/>
        <v>-28461.00000000115</v>
      </c>
      <c r="T144" s="22">
        <f t="shared" si="46"/>
        <v>-2.7515179463531991E-3</v>
      </c>
      <c r="V144" s="26">
        <f t="shared" si="39"/>
        <v>-12427.999999999884</v>
      </c>
      <c r="W144" s="22">
        <f t="shared" si="40"/>
        <v>-1.9439224971176117E-3</v>
      </c>
      <c r="X144" s="26">
        <f t="shared" ref="X144:X151" si="47">(L144-$L$142)*1000</f>
        <v>-27305.000000000291</v>
      </c>
      <c r="Y144" s="22">
        <f t="shared" ref="Y144:Y151" si="48">L144/$L$142-1</f>
        <v>-4.2609894671399307E-3</v>
      </c>
      <c r="AA144" s="26">
        <f>(M144-M143)*1000</f>
        <v>1617.9999999999382</v>
      </c>
      <c r="AB144" s="22">
        <f t="shared" si="42"/>
        <v>4.6677610037115791E-4</v>
      </c>
      <c r="AC144" s="26"/>
      <c r="AD144" s="22"/>
      <c r="AF144" s="26">
        <f t="shared" si="43"/>
        <v>-1550.9999999999877</v>
      </c>
      <c r="AG144" s="22">
        <f t="shared" si="44"/>
        <v>-3.3137060522672179E-3</v>
      </c>
      <c r="AH144" s="26"/>
      <c r="AI144" s="22"/>
    </row>
    <row r="145" spans="1:35" x14ac:dyDescent="0.3">
      <c r="A145" s="8">
        <v>45231</v>
      </c>
      <c r="B145" s="12">
        <v>6372.6970000000001</v>
      </c>
      <c r="C145" s="13">
        <v>3467.3739999999998</v>
      </c>
      <c r="D145" s="14">
        <v>464.279</v>
      </c>
      <c r="E145" s="14">
        <v>388.327</v>
      </c>
      <c r="F145" s="14">
        <v>2037.7619999999999</v>
      </c>
      <c r="G145" s="14">
        <v>634.72</v>
      </c>
      <c r="H145" s="7">
        <f t="shared" si="31"/>
        <v>13365.159</v>
      </c>
      <c r="J145" s="25">
        <f t="shared" si="30"/>
        <v>45231</v>
      </c>
      <c r="K145" s="18">
        <f t="shared" si="32"/>
        <v>10304.35</v>
      </c>
      <c r="L145" s="18">
        <f t="shared" si="33"/>
        <v>6372.6970000000001</v>
      </c>
      <c r="M145" s="18">
        <f t="shared" si="34"/>
        <v>3467.3739999999998</v>
      </c>
      <c r="N145" s="18">
        <f t="shared" si="35"/>
        <v>464.279</v>
      </c>
      <c r="O145" s="19">
        <f t="shared" si="36"/>
        <v>3060.8090000000002</v>
      </c>
      <c r="P145" s="103"/>
      <c r="Q145" s="24">
        <f t="shared" si="37"/>
        <v>-10933.999999999287</v>
      </c>
      <c r="R145" s="22">
        <f t="shared" si="38"/>
        <v>-1.0599805104735127E-3</v>
      </c>
      <c r="S145" s="24">
        <f t="shared" si="45"/>
        <v>-39395.000000000437</v>
      </c>
      <c r="T145" s="22">
        <f t="shared" si="46"/>
        <v>-3.8085819014294087E-3</v>
      </c>
      <c r="V145" s="26">
        <f t="shared" si="39"/>
        <v>-8134.0000000000146</v>
      </c>
      <c r="W145" s="22">
        <f t="shared" si="40"/>
        <v>-1.2747555921791554E-3</v>
      </c>
      <c r="X145" s="26">
        <f t="shared" si="47"/>
        <v>-35439.000000000306</v>
      </c>
      <c r="Y145" s="22">
        <f t="shared" si="48"/>
        <v>-5.5303133391676473E-3</v>
      </c>
      <c r="AA145" s="26">
        <f t="shared" si="41"/>
        <v>-574.00000000006912</v>
      </c>
      <c r="AB145" s="22">
        <f t="shared" si="42"/>
        <v>-1.6551574591083806E-4</v>
      </c>
      <c r="AC145" s="26"/>
      <c r="AD145" s="22"/>
      <c r="AF145" s="26">
        <f t="shared" si="43"/>
        <v>-2225.9999999999991</v>
      </c>
      <c r="AG145" s="22">
        <f t="shared" si="44"/>
        <v>-4.7716530369449339E-3</v>
      </c>
      <c r="AH145" s="26">
        <f t="shared" ref="AH145:AH174" si="49">(N145-$N$177)*1000</f>
        <v>-35964</v>
      </c>
      <c r="AI145" s="22"/>
    </row>
    <row r="146" spans="1:35" x14ac:dyDescent="0.3">
      <c r="A146" s="8">
        <v>45261</v>
      </c>
      <c r="B146" s="12">
        <v>6361.3180000000002</v>
      </c>
      <c r="C146" s="98">
        <v>3474.4609999999998</v>
      </c>
      <c r="D146" s="14">
        <v>462.01</v>
      </c>
      <c r="E146" s="14">
        <v>383.69200000000001</v>
      </c>
      <c r="F146" s="14">
        <v>2044.8140000000001</v>
      </c>
      <c r="G146" s="14">
        <v>637.40599999999995</v>
      </c>
      <c r="H146" s="7">
        <f t="shared" si="31"/>
        <v>13363.701000000001</v>
      </c>
      <c r="J146" s="25">
        <f t="shared" si="30"/>
        <v>45261</v>
      </c>
      <c r="K146" s="18">
        <f t="shared" si="32"/>
        <v>10297.789000000001</v>
      </c>
      <c r="L146" s="18">
        <f t="shared" si="33"/>
        <v>6361.3180000000002</v>
      </c>
      <c r="M146" s="18">
        <f t="shared" si="34"/>
        <v>3474.4609999999998</v>
      </c>
      <c r="N146" s="18">
        <f t="shared" si="35"/>
        <v>462.01</v>
      </c>
      <c r="O146" s="19">
        <f t="shared" si="36"/>
        <v>3065.9120000000003</v>
      </c>
      <c r="P146" s="103"/>
      <c r="Q146" s="24">
        <f t="shared" si="37"/>
        <v>-6560.9999999996944</v>
      </c>
      <c r="R146" s="22">
        <f t="shared" si="38"/>
        <v>-6.3672138465786787E-4</v>
      </c>
      <c r="S146" s="24">
        <f t="shared" si="45"/>
        <v>-45956.000000000131</v>
      </c>
      <c r="T146" s="22">
        <f t="shared" si="46"/>
        <v>-4.4428782805454592E-3</v>
      </c>
      <c r="V146" s="26">
        <f t="shared" si="39"/>
        <v>-11378.999999999905</v>
      </c>
      <c r="W146" s="22">
        <f t="shared" si="40"/>
        <v>-1.7855862282484258E-3</v>
      </c>
      <c r="X146" s="26">
        <f t="shared" si="47"/>
        <v>-46818.000000000211</v>
      </c>
      <c r="Y146" s="22">
        <f t="shared" si="48"/>
        <v>-7.3060247160796621E-3</v>
      </c>
      <c r="AA146" s="26">
        <f t="shared" si="41"/>
        <v>7086.9999999999891</v>
      </c>
      <c r="AB146" s="22">
        <f t="shared" si="42"/>
        <v>2.0439098868481054E-3</v>
      </c>
      <c r="AC146" s="26">
        <f>(M146-$M$146)*1000</f>
        <v>0</v>
      </c>
      <c r="AD146" s="22">
        <f>M146/$M$146-1</f>
        <v>0</v>
      </c>
      <c r="AF146" s="26">
        <f t="shared" si="43"/>
        <v>-2269.0000000000055</v>
      </c>
      <c r="AG146" s="22">
        <f t="shared" si="44"/>
        <v>-4.8871475987498636E-3</v>
      </c>
      <c r="AH146" s="26">
        <f t="shared" si="49"/>
        <v>-38233.000000000007</v>
      </c>
      <c r="AI146" s="22">
        <f t="shared" ref="AI146:AI174" si="50">N146/$N$177-1</f>
        <v>-7.6428855576189947E-2</v>
      </c>
    </row>
    <row r="147" spans="1:35" x14ac:dyDescent="0.3">
      <c r="A147" s="8">
        <v>45292</v>
      </c>
      <c r="B147" s="12">
        <v>6326.652</v>
      </c>
      <c r="C147" s="13">
        <v>3443.415</v>
      </c>
      <c r="D147" s="14">
        <v>459.71899999999999</v>
      </c>
      <c r="E147" s="14">
        <v>384.52199999999999</v>
      </c>
      <c r="F147" s="14">
        <v>2064.337</v>
      </c>
      <c r="G147" s="14">
        <v>648.30200000000002</v>
      </c>
      <c r="H147" s="7">
        <f t="shared" si="31"/>
        <v>13326.946999999998</v>
      </c>
      <c r="J147" s="25">
        <f t="shared" si="30"/>
        <v>45292</v>
      </c>
      <c r="K147" s="18">
        <f>B147+C147+D147</f>
        <v>10229.785999999998</v>
      </c>
      <c r="L147" s="18">
        <f t="shared" si="33"/>
        <v>6326.652</v>
      </c>
      <c r="M147" s="18">
        <f t="shared" si="34"/>
        <v>3443.415</v>
      </c>
      <c r="N147" s="18">
        <f t="shared" si="35"/>
        <v>459.71899999999999</v>
      </c>
      <c r="O147" s="19">
        <f t="shared" si="36"/>
        <v>3097.1610000000001</v>
      </c>
      <c r="P147" s="103"/>
      <c r="Q147" s="24">
        <f t="shared" si="37"/>
        <v>-68003.00000000243</v>
      </c>
      <c r="R147" s="22">
        <f t="shared" si="38"/>
        <v>-6.6036505506184007E-3</v>
      </c>
      <c r="S147" s="24">
        <f t="shared" si="45"/>
        <v>-113959.00000000256</v>
      </c>
      <c r="T147" s="22">
        <f t="shared" si="46"/>
        <v>-1.1017189615560197E-2</v>
      </c>
      <c r="V147" s="26">
        <f t="shared" si="39"/>
        <v>-34666.000000000167</v>
      </c>
      <c r="W147" s="22">
        <f t="shared" si="40"/>
        <v>-5.4494996162745002E-3</v>
      </c>
      <c r="X147" s="26">
        <f t="shared" si="47"/>
        <v>-81484.000000000378</v>
      </c>
      <c r="Y147" s="22">
        <f t="shared" si="48"/>
        <v>-1.2715710153467508E-2</v>
      </c>
      <c r="AA147" s="26">
        <f t="shared" si="41"/>
        <v>-31045.999999999822</v>
      </c>
      <c r="AB147" s="22">
        <f t="shared" si="42"/>
        <v>-8.9354866841215852E-3</v>
      </c>
      <c r="AC147" s="26">
        <f>(M147-$M$146)*1000</f>
        <v>-31045.999999999822</v>
      </c>
      <c r="AD147" s="22">
        <f t="shared" ref="AD147:AD156" si="51">M147/$M$146-1</f>
        <v>-8.9354866841215852E-3</v>
      </c>
      <c r="AF147" s="26">
        <f t="shared" si="43"/>
        <v>-2290.9999999999968</v>
      </c>
      <c r="AG147" s="22">
        <f t="shared" si="44"/>
        <v>-4.95876712625265E-3</v>
      </c>
      <c r="AH147" s="26">
        <f t="shared" si="49"/>
        <v>-40524</v>
      </c>
      <c r="AI147" s="22">
        <f t="shared" si="50"/>
        <v>-8.1008629805914278E-2</v>
      </c>
    </row>
    <row r="148" spans="1:35" x14ac:dyDescent="0.3">
      <c r="A148" s="8">
        <v>45323</v>
      </c>
      <c r="B148" s="12">
        <v>6300.7380000000003</v>
      </c>
      <c r="C148" s="13">
        <v>3443.51</v>
      </c>
      <c r="D148" s="14">
        <v>457.52100000000002</v>
      </c>
      <c r="E148" s="14">
        <v>407.19099999999997</v>
      </c>
      <c r="F148" s="14">
        <v>2079.4650000000001</v>
      </c>
      <c r="G148" s="14">
        <v>643.78</v>
      </c>
      <c r="H148" s="7">
        <f t="shared" si="31"/>
        <v>13332.205000000002</v>
      </c>
      <c r="J148" s="25">
        <f t="shared" si="30"/>
        <v>45323</v>
      </c>
      <c r="K148" s="18">
        <f t="shared" si="32"/>
        <v>10201.769</v>
      </c>
      <c r="L148" s="18">
        <f t="shared" si="33"/>
        <v>6300.7380000000003</v>
      </c>
      <c r="M148" s="18">
        <f t="shared" si="34"/>
        <v>3443.51</v>
      </c>
      <c r="N148" s="18">
        <f t="shared" si="35"/>
        <v>457.52100000000002</v>
      </c>
      <c r="O148" s="19">
        <f t="shared" si="36"/>
        <v>3130.4359999999997</v>
      </c>
      <c r="P148" s="103"/>
      <c r="Q148" s="24">
        <f t="shared" si="37"/>
        <v>-28016.999999998006</v>
      </c>
      <c r="R148" s="22">
        <f t="shared" si="38"/>
        <v>-2.738766969318629E-3</v>
      </c>
      <c r="S148" s="24">
        <f t="shared" si="45"/>
        <v>-141976.00000000058</v>
      </c>
      <c r="T148" s="22">
        <f t="shared" si="46"/>
        <v>-1.3725783069864939E-2</v>
      </c>
      <c r="V148" s="26">
        <f t="shared" si="39"/>
        <v>-25913.99999999976</v>
      </c>
      <c r="W148" s="22">
        <f t="shared" si="40"/>
        <v>-4.0960052805180114E-3</v>
      </c>
      <c r="X148" s="26">
        <f t="shared" si="47"/>
        <v>-107398.00000000015</v>
      </c>
      <c r="Y148" s="22">
        <f t="shared" si="48"/>
        <v>-1.675963181805129E-2</v>
      </c>
      <c r="AA148" s="26">
        <f t="shared" si="41"/>
        <v>95.000000000254659</v>
      </c>
      <c r="AB148" s="22">
        <f t="shared" si="42"/>
        <v>2.7588890679774991E-5</v>
      </c>
      <c r="AC148" s="26">
        <f t="shared" ref="AC148:AC156" si="52">(M148-$M$146)*1000</f>
        <v>-30950.999999999567</v>
      </c>
      <c r="AD148" s="22">
        <f t="shared" si="51"/>
        <v>-8.9081443136070915E-3</v>
      </c>
      <c r="AF148" s="26">
        <f t="shared" si="43"/>
        <v>-2197.9999999999791</v>
      </c>
      <c r="AG148" s="22">
        <f t="shared" si="44"/>
        <v>-4.7811815478585595E-3</v>
      </c>
      <c r="AH148" s="26">
        <f t="shared" si="49"/>
        <v>-42721.999999999978</v>
      </c>
      <c r="AI148" s="22">
        <f t="shared" si="50"/>
        <v>-8.5402494387727512E-2</v>
      </c>
    </row>
    <row r="149" spans="1:35" x14ac:dyDescent="0.3">
      <c r="A149" s="8">
        <v>45352</v>
      </c>
      <c r="B149" s="12">
        <v>6275.8549999999996</v>
      </c>
      <c r="C149" s="13">
        <v>3440.8090000000002</v>
      </c>
      <c r="D149" s="14">
        <v>455.62400000000002</v>
      </c>
      <c r="E149" s="14">
        <v>409.83300000000003</v>
      </c>
      <c r="F149" s="14">
        <v>2077.5079999999998</v>
      </c>
      <c r="G149" s="14">
        <v>631.50900000000001</v>
      </c>
      <c r="H149" s="7">
        <f t="shared" si="31"/>
        <v>13291.138000000001</v>
      </c>
      <c r="J149" s="25">
        <f t="shared" si="30"/>
        <v>45352</v>
      </c>
      <c r="K149" s="18">
        <f t="shared" si="32"/>
        <v>10172.288</v>
      </c>
      <c r="L149" s="18">
        <f t="shared" si="33"/>
        <v>6275.8549999999996</v>
      </c>
      <c r="M149" s="18">
        <f t="shared" si="34"/>
        <v>3440.8090000000002</v>
      </c>
      <c r="N149" s="18">
        <f t="shared" si="35"/>
        <v>455.62400000000002</v>
      </c>
      <c r="O149" s="19">
        <f t="shared" si="36"/>
        <v>3118.85</v>
      </c>
      <c r="P149" s="103"/>
      <c r="Q149" s="24">
        <f t="shared" si="37"/>
        <v>-29480.999999999767</v>
      </c>
      <c r="R149" s="22">
        <f t="shared" si="38"/>
        <v>-2.889792936891622E-3</v>
      </c>
      <c r="S149" s="24">
        <f t="shared" si="45"/>
        <v>-171457.00000000035</v>
      </c>
      <c r="T149" s="22">
        <f t="shared" si="46"/>
        <v>-1.6575911335787952E-2</v>
      </c>
      <c r="V149" s="26">
        <f t="shared" si="39"/>
        <v>-24883.00000000072</v>
      </c>
      <c r="W149" s="22">
        <f t="shared" si="40"/>
        <v>-3.9492199167781017E-3</v>
      </c>
      <c r="X149" s="26">
        <f>(L149-$L$142)*1000</f>
        <v>-132281.00000000087</v>
      </c>
      <c r="Y149" s="22">
        <f t="shared" si="48"/>
        <v>-2.0642664263055721E-2</v>
      </c>
      <c r="AA149" s="26">
        <f t="shared" si="41"/>
        <v>-2701.0000000000218</v>
      </c>
      <c r="AB149" s="22">
        <f t="shared" si="42"/>
        <v>-7.8437408342069137E-4</v>
      </c>
      <c r="AC149" s="26">
        <f t="shared" si="52"/>
        <v>-33651.999999999593</v>
      </c>
      <c r="AD149" s="22">
        <f t="shared" si="51"/>
        <v>-9.6855310794967675E-3</v>
      </c>
      <c r="AF149" s="26">
        <f t="shared" si="43"/>
        <v>-1896.9999999999914</v>
      </c>
      <c r="AG149" s="22">
        <f t="shared" si="44"/>
        <v>-4.146257767402961E-3</v>
      </c>
      <c r="AH149" s="26">
        <f t="shared" si="49"/>
        <v>-44618.999999999971</v>
      </c>
      <c r="AI149" s="22">
        <f t="shared" si="50"/>
        <v>-8.9194651399419844E-2</v>
      </c>
    </row>
    <row r="150" spans="1:35" x14ac:dyDescent="0.3">
      <c r="A150" s="8">
        <v>45383</v>
      </c>
      <c r="B150" s="12">
        <v>6258.7960000000003</v>
      </c>
      <c r="C150" s="13">
        <v>3437.569</v>
      </c>
      <c r="D150" s="14">
        <v>453.28800000000001</v>
      </c>
      <c r="E150" s="14">
        <v>410.935</v>
      </c>
      <c r="F150" s="14">
        <v>2077.3690000000001</v>
      </c>
      <c r="G150" s="14">
        <v>631.50900000000001</v>
      </c>
      <c r="H150" s="7">
        <f t="shared" si="31"/>
        <v>13269.466</v>
      </c>
      <c r="J150" s="25">
        <f t="shared" si="30"/>
        <v>45383</v>
      </c>
      <c r="K150" s="18">
        <f t="shared" si="32"/>
        <v>10149.653</v>
      </c>
      <c r="L150" s="18">
        <f t="shared" si="33"/>
        <v>6258.7960000000003</v>
      </c>
      <c r="M150" s="18">
        <f t="shared" si="34"/>
        <v>3437.569</v>
      </c>
      <c r="N150" s="18">
        <f t="shared" si="35"/>
        <v>453.28800000000001</v>
      </c>
      <c r="O150" s="19">
        <f t="shared" si="36"/>
        <v>3119.8130000000001</v>
      </c>
      <c r="P150" s="103"/>
      <c r="Q150" s="24">
        <f t="shared" si="37"/>
        <v>-22635.000000000218</v>
      </c>
      <c r="R150" s="22">
        <f t="shared" si="38"/>
        <v>-2.2251631098136881E-3</v>
      </c>
      <c r="S150" s="24">
        <f t="shared" si="45"/>
        <v>-194092.00000000055</v>
      </c>
      <c r="T150" s="22">
        <f t="shared" si="46"/>
        <v>-1.8764190339185749E-2</v>
      </c>
      <c r="V150" s="26">
        <f t="shared" si="39"/>
        <v>-17058.999999999287</v>
      </c>
      <c r="W150" s="22">
        <f t="shared" si="40"/>
        <v>-2.7181953693957706E-3</v>
      </c>
      <c r="X150" s="26">
        <f t="shared" si="47"/>
        <v>-149340.00000000015</v>
      </c>
      <c r="Y150" s="22">
        <f t="shared" si="48"/>
        <v>-2.3304748838039679E-2</v>
      </c>
      <c r="AA150" s="26">
        <f t="shared" si="41"/>
        <v>-3240.0000000002365</v>
      </c>
      <c r="AB150" s="22">
        <f t="shared" si="42"/>
        <v>-9.4163901570831765E-4</v>
      </c>
      <c r="AC150" s="26">
        <f t="shared" si="52"/>
        <v>-36891.999999999825</v>
      </c>
      <c r="AD150" s="22">
        <f t="shared" si="51"/>
        <v>-1.0618049821252806E-2</v>
      </c>
      <c r="AF150" s="26">
        <f t="shared" si="43"/>
        <v>-2336.0000000000127</v>
      </c>
      <c r="AG150" s="22">
        <f t="shared" si="44"/>
        <v>-5.1270345723667399E-3</v>
      </c>
      <c r="AH150" s="26">
        <f t="shared" si="49"/>
        <v>-46954.999999999985</v>
      </c>
      <c r="AI150" s="22">
        <f t="shared" si="50"/>
        <v>-9.3864381910391481E-2</v>
      </c>
    </row>
    <row r="151" spans="1:35" x14ac:dyDescent="0.3">
      <c r="A151" s="8">
        <v>45413</v>
      </c>
      <c r="B151" s="12">
        <v>6248.9690000000001</v>
      </c>
      <c r="C151" s="13">
        <v>3430.9209999999998</v>
      </c>
      <c r="D151" s="14">
        <v>451.32799999999997</v>
      </c>
      <c r="E151" s="14">
        <v>409.351</v>
      </c>
      <c r="F151" s="14">
        <v>2072.4569999999999</v>
      </c>
      <c r="G151" s="14">
        <v>651.19500000000005</v>
      </c>
      <c r="H151" s="7">
        <f t="shared" si="31"/>
        <v>13264.221</v>
      </c>
      <c r="J151" s="25">
        <f t="shared" ref="J151:J156" si="53">A151</f>
        <v>45413</v>
      </c>
      <c r="K151" s="18">
        <f t="shared" ref="K151:K156" si="54">B151+C151+D151</f>
        <v>10131.217999999999</v>
      </c>
      <c r="L151" s="18">
        <f t="shared" si="33"/>
        <v>6248.9690000000001</v>
      </c>
      <c r="M151" s="18">
        <f t="shared" si="34"/>
        <v>3430.9209999999998</v>
      </c>
      <c r="N151" s="18">
        <f t="shared" si="35"/>
        <v>451.32799999999997</v>
      </c>
      <c r="O151" s="19">
        <f t="shared" si="36"/>
        <v>3133.0030000000002</v>
      </c>
      <c r="P151" s="103"/>
      <c r="Q151" s="24">
        <f t="shared" ref="Q151:Q156" si="55">(K151-K150)*1000</f>
        <v>-18435.00000000131</v>
      </c>
      <c r="R151" s="22">
        <f t="shared" si="38"/>
        <v>-1.8163182524566501E-3</v>
      </c>
      <c r="S151" s="24">
        <f t="shared" si="45"/>
        <v>-212527.00000000186</v>
      </c>
      <c r="T151" s="22">
        <f t="shared" si="46"/>
        <v>-2.0546426850236776E-2</v>
      </c>
      <c r="V151" s="26">
        <f t="shared" si="39"/>
        <v>-9827.0000000002256</v>
      </c>
      <c r="W151" s="88">
        <f t="shared" si="40"/>
        <v>-1.5701102895828711E-3</v>
      </c>
      <c r="X151" s="26">
        <f t="shared" si="47"/>
        <v>-159167.00000000038</v>
      </c>
      <c r="Y151" s="22">
        <f t="shared" si="48"/>
        <v>-2.4838268101675776E-2</v>
      </c>
      <c r="AA151" s="26">
        <f t="shared" si="41"/>
        <v>-6648.0000000001382</v>
      </c>
      <c r="AB151" s="22">
        <f t="shared" si="42"/>
        <v>-1.9339248172182133E-3</v>
      </c>
      <c r="AC151" s="26">
        <f t="shared" si="52"/>
        <v>-43539.999999999964</v>
      </c>
      <c r="AD151" s="22">
        <f t="shared" si="51"/>
        <v>-1.2531440128411231E-2</v>
      </c>
      <c r="AF151" s="26">
        <f t="shared" si="43"/>
        <v>-1960.0000000000364</v>
      </c>
      <c r="AG151" s="22">
        <f t="shared" si="44"/>
        <v>-4.3239618079455866E-3</v>
      </c>
      <c r="AH151" s="26">
        <f t="shared" si="49"/>
        <v>-48915.000000000022</v>
      </c>
      <c r="AI151" s="22">
        <f t="shared" si="50"/>
        <v>-9.7782477715830152E-2</v>
      </c>
    </row>
    <row r="152" spans="1:35" x14ac:dyDescent="0.3">
      <c r="A152" s="8">
        <v>45444</v>
      </c>
      <c r="B152" s="12">
        <v>6239.26</v>
      </c>
      <c r="C152" s="13">
        <v>3425.69</v>
      </c>
      <c r="D152" s="14">
        <v>450.72</v>
      </c>
      <c r="E152" s="14">
        <v>408.84100000000001</v>
      </c>
      <c r="F152" s="14">
        <v>2069.413</v>
      </c>
      <c r="G152" s="14">
        <v>657.71400000000006</v>
      </c>
      <c r="H152" s="7">
        <f t="shared" si="31"/>
        <v>13251.638000000001</v>
      </c>
      <c r="J152" s="25">
        <f t="shared" si="53"/>
        <v>45444</v>
      </c>
      <c r="K152" s="18">
        <f t="shared" si="54"/>
        <v>10115.67</v>
      </c>
      <c r="L152" s="18">
        <f t="shared" ref="L152:L161" si="56">B152</f>
        <v>6239.26</v>
      </c>
      <c r="M152" s="18">
        <f t="shared" ref="M152:M161" si="57">C152</f>
        <v>3425.69</v>
      </c>
      <c r="N152" s="18">
        <f t="shared" ref="N152:N161" si="58">D152</f>
        <v>450.72</v>
      </c>
      <c r="O152" s="19">
        <f t="shared" ref="O152:O161" si="59">E152+F152+G152</f>
        <v>3135.9679999999998</v>
      </c>
      <c r="P152" s="103"/>
      <c r="Q152" s="24">
        <f t="shared" si="55"/>
        <v>-15547.999999998865</v>
      </c>
      <c r="R152" s="22">
        <f t="shared" ref="R152:R161" si="60">K152/K151-1</f>
        <v>-1.5346624660528274E-3</v>
      </c>
      <c r="S152" s="24">
        <f t="shared" si="45"/>
        <v>-228075.00000000073</v>
      </c>
      <c r="T152" s="22">
        <f t="shared" si="46"/>
        <v>-2.2049557486190974E-2</v>
      </c>
      <c r="V152" s="26">
        <f t="shared" ref="V152:V161" si="61">(L152-L151)*1000</f>
        <v>-9708.9999999998327</v>
      </c>
      <c r="W152" s="88">
        <f t="shared" ref="W152:W161" si="62">L152/L151-1</f>
        <v>-1.5536962977412694E-3</v>
      </c>
      <c r="X152" s="26">
        <f>(L152-$L$142)*1000</f>
        <v>-168876.0000000002</v>
      </c>
      <c r="Y152" s="22">
        <f t="shared" ref="Y152:Y161" si="63">L152/$L$142-1</f>
        <v>-2.6353373274225156E-2</v>
      </c>
      <c r="AA152" s="26">
        <f t="shared" ref="AA152:AA161" si="64">(M152-M151)*1000</f>
        <v>-5230.9999999997672</v>
      </c>
      <c r="AB152" s="22">
        <f>M152/M151-1</f>
        <v>-1.5246634941462611E-3</v>
      </c>
      <c r="AC152" s="26">
        <f t="shared" si="52"/>
        <v>-48770.999999999731</v>
      </c>
      <c r="AD152" s="22">
        <f t="shared" si="51"/>
        <v>-1.4036997393264694E-2</v>
      </c>
      <c r="AF152" s="26">
        <f t="shared" si="43"/>
        <v>-607.99999999994725</v>
      </c>
      <c r="AG152" s="22">
        <f t="shared" si="44"/>
        <v>-1.3471355643788208E-3</v>
      </c>
      <c r="AH152" s="26">
        <f t="shared" si="49"/>
        <v>-49522.999999999971</v>
      </c>
      <c r="AI152" s="22">
        <f t="shared" si="50"/>
        <v>-9.8997887026904818E-2</v>
      </c>
    </row>
    <row r="153" spans="1:35" x14ac:dyDescent="0.3">
      <c r="A153" s="8">
        <v>45474</v>
      </c>
      <c r="B153" s="12">
        <v>6233.1180000000004</v>
      </c>
      <c r="C153" s="13">
        <v>3422.31</v>
      </c>
      <c r="D153" s="14">
        <v>449.48099999999999</v>
      </c>
      <c r="E153" s="14">
        <v>407.48500000000001</v>
      </c>
      <c r="F153" s="14">
        <v>2088.884</v>
      </c>
      <c r="G153" s="14">
        <v>647.81299999999999</v>
      </c>
      <c r="H153" s="7">
        <f t="shared" si="31"/>
        <v>13249.091</v>
      </c>
      <c r="J153" s="25">
        <f t="shared" si="53"/>
        <v>45474</v>
      </c>
      <c r="K153" s="18">
        <f t="shared" si="54"/>
        <v>10104.909</v>
      </c>
      <c r="L153" s="18">
        <f t="shared" si="56"/>
        <v>6233.1180000000004</v>
      </c>
      <c r="M153" s="18">
        <f t="shared" si="57"/>
        <v>3422.31</v>
      </c>
      <c r="N153" s="18">
        <f t="shared" si="58"/>
        <v>449.48099999999999</v>
      </c>
      <c r="O153" s="19">
        <f t="shared" si="59"/>
        <v>3144.1820000000002</v>
      </c>
      <c r="P153" s="103"/>
      <c r="Q153" s="24">
        <f t="shared" si="55"/>
        <v>-10761.000000000422</v>
      </c>
      <c r="R153" s="22">
        <f t="shared" si="60"/>
        <v>-1.0637950822832698E-3</v>
      </c>
      <c r="S153" s="24">
        <f t="shared" si="45"/>
        <v>-238836.00000000116</v>
      </c>
      <c r="T153" s="22">
        <f t="shared" si="46"/>
        <v>-2.3089896357653905E-2</v>
      </c>
      <c r="V153" s="26">
        <f t="shared" si="61"/>
        <v>-6141.9999999998254</v>
      </c>
      <c r="W153" s="88">
        <f t="shared" si="62"/>
        <v>-9.8441161291562551E-4</v>
      </c>
      <c r="X153" s="26">
        <f t="shared" ref="X153:X158" si="65">(L153-$L$142)*1000</f>
        <v>-175018.00000000003</v>
      </c>
      <c r="Y153" s="22">
        <f t="shared" si="63"/>
        <v>-2.7311842320450141E-2</v>
      </c>
      <c r="AA153" s="26">
        <f t="shared" si="64"/>
        <v>-3380.0000000001091</v>
      </c>
      <c r="AB153" s="22">
        <f>M153/M152-1</f>
        <v>-9.8666254097712347E-4</v>
      </c>
      <c r="AC153" s="26">
        <f t="shared" si="52"/>
        <v>-52150.99999999984</v>
      </c>
      <c r="AD153" s="22">
        <f t="shared" si="51"/>
        <v>-1.5009810154726133E-2</v>
      </c>
      <c r="AF153" s="26">
        <f t="shared" si="43"/>
        <v>-1239.0000000000327</v>
      </c>
      <c r="AG153" s="22">
        <f t="shared" si="44"/>
        <v>-2.7489350372738031E-3</v>
      </c>
      <c r="AH153" s="26">
        <f t="shared" si="49"/>
        <v>-50762</v>
      </c>
      <c r="AI153" s="22">
        <f t="shared" si="50"/>
        <v>-0.10147468330391429</v>
      </c>
    </row>
    <row r="154" spans="1:35" x14ac:dyDescent="0.3">
      <c r="A154" s="8">
        <v>45505</v>
      </c>
      <c r="B154" s="12">
        <v>6237.2290000000003</v>
      </c>
      <c r="C154" s="13">
        <v>3419.7350000000001</v>
      </c>
      <c r="D154" s="14">
        <v>449.339</v>
      </c>
      <c r="E154" s="14">
        <v>405.62299999999999</v>
      </c>
      <c r="F154" s="14">
        <v>2111.0349999999999</v>
      </c>
      <c r="G154" s="14">
        <v>649.30899999999997</v>
      </c>
      <c r="H154" s="7">
        <f t="shared" si="31"/>
        <v>13272.269999999999</v>
      </c>
      <c r="J154" s="25">
        <f t="shared" si="53"/>
        <v>45505</v>
      </c>
      <c r="K154" s="18">
        <f t="shared" si="54"/>
        <v>10106.303</v>
      </c>
      <c r="L154" s="18">
        <f t="shared" si="56"/>
        <v>6237.2290000000003</v>
      </c>
      <c r="M154" s="18">
        <f t="shared" si="57"/>
        <v>3419.7350000000001</v>
      </c>
      <c r="N154" s="18">
        <f t="shared" si="58"/>
        <v>449.339</v>
      </c>
      <c r="O154" s="19">
        <f t="shared" si="59"/>
        <v>3165.9669999999996</v>
      </c>
      <c r="P154" s="103"/>
      <c r="Q154" s="24">
        <f t="shared" si="55"/>
        <v>1394.0000000002328</v>
      </c>
      <c r="R154" s="22">
        <f t="shared" si="60"/>
        <v>1.37952751479542E-4</v>
      </c>
      <c r="S154" s="24">
        <f t="shared" si="45"/>
        <v>-237442.00000000093</v>
      </c>
      <c r="T154" s="22">
        <f t="shared" si="46"/>
        <v>-2.2955128920908341E-2</v>
      </c>
      <c r="V154" s="26">
        <f t="shared" si="61"/>
        <v>4110.9999999998763</v>
      </c>
      <c r="W154" s="22">
        <f t="shared" si="62"/>
        <v>6.5954150073843643E-4</v>
      </c>
      <c r="X154" s="26">
        <f t="shared" si="65"/>
        <v>-170907.00000000015</v>
      </c>
      <c r="Y154" s="22">
        <f t="shared" si="63"/>
        <v>-2.6670314113183657E-2</v>
      </c>
      <c r="AA154" s="26">
        <f t="shared" si="64"/>
        <v>-2574.9999999998181</v>
      </c>
      <c r="AB154" s="22">
        <f t="shared" ref="AB154:AB159" si="66">M154/M153-1</f>
        <v>-7.5241576595919124E-4</v>
      </c>
      <c r="AC154" s="26">
        <f t="shared" si="52"/>
        <v>-54725.999999999658</v>
      </c>
      <c r="AD154" s="22">
        <f t="shared" si="51"/>
        <v>-1.5750932302880827E-2</v>
      </c>
      <c r="AF154" s="26">
        <f t="shared" si="43"/>
        <v>-141.99999999999591</v>
      </c>
      <c r="AG154" s="22">
        <f t="shared" si="44"/>
        <v>-3.1591991652590856E-4</v>
      </c>
      <c r="AH154" s="26">
        <f t="shared" si="49"/>
        <v>-50904</v>
      </c>
      <c r="AI154" s="22">
        <f t="shared" si="50"/>
        <v>-0.10175854534696138</v>
      </c>
    </row>
    <row r="155" spans="1:35" x14ac:dyDescent="0.3">
      <c r="A155" s="8">
        <v>45536</v>
      </c>
      <c r="B155" s="12">
        <v>6246.3370000000004</v>
      </c>
      <c r="C155" s="13">
        <v>3418.7930000000001</v>
      </c>
      <c r="D155" s="14">
        <v>449.33</v>
      </c>
      <c r="E155" s="14">
        <v>404.30200000000002</v>
      </c>
      <c r="F155" s="14">
        <v>2110.7339999999999</v>
      </c>
      <c r="G155" s="14">
        <v>651.06799999999998</v>
      </c>
      <c r="H155" s="7">
        <f t="shared" si="31"/>
        <v>13280.564</v>
      </c>
      <c r="J155" s="25">
        <f t="shared" si="53"/>
        <v>45536</v>
      </c>
      <c r="K155" s="18">
        <f t="shared" si="54"/>
        <v>10114.460000000001</v>
      </c>
      <c r="L155" s="18">
        <f t="shared" si="56"/>
        <v>6246.3370000000004</v>
      </c>
      <c r="M155" s="18">
        <f t="shared" si="57"/>
        <v>3418.7930000000001</v>
      </c>
      <c r="N155" s="18">
        <f t="shared" si="58"/>
        <v>449.33</v>
      </c>
      <c r="O155" s="19">
        <f t="shared" si="59"/>
        <v>3166.1040000000003</v>
      </c>
      <c r="P155" s="103"/>
      <c r="Q155" s="24">
        <f t="shared" si="55"/>
        <v>8157.0000000010623</v>
      </c>
      <c r="R155" s="22">
        <f t="shared" si="60"/>
        <v>8.0712007150407494E-4</v>
      </c>
      <c r="S155" s="24">
        <f t="shared" si="45"/>
        <v>-229284.99999999985</v>
      </c>
      <c r="T155" s="22">
        <f t="shared" si="46"/>
        <v>-2.2166536394700342E-2</v>
      </c>
      <c r="V155" s="26">
        <f t="shared" si="61"/>
        <v>9108.0000000001746</v>
      </c>
      <c r="W155" s="22">
        <f t="shared" si="62"/>
        <v>1.4602638447298588E-3</v>
      </c>
      <c r="X155" s="26">
        <f t="shared" si="65"/>
        <v>-161798.99999999997</v>
      </c>
      <c r="Y155" s="22">
        <f t="shared" si="63"/>
        <v>-2.524899596388086E-2</v>
      </c>
      <c r="AA155" s="26">
        <f t="shared" si="64"/>
        <v>-942.00000000000728</v>
      </c>
      <c r="AB155" s="22">
        <f t="shared" si="66"/>
        <v>-2.754599406094016E-4</v>
      </c>
      <c r="AC155" s="26">
        <f t="shared" si="52"/>
        <v>-55667.999999999665</v>
      </c>
      <c r="AD155" s="22">
        <f t="shared" si="51"/>
        <v>-1.6022053492613542E-2</v>
      </c>
      <c r="AF155" s="26">
        <f t="shared" si="43"/>
        <v>-9.0000000000145519</v>
      </c>
      <c r="AG155" s="22">
        <f t="shared" si="44"/>
        <v>-2.0029420993994407E-5</v>
      </c>
      <c r="AH155" s="26">
        <f t="shared" si="49"/>
        <v>-50913.000000000015</v>
      </c>
      <c r="AI155" s="22">
        <f t="shared" si="50"/>
        <v>-0.10177653660321084</v>
      </c>
    </row>
    <row r="156" spans="1:35" x14ac:dyDescent="0.3">
      <c r="A156" s="8">
        <v>45566</v>
      </c>
      <c r="B156" s="12">
        <v>6253.8789999999999</v>
      </c>
      <c r="C156" s="13">
        <v>3420.4250000000002</v>
      </c>
      <c r="D156" s="14">
        <v>448.41</v>
      </c>
      <c r="E156" s="14">
        <v>402.315</v>
      </c>
      <c r="F156" s="14">
        <v>2097.846</v>
      </c>
      <c r="G156" s="14">
        <v>650.96</v>
      </c>
      <c r="H156" s="7">
        <f t="shared" si="31"/>
        <v>13273.834999999999</v>
      </c>
      <c r="J156" s="25">
        <f t="shared" si="53"/>
        <v>45566</v>
      </c>
      <c r="K156" s="18">
        <f t="shared" si="54"/>
        <v>10122.714</v>
      </c>
      <c r="L156" s="18">
        <f t="shared" si="56"/>
        <v>6253.8789999999999</v>
      </c>
      <c r="M156" s="18">
        <f t="shared" si="57"/>
        <v>3420.4250000000002</v>
      </c>
      <c r="N156" s="18">
        <f t="shared" si="58"/>
        <v>448.41</v>
      </c>
      <c r="O156" s="19">
        <f t="shared" si="59"/>
        <v>3151.1210000000001</v>
      </c>
      <c r="P156" s="103"/>
      <c r="Q156" s="24">
        <f t="shared" si="55"/>
        <v>8253.9999999989959</v>
      </c>
      <c r="R156" s="22">
        <f t="shared" si="60"/>
        <v>8.1605938428741531E-4</v>
      </c>
      <c r="S156" s="24">
        <f t="shared" ref="S156:S161" si="67">(K156-$K$142)*1000</f>
        <v>-221031.00000000087</v>
      </c>
      <c r="T156" s="22">
        <f t="shared" ref="T156:T161" si="68">K156/$K$142-1</f>
        <v>-2.1368566220455021E-2</v>
      </c>
      <c r="V156" s="26">
        <f t="shared" si="61"/>
        <v>7541.9999999994616</v>
      </c>
      <c r="W156" s="22">
        <f t="shared" si="62"/>
        <v>1.2074276491964575E-3</v>
      </c>
      <c r="X156" s="26">
        <f t="shared" si="65"/>
        <v>-154257.00000000052</v>
      </c>
      <c r="Y156" s="22">
        <f t="shared" si="63"/>
        <v>-2.4072054650525643E-2</v>
      </c>
      <c r="AA156" s="26">
        <f t="shared" si="64"/>
        <v>1632.0000000000618</v>
      </c>
      <c r="AB156" s="22">
        <f t="shared" si="66"/>
        <v>4.7736145475907321E-4</v>
      </c>
      <c r="AC156" s="26">
        <f t="shared" si="52"/>
        <v>-54035.999999999607</v>
      </c>
      <c r="AD156" s="22">
        <f t="shared" si="51"/>
        <v>-1.5552340348617966E-2</v>
      </c>
      <c r="AF156" s="26">
        <f t="shared" si="43"/>
        <v>-919.99999999995907</v>
      </c>
      <c r="AG156" s="22">
        <f t="shared" si="44"/>
        <v>-2.0474929339237002E-3</v>
      </c>
      <c r="AH156" s="26">
        <f t="shared" si="49"/>
        <v>-51832.999999999971</v>
      </c>
      <c r="AI156" s="22">
        <f t="shared" si="50"/>
        <v>-0.10361564279760027</v>
      </c>
    </row>
    <row r="157" spans="1:35" x14ac:dyDescent="0.3">
      <c r="A157" s="8">
        <v>45597</v>
      </c>
      <c r="B157" s="12">
        <v>6255.1580000000004</v>
      </c>
      <c r="C157" s="13">
        <v>3417.8049999999998</v>
      </c>
      <c r="D157" s="14">
        <v>447.66899999999998</v>
      </c>
      <c r="E157" s="14">
        <v>400.83100000000002</v>
      </c>
      <c r="F157" s="14">
        <v>2086.5740000000001</v>
      </c>
      <c r="G157" s="14">
        <v>653.38499999999999</v>
      </c>
      <c r="H157" s="7">
        <f t="shared" si="31"/>
        <v>13261.422</v>
      </c>
      <c r="J157" s="25">
        <f t="shared" ref="J157:J163" si="69">A157</f>
        <v>45597</v>
      </c>
      <c r="K157" s="18">
        <f t="shared" ref="K157:K162" si="70">B157+C157+D157</f>
        <v>10120.632</v>
      </c>
      <c r="L157" s="18">
        <f t="shared" si="56"/>
        <v>6255.1580000000004</v>
      </c>
      <c r="M157" s="18">
        <f t="shared" si="57"/>
        <v>3417.8049999999998</v>
      </c>
      <c r="N157" s="18">
        <f t="shared" si="58"/>
        <v>447.66899999999998</v>
      </c>
      <c r="O157" s="19">
        <f t="shared" si="59"/>
        <v>3140.79</v>
      </c>
      <c r="P157" s="103"/>
      <c r="Q157" s="24">
        <f t="shared" ref="Q157:Q162" si="71">(K157-K156)*1000</f>
        <v>-2082.0000000003347</v>
      </c>
      <c r="R157" s="22">
        <f t="shared" si="60"/>
        <v>-2.0567606671495486E-4</v>
      </c>
      <c r="S157" s="24">
        <f t="shared" si="67"/>
        <v>-223113.00000000119</v>
      </c>
      <c r="T157" s="22">
        <f t="shared" si="68"/>
        <v>-2.1569847284518384E-2</v>
      </c>
      <c r="V157" s="26">
        <f t="shared" si="61"/>
        <v>1279.0000000004511</v>
      </c>
      <c r="W157" s="22">
        <f t="shared" si="62"/>
        <v>2.045130710077725E-4</v>
      </c>
      <c r="X157" s="26">
        <f t="shared" si="65"/>
        <v>-152978.00000000006</v>
      </c>
      <c r="Y157" s="22">
        <f t="shared" si="63"/>
        <v>-2.3872464629340007E-2</v>
      </c>
      <c r="AA157" s="26">
        <f t="shared" si="64"/>
        <v>-2620.0000000003456</v>
      </c>
      <c r="AB157" s="22">
        <f t="shared" si="66"/>
        <v>-7.6598668294158845E-4</v>
      </c>
      <c r="AC157" s="26">
        <f t="shared" ref="AC157:AC172" si="72">(M157-$M$146)*1000</f>
        <v>-56655.999999999949</v>
      </c>
      <c r="AD157" s="22">
        <f t="shared" ref="AD157:AD172" si="73">M157/$M$146-1</f>
        <v>-1.6306414145963899E-2</v>
      </c>
      <c r="AF157" s="26">
        <f t="shared" si="43"/>
        <v>-741.00000000004229</v>
      </c>
      <c r="AG157" s="22">
        <f t="shared" si="44"/>
        <v>-1.6525055195023564E-3</v>
      </c>
      <c r="AH157" s="26">
        <f t="shared" si="49"/>
        <v>-52574.000000000015</v>
      </c>
      <c r="AI157" s="22">
        <f t="shared" si="50"/>
        <v>-0.10509692289547279</v>
      </c>
    </row>
    <row r="158" spans="1:35" x14ac:dyDescent="0.3">
      <c r="A158" s="8">
        <v>45627</v>
      </c>
      <c r="B158" s="12">
        <v>6263.7560000000003</v>
      </c>
      <c r="C158" s="13">
        <v>3413.6239999999998</v>
      </c>
      <c r="D158" s="14">
        <v>446.02100000000002</v>
      </c>
      <c r="E158" s="14">
        <v>400.26900000000001</v>
      </c>
      <c r="F158" s="14">
        <v>2084.2440000000001</v>
      </c>
      <c r="G158" s="14">
        <v>259.19299999999998</v>
      </c>
      <c r="H158" s="7">
        <f t="shared" si="31"/>
        <v>12867.107000000002</v>
      </c>
      <c r="J158" s="25">
        <f t="shared" si="69"/>
        <v>45627</v>
      </c>
      <c r="K158" s="18">
        <f t="shared" si="70"/>
        <v>10123.401000000002</v>
      </c>
      <c r="L158" s="18">
        <f t="shared" si="56"/>
        <v>6263.7560000000003</v>
      </c>
      <c r="M158" s="18">
        <f t="shared" si="57"/>
        <v>3413.6239999999998</v>
      </c>
      <c r="N158" s="18">
        <f t="shared" si="58"/>
        <v>446.02100000000002</v>
      </c>
      <c r="O158" s="19">
        <f t="shared" si="59"/>
        <v>2743.7060000000001</v>
      </c>
      <c r="P158" s="103"/>
      <c r="Q158" s="24">
        <f t="shared" si="71"/>
        <v>2769.0000000020518</v>
      </c>
      <c r="R158" s="22">
        <f t="shared" si="60"/>
        <v>2.7359951433880703E-4</v>
      </c>
      <c r="S158" s="24">
        <f t="shared" si="67"/>
        <v>-220343.99999999913</v>
      </c>
      <c r="T158" s="22">
        <f t="shared" si="68"/>
        <v>-2.1302149269921022E-2</v>
      </c>
      <c r="V158" s="26">
        <f t="shared" si="61"/>
        <v>8597.9999999999563</v>
      </c>
      <c r="W158" s="22">
        <f t="shared" si="62"/>
        <v>1.3745456149949487E-3</v>
      </c>
      <c r="X158" s="26">
        <f t="shared" si="65"/>
        <v>-144380.00000000012</v>
      </c>
      <c r="Y158" s="22">
        <f t="shared" si="63"/>
        <v>-2.2530732805920439E-2</v>
      </c>
      <c r="AA158" s="26">
        <f t="shared" si="64"/>
        <v>-4181.00000000004</v>
      </c>
      <c r="AB158" s="22">
        <f t="shared" si="66"/>
        <v>-1.2232997494006081E-3</v>
      </c>
      <c r="AC158" s="26">
        <f t="shared" si="72"/>
        <v>-60836.999999999985</v>
      </c>
      <c r="AD158" s="22">
        <f t="shared" si="73"/>
        <v>-1.7509766263026139E-2</v>
      </c>
      <c r="AF158" s="26">
        <f t="shared" si="43"/>
        <v>-1647.9999999999677</v>
      </c>
      <c r="AG158" s="22">
        <f t="shared" si="44"/>
        <v>-3.6812913112141965E-3</v>
      </c>
      <c r="AH158" s="26">
        <f t="shared" si="49"/>
        <v>-54221.999999999978</v>
      </c>
      <c r="AI158" s="22">
        <f t="shared" si="50"/>
        <v>-0.10839132181759659</v>
      </c>
    </row>
    <row r="159" spans="1:35" x14ac:dyDescent="0.3">
      <c r="A159" s="8">
        <v>45658</v>
      </c>
      <c r="B159" s="12">
        <v>6254.6689999999999</v>
      </c>
      <c r="C159" s="13">
        <v>3419.48</v>
      </c>
      <c r="D159" s="14">
        <v>444.447</v>
      </c>
      <c r="E159" s="14">
        <v>398.95</v>
      </c>
      <c r="F159" s="14">
        <v>2102.0059999999999</v>
      </c>
      <c r="G159" s="14">
        <v>251.77799999999999</v>
      </c>
      <c r="H159" s="7">
        <f t="shared" si="31"/>
        <v>12871.33</v>
      </c>
      <c r="J159" s="25">
        <f t="shared" si="69"/>
        <v>45658</v>
      </c>
      <c r="K159" s="18">
        <f t="shared" si="70"/>
        <v>10118.596</v>
      </c>
      <c r="L159" s="18">
        <f t="shared" si="56"/>
        <v>6254.6689999999999</v>
      </c>
      <c r="M159" s="18">
        <f t="shared" si="57"/>
        <v>3419.48</v>
      </c>
      <c r="N159" s="18">
        <f t="shared" si="58"/>
        <v>444.447</v>
      </c>
      <c r="O159" s="19">
        <f t="shared" si="59"/>
        <v>2752.7339999999995</v>
      </c>
      <c r="P159" s="103"/>
      <c r="Q159" s="24">
        <f t="shared" si="71"/>
        <v>-4805.00000000211</v>
      </c>
      <c r="R159" s="22">
        <f t="shared" si="60"/>
        <v>-4.7464285964782249E-4</v>
      </c>
      <c r="S159" s="24">
        <f t="shared" si="67"/>
        <v>-225149.00000000125</v>
      </c>
      <c r="T159" s="22">
        <f t="shared" si="68"/>
        <v>-2.176668121652281E-2</v>
      </c>
      <c r="V159" s="26">
        <f t="shared" si="61"/>
        <v>-9087.0000000004438</v>
      </c>
      <c r="W159" s="22">
        <f t="shared" si="62"/>
        <v>-1.4507270078848444E-3</v>
      </c>
      <c r="X159" s="26">
        <f t="shared" ref="X159:X164" si="74">(L159-$L$142)*1000</f>
        <v>-153467.00000000055</v>
      </c>
      <c r="Y159" s="22">
        <f t="shared" si="63"/>
        <v>-2.39487738712163E-2</v>
      </c>
      <c r="AA159" s="26">
        <f t="shared" si="64"/>
        <v>5856.0000000002219</v>
      </c>
      <c r="AB159" s="22">
        <f t="shared" si="66"/>
        <v>1.7154789162485695E-3</v>
      </c>
      <c r="AC159" s="26">
        <f t="shared" si="72"/>
        <v>-54980.999999999767</v>
      </c>
      <c r="AD159" s="22">
        <f t="shared" si="73"/>
        <v>-1.5824324981630222E-2</v>
      </c>
      <c r="AF159" s="26">
        <f t="shared" si="43"/>
        <v>-1574.0000000000123</v>
      </c>
      <c r="AG159" s="22">
        <f t="shared" si="44"/>
        <v>-3.5289818192417721E-3</v>
      </c>
      <c r="AH159" s="26">
        <f t="shared" si="49"/>
        <v>-55795.999999999993</v>
      </c>
      <c r="AI159" s="22">
        <f t="shared" si="50"/>
        <v>-0.11153779263278041</v>
      </c>
    </row>
    <row r="160" spans="1:35" x14ac:dyDescent="0.3">
      <c r="A160" s="8">
        <v>45689</v>
      </c>
      <c r="B160" s="12">
        <v>6265.3249999999998</v>
      </c>
      <c r="C160" s="13">
        <v>3408.0770000000002</v>
      </c>
      <c r="D160" s="14">
        <v>444.50400000000002</v>
      </c>
      <c r="E160" s="14">
        <v>397.48200000000003</v>
      </c>
      <c r="F160" s="14">
        <v>2119.6640000000002</v>
      </c>
      <c r="G160" s="14">
        <v>241.66900000000001</v>
      </c>
      <c r="H160" s="7">
        <f t="shared" si="31"/>
        <v>12876.721000000001</v>
      </c>
      <c r="J160" s="25">
        <f t="shared" si="69"/>
        <v>45689</v>
      </c>
      <c r="K160" s="18">
        <f t="shared" si="70"/>
        <v>10117.906000000001</v>
      </c>
      <c r="L160" s="18">
        <f t="shared" si="56"/>
        <v>6265.3249999999998</v>
      </c>
      <c r="M160" s="18">
        <f t="shared" si="57"/>
        <v>3408.0770000000002</v>
      </c>
      <c r="N160" s="18">
        <f t="shared" si="58"/>
        <v>444.50400000000002</v>
      </c>
      <c r="O160" s="19">
        <f t="shared" si="59"/>
        <v>2758.8150000000001</v>
      </c>
      <c r="P160" s="103"/>
      <c r="Q160" s="24">
        <f t="shared" si="71"/>
        <v>-689.99999999869033</v>
      </c>
      <c r="R160" s="22">
        <f t="shared" si="60"/>
        <v>-6.8191278710827419E-5</v>
      </c>
      <c r="S160" s="24">
        <f t="shared" si="67"/>
        <v>-225838.99999999994</v>
      </c>
      <c r="T160" s="22">
        <f t="shared" si="68"/>
        <v>-2.183338819740821E-2</v>
      </c>
      <c r="V160" s="26">
        <f t="shared" si="61"/>
        <v>10655.999999999949</v>
      </c>
      <c r="W160" s="22">
        <f t="shared" si="62"/>
        <v>1.7036872774562895E-3</v>
      </c>
      <c r="X160" s="26">
        <f t="shared" si="74"/>
        <v>-142811.00000000061</v>
      </c>
      <c r="Y160" s="22">
        <f t="shared" si="63"/>
        <v>-2.2285887815115091E-2</v>
      </c>
      <c r="AA160" s="26">
        <f t="shared" si="64"/>
        <v>-11402.999999999793</v>
      </c>
      <c r="AB160" s="22">
        <f t="shared" ref="AB160:AB165" si="75">M160/M159-1</f>
        <v>-3.3347175593949618E-3</v>
      </c>
      <c r="AC160" s="26">
        <f t="shared" si="72"/>
        <v>-66383.999999999563</v>
      </c>
      <c r="AD160" s="22">
        <f t="shared" si="73"/>
        <v>-1.910627288664335E-2</v>
      </c>
      <c r="AF160" s="26">
        <f t="shared" si="43"/>
        <v>57.000000000016371</v>
      </c>
      <c r="AG160" s="22">
        <f t="shared" si="44"/>
        <v>1.2824926256671532E-4</v>
      </c>
      <c r="AH160" s="26">
        <f t="shared" si="49"/>
        <v>-55738.999999999978</v>
      </c>
      <c r="AI160" s="22">
        <f t="shared" si="50"/>
        <v>-0.11142384800986715</v>
      </c>
    </row>
    <row r="161" spans="1:35" x14ac:dyDescent="0.3">
      <c r="A161" s="8">
        <v>45717</v>
      </c>
      <c r="B161" s="12">
        <v>6254.2439999999997</v>
      </c>
      <c r="C161" s="13">
        <v>3408.0770000000002</v>
      </c>
      <c r="D161" s="14">
        <v>444.16199999999998</v>
      </c>
      <c r="E161" s="14">
        <v>394.69</v>
      </c>
      <c r="F161" s="14">
        <v>2129.683</v>
      </c>
      <c r="G161" s="14">
        <v>234.869</v>
      </c>
      <c r="H161" s="7">
        <f t="shared" si="31"/>
        <v>12865.725</v>
      </c>
      <c r="J161" s="25">
        <f t="shared" si="69"/>
        <v>45717</v>
      </c>
      <c r="K161" s="18">
        <f t="shared" si="70"/>
        <v>10106.483</v>
      </c>
      <c r="L161" s="18">
        <f t="shared" si="56"/>
        <v>6254.2439999999997</v>
      </c>
      <c r="M161" s="18">
        <f t="shared" si="57"/>
        <v>3408.0770000000002</v>
      </c>
      <c r="N161" s="18">
        <f t="shared" si="58"/>
        <v>444.16199999999998</v>
      </c>
      <c r="O161" s="19">
        <f t="shared" si="59"/>
        <v>2759.2420000000002</v>
      </c>
      <c r="P161" s="103"/>
      <c r="Q161" s="24">
        <f t="shared" si="71"/>
        <v>-11423.000000000684</v>
      </c>
      <c r="R161" s="22">
        <f t="shared" si="60"/>
        <v>-1.1289885476303274E-3</v>
      </c>
      <c r="S161" s="24">
        <f t="shared" si="67"/>
        <v>-237262.00000000064</v>
      </c>
      <c r="T161" s="22">
        <f t="shared" si="68"/>
        <v>-2.2937727099807681E-2</v>
      </c>
      <c r="V161" s="26">
        <f t="shared" si="61"/>
        <v>-11081.000000000131</v>
      </c>
      <c r="W161" s="22">
        <f t="shared" si="62"/>
        <v>-1.7686233355811432E-3</v>
      </c>
      <c r="X161" s="26">
        <f t="shared" si="74"/>
        <v>-153892.00000000073</v>
      </c>
      <c r="Y161" s="22">
        <f t="shared" si="63"/>
        <v>-2.401509580945238E-2</v>
      </c>
      <c r="AA161" s="26">
        <f t="shared" si="64"/>
        <v>0</v>
      </c>
      <c r="AB161" s="22">
        <f t="shared" si="75"/>
        <v>0</v>
      </c>
      <c r="AC161" s="26">
        <f t="shared" si="72"/>
        <v>-66383.999999999563</v>
      </c>
      <c r="AD161" s="22">
        <f t="shared" si="73"/>
        <v>-1.910627288664335E-2</v>
      </c>
      <c r="AF161" s="26">
        <f t="shared" ref="AF161:AF166" si="76">(N161-N160)*1000</f>
        <v>-342.00000000004138</v>
      </c>
      <c r="AG161" s="22">
        <f t="shared" ref="AG161:AG166" si="77">N161/N160-1</f>
        <v>-7.6939690081534451E-4</v>
      </c>
      <c r="AH161" s="26">
        <f t="shared" si="49"/>
        <v>-56081.000000000015</v>
      </c>
      <c r="AI161" s="22">
        <f t="shared" si="50"/>
        <v>-0.11210751574734679</v>
      </c>
    </row>
    <row r="162" spans="1:35" x14ac:dyDescent="0.3">
      <c r="A162" s="8">
        <v>45748</v>
      </c>
      <c r="B162" s="12">
        <v>6264.7150000000001</v>
      </c>
      <c r="C162" s="13">
        <v>3409.75</v>
      </c>
      <c r="D162" s="14">
        <v>442.76</v>
      </c>
      <c r="E162" s="14">
        <v>394.17399999999998</v>
      </c>
      <c r="F162" s="14">
        <v>2138.4299999999998</v>
      </c>
      <c r="G162" s="14">
        <v>231.214</v>
      </c>
      <c r="H162" s="7">
        <f t="shared" si="31"/>
        <v>12881.043000000001</v>
      </c>
      <c r="J162" s="25">
        <f t="shared" si="69"/>
        <v>45748</v>
      </c>
      <c r="K162" s="18">
        <f t="shared" si="70"/>
        <v>10117.225</v>
      </c>
      <c r="L162" s="18">
        <f t="shared" ref="L162:L172" si="78">B162</f>
        <v>6264.7150000000001</v>
      </c>
      <c r="M162" s="18">
        <f t="shared" ref="M162:M172" si="79">C162</f>
        <v>3409.75</v>
      </c>
      <c r="N162" s="18">
        <f t="shared" ref="N162:N172" si="80">D162</f>
        <v>442.76</v>
      </c>
      <c r="O162" s="19">
        <f t="shared" ref="O162:O172" si="81">E162+F162+G162</f>
        <v>2763.8179999999998</v>
      </c>
      <c r="P162" s="103"/>
      <c r="Q162" s="24">
        <f t="shared" si="71"/>
        <v>10742.000000000189</v>
      </c>
      <c r="R162" s="22">
        <f t="shared" ref="R162:R167" si="82">K162/K161-1</f>
        <v>1.0628821124025745E-3</v>
      </c>
      <c r="S162" s="24">
        <f t="shared" ref="S162:S172" si="83">(K162-$K$142)*1000</f>
        <v>-226520.00000000044</v>
      </c>
      <c r="T162" s="22">
        <f t="shared" ref="T162:T172" si="84">K162/$K$142-1</f>
        <v>-2.1899225087238738E-2</v>
      </c>
      <c r="V162" s="26">
        <f t="shared" ref="V162:V172" si="85">(L162-L161)*1000</f>
        <v>10471.000000000458</v>
      </c>
      <c r="W162" s="22">
        <f t="shared" ref="W162:W172" si="86">L162/L161-1</f>
        <v>1.6742231355222348E-3</v>
      </c>
      <c r="X162" s="26">
        <f t="shared" si="74"/>
        <v>-143421.00000000029</v>
      </c>
      <c r="Y162" s="22">
        <f t="shared" ref="Y162:Y172" si="87">L162/$L$142-1</f>
        <v>-2.2381079302936202E-2</v>
      </c>
      <c r="AA162" s="26">
        <f t="shared" ref="AA162:AA172" si="88">(M162-M161)*1000</f>
        <v>1672.9999999997744</v>
      </c>
      <c r="AB162" s="22">
        <f t="shared" si="75"/>
        <v>4.9089266469026782E-4</v>
      </c>
      <c r="AC162" s="26">
        <f t="shared" si="72"/>
        <v>-64710.999999999782</v>
      </c>
      <c r="AD162" s="22">
        <f t="shared" si="73"/>
        <v>-1.862475935116259E-2</v>
      </c>
      <c r="AF162" s="26">
        <f t="shared" si="76"/>
        <v>-1401.9999999999868</v>
      </c>
      <c r="AG162" s="22">
        <f t="shared" si="77"/>
        <v>-3.1565059595372036E-3</v>
      </c>
      <c r="AH162" s="26">
        <f t="shared" si="49"/>
        <v>-57483.000000000007</v>
      </c>
      <c r="AI162" s="22">
        <f t="shared" si="50"/>
        <v>-0.11491015366531865</v>
      </c>
    </row>
    <row r="163" spans="1:35" x14ac:dyDescent="0.3">
      <c r="A163" s="8">
        <v>45778</v>
      </c>
      <c r="B163" s="12">
        <v>6266.9589999999998</v>
      </c>
      <c r="C163" s="13">
        <v>3404.21</v>
      </c>
      <c r="D163" s="14">
        <v>441.63600000000002</v>
      </c>
      <c r="E163" s="14">
        <v>394.72199999999998</v>
      </c>
      <c r="F163" s="14">
        <v>2155.663</v>
      </c>
      <c r="G163" s="14">
        <v>229.10900000000001</v>
      </c>
      <c r="H163" s="7">
        <f t="shared" si="31"/>
        <v>12892.299000000001</v>
      </c>
      <c r="J163" s="25">
        <f t="shared" si="69"/>
        <v>45778</v>
      </c>
      <c r="K163" s="18">
        <f t="shared" ref="K163:K172" si="89">B163+C163+D163</f>
        <v>10112.805</v>
      </c>
      <c r="L163" s="18">
        <f t="shared" si="78"/>
        <v>6266.9589999999998</v>
      </c>
      <c r="M163" s="18">
        <f t="shared" si="79"/>
        <v>3404.21</v>
      </c>
      <c r="N163" s="18">
        <f t="shared" si="80"/>
        <v>441.63600000000002</v>
      </c>
      <c r="O163" s="19">
        <f t="shared" si="81"/>
        <v>2779.4940000000001</v>
      </c>
      <c r="P163" s="103"/>
      <c r="Q163" s="24">
        <f t="shared" ref="Q163:Q172" si="90">(K163-K162)*1000</f>
        <v>-4420.0000000000728</v>
      </c>
      <c r="R163" s="22">
        <f t="shared" si="82"/>
        <v>-4.3687868956165943E-4</v>
      </c>
      <c r="S163" s="24">
        <f t="shared" si="83"/>
        <v>-230940.00000000052</v>
      </c>
      <c r="T163" s="22">
        <f t="shared" si="84"/>
        <v>-2.2326536472041858E-2</v>
      </c>
      <c r="V163" s="26">
        <f t="shared" si="85"/>
        <v>2243.9999999996871</v>
      </c>
      <c r="W163" s="22">
        <f t="shared" si="86"/>
        <v>3.5819666177938636E-4</v>
      </c>
      <c r="X163" s="26">
        <f t="shared" si="74"/>
        <v>-141177.00000000058</v>
      </c>
      <c r="Y163" s="22">
        <f t="shared" si="87"/>
        <v>-2.2030899469050014E-2</v>
      </c>
      <c r="AA163" s="26">
        <f t="shared" si="88"/>
        <v>-5539.9999999999636</v>
      </c>
      <c r="AB163" s="22">
        <f t="shared" si="75"/>
        <v>-1.6247525478407798E-3</v>
      </c>
      <c r="AC163" s="26">
        <f t="shared" si="72"/>
        <v>-70250.999999999753</v>
      </c>
      <c r="AD163" s="22">
        <f t="shared" si="73"/>
        <v>-2.0219251273794647E-2</v>
      </c>
      <c r="AF163" s="26">
        <f t="shared" si="76"/>
        <v>-1123.9999999999668</v>
      </c>
      <c r="AG163" s="22">
        <f t="shared" si="77"/>
        <v>-2.5386213750112629E-3</v>
      </c>
      <c r="AH163" s="26">
        <f t="shared" si="49"/>
        <v>-58606.999999999971</v>
      </c>
      <c r="AI163" s="22">
        <f t="shared" si="50"/>
        <v>-0.11715706166802931</v>
      </c>
    </row>
    <row r="164" spans="1:35" x14ac:dyDescent="0.3">
      <c r="A164" s="8">
        <v>45809</v>
      </c>
      <c r="B164" s="12">
        <v>6252.3879999999999</v>
      </c>
      <c r="C164" s="13">
        <v>3409.3670000000002</v>
      </c>
      <c r="D164" s="14">
        <v>440.54700000000003</v>
      </c>
      <c r="E164" s="14">
        <v>393.77300000000002</v>
      </c>
      <c r="F164" s="14">
        <v>2166.0970000000002</v>
      </c>
      <c r="G164" s="14">
        <v>226.477</v>
      </c>
      <c r="H164" s="7">
        <f t="shared" si="31"/>
        <v>12888.649000000001</v>
      </c>
      <c r="J164" s="25">
        <f t="shared" ref="J164:J172" si="91">A164</f>
        <v>45809</v>
      </c>
      <c r="K164" s="26">
        <f t="shared" si="89"/>
        <v>10102.302000000001</v>
      </c>
      <c r="L164" s="18">
        <f t="shared" si="78"/>
        <v>6252.3879999999999</v>
      </c>
      <c r="M164" s="18">
        <f t="shared" si="79"/>
        <v>3409.3670000000002</v>
      </c>
      <c r="N164" s="18">
        <f t="shared" si="80"/>
        <v>440.54700000000003</v>
      </c>
      <c r="O164" s="19">
        <f t="shared" si="81"/>
        <v>2786.3470000000002</v>
      </c>
      <c r="P164" s="103"/>
      <c r="Q164" s="24">
        <f t="shared" si="90"/>
        <v>-10502.999999998792</v>
      </c>
      <c r="R164" s="22">
        <f t="shared" si="82"/>
        <v>-1.0385842503636278E-3</v>
      </c>
      <c r="S164" s="24">
        <f t="shared" si="83"/>
        <v>-241442.9999999993</v>
      </c>
      <c r="T164" s="22">
        <f t="shared" si="84"/>
        <v>-2.3341932733260462E-2</v>
      </c>
      <c r="V164" s="26">
        <f t="shared" si="85"/>
        <v>-14570.999999999913</v>
      </c>
      <c r="W164" s="22">
        <f t="shared" si="86"/>
        <v>-2.3250511133070528E-3</v>
      </c>
      <c r="X164" s="26">
        <f t="shared" si="74"/>
        <v>-155748.00000000049</v>
      </c>
      <c r="Y164" s="22">
        <f t="shared" si="87"/>
        <v>-2.430472761501945E-2</v>
      </c>
      <c r="AA164" s="26">
        <f t="shared" si="88"/>
        <v>5157.0000000001528</v>
      </c>
      <c r="AB164" s="22">
        <f t="shared" si="75"/>
        <v>1.5148889169587232E-3</v>
      </c>
      <c r="AC164" s="26">
        <f t="shared" si="72"/>
        <v>-65093.999999999593</v>
      </c>
      <c r="AD164" s="22">
        <f t="shared" si="73"/>
        <v>-1.8734992276499773E-2</v>
      </c>
      <c r="AF164" s="26">
        <f t="shared" si="76"/>
        <v>-1088.9999999999986</v>
      </c>
      <c r="AG164" s="22">
        <f t="shared" si="77"/>
        <v>-2.4658315898160588E-3</v>
      </c>
      <c r="AH164" s="26">
        <f t="shared" si="49"/>
        <v>-59695.999999999971</v>
      </c>
      <c r="AI164" s="22">
        <f t="shared" si="50"/>
        <v>-0.11933400367421432</v>
      </c>
    </row>
    <row r="165" spans="1:35" x14ac:dyDescent="0.3">
      <c r="A165" s="8">
        <v>45839</v>
      </c>
      <c r="B165" s="12">
        <v>6240.2749999999996</v>
      </c>
      <c r="C165" s="13">
        <v>3407.203</v>
      </c>
      <c r="D165" s="14">
        <v>440.048</v>
      </c>
      <c r="E165" s="14">
        <v>392.923</v>
      </c>
      <c r="F165" s="14">
        <v>2155.6959999999999</v>
      </c>
      <c r="G165" s="14">
        <v>248.934</v>
      </c>
      <c r="H165" s="7">
        <f t="shared" si="31"/>
        <v>12885.079</v>
      </c>
      <c r="J165" s="25">
        <f t="shared" si="91"/>
        <v>45839</v>
      </c>
      <c r="K165" s="26">
        <f t="shared" si="89"/>
        <v>10087.526</v>
      </c>
      <c r="L165" s="18">
        <f t="shared" si="78"/>
        <v>6240.2749999999996</v>
      </c>
      <c r="M165" s="18">
        <f t="shared" si="79"/>
        <v>3407.203</v>
      </c>
      <c r="N165" s="18">
        <f t="shared" si="80"/>
        <v>440.048</v>
      </c>
      <c r="O165" s="19">
        <f t="shared" si="81"/>
        <v>2797.5529999999999</v>
      </c>
      <c r="P165" s="103"/>
      <c r="Q165" s="24">
        <f t="shared" si="90"/>
        <v>-14776.000000001659</v>
      </c>
      <c r="R165" s="22">
        <f t="shared" si="82"/>
        <v>-1.4626369316619314E-3</v>
      </c>
      <c r="S165" s="24">
        <f t="shared" si="83"/>
        <v>-256219.00000000096</v>
      </c>
      <c r="T165" s="22">
        <f t="shared" si="84"/>
        <v>-2.4770428892050278E-2</v>
      </c>
      <c r="V165" s="26">
        <f t="shared" si="85"/>
        <v>-12113.000000000284</v>
      </c>
      <c r="W165" s="22">
        <f t="shared" si="86"/>
        <v>-1.9373397812164628E-3</v>
      </c>
      <c r="X165" s="26">
        <f t="shared" ref="X165:X172" si="92">(L165-$L$142)*1000</f>
        <v>-167861.00000000079</v>
      </c>
      <c r="Y165" s="22">
        <f t="shared" si="87"/>
        <v>-2.6194980880555718E-2</v>
      </c>
      <c r="AA165" s="26">
        <f t="shared" si="88"/>
        <v>-2164.0000000002146</v>
      </c>
      <c r="AB165" s="22">
        <f t="shared" si="75"/>
        <v>-6.3472192932012561E-4</v>
      </c>
      <c r="AC165" s="26">
        <f t="shared" si="72"/>
        <v>-67257.999999999811</v>
      </c>
      <c r="AD165" s="22">
        <f t="shared" si="73"/>
        <v>-1.9357822695376337E-2</v>
      </c>
      <c r="AF165" s="26">
        <f t="shared" si="76"/>
        <v>-499.00000000002365</v>
      </c>
      <c r="AG165" s="22">
        <f t="shared" si="77"/>
        <v>-1.1326827784550186E-3</v>
      </c>
      <c r="AH165" s="26">
        <f t="shared" si="49"/>
        <v>-60194.999999999993</v>
      </c>
      <c r="AI165" s="22">
        <f t="shared" si="50"/>
        <v>-0.12033151888182347</v>
      </c>
    </row>
    <row r="166" spans="1:35" x14ac:dyDescent="0.3">
      <c r="A166" s="8">
        <v>45870</v>
      </c>
      <c r="B166" s="12">
        <v>6229.4390000000003</v>
      </c>
      <c r="C166" s="13">
        <v>3404.4070000000002</v>
      </c>
      <c r="D166" s="14">
        <v>439.4</v>
      </c>
      <c r="E166" s="14">
        <v>392.59300000000002</v>
      </c>
      <c r="F166" s="14">
        <v>2164.5949999999998</v>
      </c>
      <c r="G166" s="14">
        <v>248.04599999999999</v>
      </c>
      <c r="H166" s="7">
        <f t="shared" si="31"/>
        <v>12878.480000000001</v>
      </c>
      <c r="J166" s="25">
        <f t="shared" si="91"/>
        <v>45870</v>
      </c>
      <c r="K166" s="26">
        <f t="shared" si="89"/>
        <v>10073.246000000001</v>
      </c>
      <c r="L166" s="18">
        <f t="shared" si="78"/>
        <v>6229.4390000000003</v>
      </c>
      <c r="M166" s="18">
        <f t="shared" si="79"/>
        <v>3404.4070000000002</v>
      </c>
      <c r="N166" s="18">
        <f t="shared" si="80"/>
        <v>439.4</v>
      </c>
      <c r="O166" s="19">
        <f t="shared" si="81"/>
        <v>2805.2339999999995</v>
      </c>
      <c r="P166" s="103"/>
      <c r="Q166" s="24">
        <f t="shared" si="90"/>
        <v>-14279.999999998836</v>
      </c>
      <c r="R166" s="22">
        <f t="shared" si="82"/>
        <v>-1.415609734239931E-3</v>
      </c>
      <c r="S166" s="24">
        <f t="shared" si="83"/>
        <v>-270498.99999999977</v>
      </c>
      <c r="T166" s="22">
        <f t="shared" si="84"/>
        <v>-2.6150973366029451E-2</v>
      </c>
      <c r="V166" s="26">
        <f t="shared" si="85"/>
        <v>-10835.999999999331</v>
      </c>
      <c r="W166" s="22">
        <f t="shared" si="86"/>
        <v>-1.7364619347703947E-3</v>
      </c>
      <c r="X166" s="26">
        <f t="shared" si="92"/>
        <v>-178697.00000000012</v>
      </c>
      <c r="Y166" s="22">
        <f t="shared" si="87"/>
        <v>-2.7885956228144937E-2</v>
      </c>
      <c r="AA166" s="26">
        <f t="shared" si="88"/>
        <v>-2795.9999999998217</v>
      </c>
      <c r="AB166" s="22">
        <f t="shared" ref="AB166:AB172" si="93">M166/M165-1</f>
        <v>-8.2061444533820804E-4</v>
      </c>
      <c r="AC166" s="26">
        <f t="shared" si="72"/>
        <v>-70053.999999999636</v>
      </c>
      <c r="AD166" s="22">
        <f t="shared" si="73"/>
        <v>-2.0162551831780395E-2</v>
      </c>
      <c r="AF166" s="26">
        <f t="shared" si="76"/>
        <v>-648.00000000002456</v>
      </c>
      <c r="AG166" s="22">
        <f t="shared" si="77"/>
        <v>-1.4725666290951178E-3</v>
      </c>
      <c r="AH166" s="26">
        <f t="shared" si="49"/>
        <v>-60843.000000000015</v>
      </c>
      <c r="AI166" s="22">
        <f t="shared" si="50"/>
        <v>-0.12162688933178478</v>
      </c>
    </row>
    <row r="167" spans="1:35" x14ac:dyDescent="0.3">
      <c r="A167" s="8">
        <v>45901</v>
      </c>
      <c r="B167" s="12">
        <v>6216.6490000000003</v>
      </c>
      <c r="C167" s="13">
        <v>3406.482</v>
      </c>
      <c r="D167" s="14">
        <v>438.35199999999998</v>
      </c>
      <c r="E167" s="14">
        <v>390.96199999999999</v>
      </c>
      <c r="F167" s="14">
        <v>2181.558</v>
      </c>
      <c r="G167" s="14">
        <v>243.59</v>
      </c>
      <c r="H167" s="7">
        <f t="shared" si="31"/>
        <v>12877.593000000001</v>
      </c>
      <c r="J167" s="25">
        <f t="shared" si="91"/>
        <v>45901</v>
      </c>
      <c r="K167" s="26">
        <f t="shared" si="89"/>
        <v>10061.483000000002</v>
      </c>
      <c r="L167" s="18">
        <f t="shared" si="78"/>
        <v>6216.6490000000003</v>
      </c>
      <c r="M167" s="18">
        <f t="shared" si="79"/>
        <v>3406.482</v>
      </c>
      <c r="N167" s="18">
        <f t="shared" si="80"/>
        <v>438.35199999999998</v>
      </c>
      <c r="O167" s="19">
        <f t="shared" si="81"/>
        <v>2816.11</v>
      </c>
      <c r="P167" s="103"/>
      <c r="Q167" s="24">
        <f t="shared" si="90"/>
        <v>-11762.99999999901</v>
      </c>
      <c r="R167" s="22">
        <f t="shared" si="82"/>
        <v>-1.1677467223573101E-3</v>
      </c>
      <c r="S167" s="24">
        <f t="shared" si="83"/>
        <v>-282261.99999999884</v>
      </c>
      <c r="T167" s="22">
        <f t="shared" si="84"/>
        <v>-2.7288182374952119E-2</v>
      </c>
      <c r="V167" s="26">
        <f t="shared" si="85"/>
        <v>-12789.999999999964</v>
      </c>
      <c r="W167" s="22">
        <f t="shared" si="86"/>
        <v>-2.053154385170175E-3</v>
      </c>
      <c r="X167" s="26">
        <f t="shared" si="92"/>
        <v>-191487.00000000009</v>
      </c>
      <c r="Y167" s="22">
        <f t="shared" si="87"/>
        <v>-2.9881856440000631E-2</v>
      </c>
      <c r="AA167" s="26">
        <f t="shared" si="88"/>
        <v>2074.9999999998181</v>
      </c>
      <c r="AB167" s="22">
        <f t="shared" si="93"/>
        <v>6.0950409278315298E-4</v>
      </c>
      <c r="AC167" s="26">
        <f t="shared" si="72"/>
        <v>-67978.999999999811</v>
      </c>
      <c r="AD167" s="22">
        <f t="shared" si="73"/>
        <v>-1.9565336896859686E-2</v>
      </c>
      <c r="AF167" s="26">
        <f t="shared" ref="AF167:AF172" si="94">(N167-N166)*1000</f>
        <v>-1048.0000000000018</v>
      </c>
      <c r="AG167" s="22">
        <f t="shared" ref="AG167:AG172" si="95">N167/N166-1</f>
        <v>-2.3850705507509895E-3</v>
      </c>
      <c r="AH167" s="26">
        <f t="shared" si="49"/>
        <v>-61891.000000000022</v>
      </c>
      <c r="AI167" s="22">
        <f t="shared" si="50"/>
        <v>-0.12372187117061118</v>
      </c>
    </row>
    <row r="168" spans="1:35" x14ac:dyDescent="0.3">
      <c r="A168" s="8">
        <v>45931</v>
      </c>
      <c r="B168" s="12">
        <v>6200.9250000000002</v>
      </c>
      <c r="C168" s="13">
        <v>3402.3209999999999</v>
      </c>
      <c r="D168" s="14">
        <v>437.75400000000002</v>
      </c>
      <c r="E168" s="14">
        <v>393.18</v>
      </c>
      <c r="F168" s="14">
        <v>2180.7440000000001</v>
      </c>
      <c r="G168" s="14">
        <v>240.46</v>
      </c>
      <c r="H168" s="7">
        <f t="shared" si="31"/>
        <v>12855.384</v>
      </c>
      <c r="J168" s="25">
        <f t="shared" si="91"/>
        <v>45931</v>
      </c>
      <c r="K168" s="26">
        <f t="shared" si="89"/>
        <v>10041</v>
      </c>
      <c r="L168" s="18">
        <f t="shared" si="78"/>
        <v>6200.9250000000002</v>
      </c>
      <c r="M168" s="18">
        <f t="shared" si="79"/>
        <v>3402.3209999999999</v>
      </c>
      <c r="N168" s="18">
        <f t="shared" si="80"/>
        <v>437.75400000000002</v>
      </c>
      <c r="O168" s="19">
        <f t="shared" si="81"/>
        <v>2814.384</v>
      </c>
      <c r="P168" s="103"/>
      <c r="Q168" s="24">
        <f t="shared" si="90"/>
        <v>-20483.000000001994</v>
      </c>
      <c r="R168" s="22">
        <f t="shared" ref="R168:R173" si="96">K168/K167-1</f>
        <v>-2.0357833929652847E-3</v>
      </c>
      <c r="S168" s="24">
        <f t="shared" si="83"/>
        <v>-302745.00000000081</v>
      </c>
      <c r="T168" s="22">
        <f t="shared" si="84"/>
        <v>-2.9268412939414179E-2</v>
      </c>
      <c r="V168" s="26">
        <f t="shared" si="85"/>
        <v>-15724.00000000016</v>
      </c>
      <c r="W168" s="22">
        <f t="shared" si="86"/>
        <v>-2.5293369466412585E-3</v>
      </c>
      <c r="X168" s="26">
        <f t="shared" si="92"/>
        <v>-207211.00000000023</v>
      </c>
      <c r="Y168" s="22">
        <f t="shared" si="87"/>
        <v>-3.2335612103113975E-2</v>
      </c>
      <c r="AA168" s="26">
        <f t="shared" si="88"/>
        <v>-4161.0000000000582</v>
      </c>
      <c r="AB168" s="22">
        <f t="shared" si="93"/>
        <v>-1.2214947855294644E-3</v>
      </c>
      <c r="AC168" s="26">
        <f t="shared" si="72"/>
        <v>-72139.999999999869</v>
      </c>
      <c r="AD168" s="22">
        <f t="shared" si="73"/>
        <v>-2.0762932725392425E-2</v>
      </c>
      <c r="AF168" s="26">
        <f t="shared" si="94"/>
        <v>-597.99999999995634</v>
      </c>
      <c r="AG168" s="22">
        <f t="shared" si="95"/>
        <v>-1.3642004599042634E-3</v>
      </c>
      <c r="AH168" s="26">
        <f t="shared" si="49"/>
        <v>-62488.999999999978</v>
      </c>
      <c r="AI168" s="22">
        <f t="shared" si="50"/>
        <v>-0.12491729019696418</v>
      </c>
    </row>
    <row r="169" spans="1:35" x14ac:dyDescent="0.3">
      <c r="A169" s="8">
        <v>45962</v>
      </c>
      <c r="B169" s="12">
        <v>6184.4660000000003</v>
      </c>
      <c r="C169" s="13">
        <v>3396.3150000000001</v>
      </c>
      <c r="D169" s="14">
        <v>438.98</v>
      </c>
      <c r="E169" s="14">
        <v>393.82600000000002</v>
      </c>
      <c r="F169" s="14">
        <v>2185.0590000000002</v>
      </c>
      <c r="G169" s="14">
        <v>248.88300000000001</v>
      </c>
      <c r="H169" s="7">
        <f t="shared" si="31"/>
        <v>12847.529</v>
      </c>
      <c r="J169" s="25">
        <f t="shared" si="91"/>
        <v>45962</v>
      </c>
      <c r="K169" s="26">
        <f t="shared" si="89"/>
        <v>10019.761</v>
      </c>
      <c r="L169" s="18">
        <f t="shared" si="78"/>
        <v>6184.4660000000003</v>
      </c>
      <c r="M169" s="18">
        <f t="shared" si="79"/>
        <v>3396.3150000000001</v>
      </c>
      <c r="N169" s="18">
        <f t="shared" si="80"/>
        <v>438.98</v>
      </c>
      <c r="O169" s="19">
        <f t="shared" si="81"/>
        <v>2827.768</v>
      </c>
      <c r="P169" s="103"/>
      <c r="Q169" s="24">
        <f t="shared" si="90"/>
        <v>-21238.999999999578</v>
      </c>
      <c r="R169" s="22">
        <f t="shared" si="96"/>
        <v>-2.1152275669753529E-3</v>
      </c>
      <c r="S169" s="24">
        <f t="shared" si="83"/>
        <v>-323984.00000000035</v>
      </c>
      <c r="T169" s="22">
        <f t="shared" si="84"/>
        <v>-3.1321731152498478E-2</v>
      </c>
      <c r="V169" s="26">
        <f t="shared" si="85"/>
        <v>-16458.999999999833</v>
      </c>
      <c r="W169" s="22">
        <f t="shared" si="86"/>
        <v>-2.6542814176916396E-3</v>
      </c>
      <c r="X169" s="26">
        <f t="shared" si="92"/>
        <v>-223670.00000000006</v>
      </c>
      <c r="Y169" s="22">
        <f t="shared" si="87"/>
        <v>-3.4904065706470644E-2</v>
      </c>
      <c r="AA169" s="26">
        <f t="shared" si="88"/>
        <v>-6005.9999999998581</v>
      </c>
      <c r="AB169" s="22">
        <f t="shared" si="93"/>
        <v>-1.7652655349098545E-3</v>
      </c>
      <c r="AC169" s="26">
        <f t="shared" si="72"/>
        <v>-78145.999999999738</v>
      </c>
      <c r="AD169" s="22">
        <f t="shared" si="73"/>
        <v>-2.2491546170758547E-2</v>
      </c>
      <c r="AF169" s="26">
        <f t="shared" si="94"/>
        <v>1225.9999999999991</v>
      </c>
      <c r="AG169" s="22">
        <f t="shared" si="95"/>
        <v>2.8006597312646431E-3</v>
      </c>
      <c r="AH169" s="26">
        <f t="shared" si="49"/>
        <v>-61262.999999999978</v>
      </c>
      <c r="AI169" s="22">
        <f t="shared" si="50"/>
        <v>-0.12246648129009297</v>
      </c>
    </row>
    <row r="170" spans="1:35" x14ac:dyDescent="0.3">
      <c r="A170" s="8">
        <v>45992</v>
      </c>
      <c r="B170" s="12">
        <v>6171.8149999999996</v>
      </c>
      <c r="C170" s="13">
        <v>3394.8739999999998</v>
      </c>
      <c r="D170" s="14">
        <v>443.31900000000002</v>
      </c>
      <c r="E170" s="14">
        <v>398.41</v>
      </c>
      <c r="F170" s="14">
        <v>2190.3789999999999</v>
      </c>
      <c r="G170" s="14">
        <v>253.01400000000001</v>
      </c>
      <c r="H170" s="7">
        <f t="shared" si="31"/>
        <v>12851.810999999998</v>
      </c>
      <c r="J170" s="25">
        <f t="shared" si="91"/>
        <v>45992</v>
      </c>
      <c r="K170" s="26">
        <f t="shared" si="89"/>
        <v>10010.007999999998</v>
      </c>
      <c r="L170" s="18">
        <f t="shared" si="78"/>
        <v>6171.8149999999996</v>
      </c>
      <c r="M170" s="18">
        <f t="shared" si="79"/>
        <v>3394.8739999999998</v>
      </c>
      <c r="N170" s="18">
        <f t="shared" si="80"/>
        <v>443.31900000000002</v>
      </c>
      <c r="O170" s="19">
        <f t="shared" si="81"/>
        <v>2841.8029999999999</v>
      </c>
      <c r="P170" s="103"/>
      <c r="Q170" s="24">
        <f t="shared" si="90"/>
        <v>-9753.0000000024302</v>
      </c>
      <c r="R170" s="22">
        <f t="shared" si="96"/>
        <v>-9.7337651067752606E-4</v>
      </c>
      <c r="S170" s="24">
        <f t="shared" si="83"/>
        <v>-333737.00000000279</v>
      </c>
      <c r="T170" s="22">
        <f t="shared" si="84"/>
        <v>-3.2264619825798424E-2</v>
      </c>
      <c r="V170" s="26">
        <f t="shared" si="85"/>
        <v>-12651.000000000749</v>
      </c>
      <c r="W170" s="22">
        <f t="shared" si="86"/>
        <v>-2.0456091116033415E-3</v>
      </c>
      <c r="X170" s="26">
        <f t="shared" si="92"/>
        <v>-236321.00000000081</v>
      </c>
      <c r="Y170" s="22">
        <f t="shared" si="87"/>
        <v>-3.6878274743232797E-2</v>
      </c>
      <c r="AA170" s="26">
        <f t="shared" si="88"/>
        <v>-1441.0000000002583</v>
      </c>
      <c r="AB170" s="22">
        <f t="shared" si="93"/>
        <v>-4.2428337771971414E-4</v>
      </c>
      <c r="AC170" s="26">
        <f t="shared" si="72"/>
        <v>-79586.999999999985</v>
      </c>
      <c r="AD170" s="22">
        <f t="shared" si="73"/>
        <v>-2.2906286759298733E-2</v>
      </c>
      <c r="AF170" s="26">
        <f t="shared" si="94"/>
        <v>4338.9999999999982</v>
      </c>
      <c r="AG170" s="22">
        <f t="shared" si="95"/>
        <v>9.8842771880267577E-3</v>
      </c>
      <c r="AH170" s="26">
        <f t="shared" si="49"/>
        <v>-56923.999999999978</v>
      </c>
      <c r="AI170" s="22">
        <f t="shared" si="50"/>
        <v>-0.11379269674937975</v>
      </c>
    </row>
    <row r="171" spans="1:35" x14ac:dyDescent="0.3">
      <c r="A171" s="8">
        <v>46023</v>
      </c>
      <c r="B171" s="12">
        <v>6164.1189999999997</v>
      </c>
      <c r="C171" s="13">
        <v>3390.1640000000002</v>
      </c>
      <c r="D171" s="14">
        <v>444.327</v>
      </c>
      <c r="E171" s="14">
        <v>400.25</v>
      </c>
      <c r="F171" s="14">
        <v>2202.4670000000001</v>
      </c>
      <c r="G171" s="14">
        <v>249.435</v>
      </c>
      <c r="H171" s="7">
        <f t="shared" si="31"/>
        <v>12850.761999999999</v>
      </c>
      <c r="J171" s="25">
        <f t="shared" si="91"/>
        <v>46023</v>
      </c>
      <c r="K171" s="26">
        <f t="shared" si="89"/>
        <v>9998.6099999999988</v>
      </c>
      <c r="L171" s="18">
        <f t="shared" si="78"/>
        <v>6164.1189999999997</v>
      </c>
      <c r="M171" s="18">
        <f t="shared" si="79"/>
        <v>3390.1640000000002</v>
      </c>
      <c r="N171" s="18">
        <f t="shared" si="80"/>
        <v>444.327</v>
      </c>
      <c r="O171" s="19">
        <f t="shared" si="81"/>
        <v>2852.152</v>
      </c>
      <c r="P171" s="103"/>
      <c r="Q171" s="24">
        <f t="shared" si="90"/>
        <v>-11397.999999999229</v>
      </c>
      <c r="R171" s="22">
        <f t="shared" si="96"/>
        <v>-1.138660428642968E-3</v>
      </c>
      <c r="S171" s="24">
        <f t="shared" si="83"/>
        <v>-345135.00000000204</v>
      </c>
      <c r="T171" s="22">
        <f t="shared" si="84"/>
        <v>-3.3366541808600436E-2</v>
      </c>
      <c r="V171" s="26">
        <f t="shared" si="85"/>
        <v>-7695.9999999999127</v>
      </c>
      <c r="W171" s="88">
        <f t="shared" si="86"/>
        <v>-1.2469589577781548E-3</v>
      </c>
      <c r="X171" s="26">
        <f t="shared" si="92"/>
        <v>-244017.00000000073</v>
      </c>
      <c r="Y171" s="22">
        <f t="shared" si="87"/>
        <v>-3.807924800597251E-2</v>
      </c>
      <c r="AA171" s="26">
        <f t="shared" si="88"/>
        <v>-4709.9999999995816</v>
      </c>
      <c r="AB171" s="22">
        <f t="shared" si="93"/>
        <v>-1.3873858057764643E-3</v>
      </c>
      <c r="AC171" s="26">
        <f t="shared" si="72"/>
        <v>-84296.999999999563</v>
      </c>
      <c r="AD171" s="22">
        <f t="shared" si="73"/>
        <v>-2.4261892707962307E-2</v>
      </c>
      <c r="AF171" s="26">
        <f t="shared" si="94"/>
        <v>1007.9999999999814</v>
      </c>
      <c r="AG171" s="22">
        <f t="shared" si="95"/>
        <v>2.2737577229940964E-3</v>
      </c>
      <c r="AH171" s="26">
        <f t="shared" si="49"/>
        <v>-55916</v>
      </c>
      <c r="AI171" s="22">
        <f t="shared" si="50"/>
        <v>-0.11177767604944</v>
      </c>
    </row>
    <row r="172" spans="1:35" x14ac:dyDescent="0.3">
      <c r="A172" s="8">
        <v>46054</v>
      </c>
      <c r="B172" s="12">
        <v>6162.0950000000003</v>
      </c>
      <c r="C172" s="13">
        <v>3393.9180000000001</v>
      </c>
      <c r="D172" s="14">
        <v>445.08</v>
      </c>
      <c r="E172" s="14">
        <v>400.80500000000001</v>
      </c>
      <c r="F172" s="14">
        <v>2207.46</v>
      </c>
      <c r="G172" s="14">
        <v>247.02500000000001</v>
      </c>
      <c r="H172" s="7">
        <f t="shared" si="31"/>
        <v>12856.383</v>
      </c>
      <c r="J172" s="25">
        <f t="shared" si="91"/>
        <v>46054</v>
      </c>
      <c r="K172" s="26">
        <f t="shared" si="89"/>
        <v>10001.093000000001</v>
      </c>
      <c r="L172" s="18">
        <f t="shared" si="78"/>
        <v>6162.0950000000003</v>
      </c>
      <c r="M172" s="18">
        <f t="shared" si="79"/>
        <v>3393.9180000000001</v>
      </c>
      <c r="N172" s="18">
        <f t="shared" si="80"/>
        <v>445.08</v>
      </c>
      <c r="O172" s="19">
        <f t="shared" si="81"/>
        <v>2855.29</v>
      </c>
      <c r="P172" s="103"/>
      <c r="Q172" s="24">
        <f t="shared" si="90"/>
        <v>2483.0000000019936</v>
      </c>
      <c r="R172" s="22">
        <f t="shared" si="96"/>
        <v>2.4833451849826105E-4</v>
      </c>
      <c r="S172" s="24">
        <f t="shared" si="83"/>
        <v>-342652.00000000006</v>
      </c>
      <c r="T172" s="22">
        <f t="shared" si="84"/>
        <v>-3.3126493354196151E-2</v>
      </c>
      <c r="V172" s="26">
        <f t="shared" si="85"/>
        <v>-2023.9999999994325</v>
      </c>
      <c r="W172" s="22">
        <f t="shared" si="86"/>
        <v>-3.2835186991031495E-4</v>
      </c>
      <c r="X172" s="26">
        <f t="shared" si="92"/>
        <v>-246041.00000000017</v>
      </c>
      <c r="Y172" s="22">
        <f t="shared" si="87"/>
        <v>-3.8395096483595292E-2</v>
      </c>
      <c r="AA172" s="26">
        <f t="shared" si="88"/>
        <v>3753.9999999999054</v>
      </c>
      <c r="AB172" s="22">
        <f t="shared" si="93"/>
        <v>1.1073210617538187E-3</v>
      </c>
      <c r="AC172" s="26">
        <f t="shared" si="72"/>
        <v>-80542.999999999665</v>
      </c>
      <c r="AD172" s="22">
        <f t="shared" si="73"/>
        <v>-2.3181437351001977E-2</v>
      </c>
      <c r="AF172" s="26">
        <f t="shared" si="94"/>
        <v>752.9999999999859</v>
      </c>
      <c r="AG172" s="22">
        <f t="shared" si="95"/>
        <v>1.69469782389986E-3</v>
      </c>
      <c r="AH172" s="26">
        <f t="shared" si="49"/>
        <v>-55163.000000000015</v>
      </c>
      <c r="AI172" s="22">
        <f t="shared" si="50"/>
        <v>-0.11027240760990165</v>
      </c>
    </row>
    <row r="173" spans="1:35" x14ac:dyDescent="0.3">
      <c r="A173" s="8">
        <v>46082</v>
      </c>
      <c r="B173" s="12">
        <v>6152.5249999999996</v>
      </c>
      <c r="C173" s="13">
        <v>3393.3739999999998</v>
      </c>
      <c r="D173" s="14">
        <v>445.464</v>
      </c>
      <c r="E173" s="14">
        <v>395.04399999999998</v>
      </c>
      <c r="F173" s="14">
        <v>2204.1419999999998</v>
      </c>
      <c r="G173" s="14">
        <v>241.83699999999999</v>
      </c>
      <c r="H173" s="7">
        <f>+SUM(B173:G173)</f>
        <v>12832.385999999999</v>
      </c>
      <c r="J173" s="25">
        <f>A173</f>
        <v>46082</v>
      </c>
      <c r="K173" s="26">
        <f>B173+C173+D173</f>
        <v>9991.3629999999994</v>
      </c>
      <c r="L173" s="18">
        <f t="shared" ref="L173:N174" si="97">B173</f>
        <v>6152.5249999999996</v>
      </c>
      <c r="M173" s="18">
        <f t="shared" si="97"/>
        <v>3393.3739999999998</v>
      </c>
      <c r="N173" s="18">
        <f t="shared" si="97"/>
        <v>445.464</v>
      </c>
      <c r="O173" s="19">
        <f>E173+F173+G173</f>
        <v>2841.0229999999997</v>
      </c>
      <c r="P173" s="103"/>
      <c r="Q173" s="24">
        <f>(K173-K172)*1000</f>
        <v>-9730.0000000013824</v>
      </c>
      <c r="R173" s="22">
        <f t="shared" si="96"/>
        <v>-9.7289366272279576E-4</v>
      </c>
      <c r="S173" s="24">
        <f>(K173-$K$142)*1000</f>
        <v>-352382.0000000014</v>
      </c>
      <c r="T173" s="22">
        <f>K173/$K$142-1</f>
        <v>-3.4067158461466462E-2</v>
      </c>
      <c r="V173" s="26">
        <f>(L173-L172)*1000</f>
        <v>-9570.0000000006185</v>
      </c>
      <c r="W173" s="88">
        <f>L173/L172-1</f>
        <v>-1.5530432425986396E-3</v>
      </c>
      <c r="X173" s="26">
        <f>(L173-$L$142)*1000</f>
        <v>-255611.00000000079</v>
      </c>
      <c r="Y173" s="22">
        <f>L173/$L$142-1</f>
        <v>-3.9888510481051132E-2</v>
      </c>
      <c r="AA173" s="26">
        <f>(M173-M172)*1000</f>
        <v>-544.00000000032378</v>
      </c>
      <c r="AB173" s="22">
        <f>M173/M172-1</f>
        <v>-1.6028672466461558E-4</v>
      </c>
      <c r="AC173" s="26">
        <f>(M173-$M$146)*1000</f>
        <v>-81086.999999999985</v>
      </c>
      <c r="AD173" s="22">
        <f>M173/$M$146-1</f>
        <v>-2.3338008399000576E-2</v>
      </c>
      <c r="AF173" s="26">
        <f>(N173-N172)*1000</f>
        <v>384.00000000001455</v>
      </c>
      <c r="AG173" s="22">
        <f>N173/N172-1</f>
        <v>8.6276624427061854E-4</v>
      </c>
      <c r="AH173" s="26">
        <f t="shared" si="49"/>
        <v>-54779</v>
      </c>
      <c r="AI173" s="22">
        <f t="shared" si="50"/>
        <v>-0.1095047806765912</v>
      </c>
    </row>
    <row r="174" spans="1:35" x14ac:dyDescent="0.3">
      <c r="A174" s="8">
        <v>46113</v>
      </c>
      <c r="B174" s="151">
        <v>6140.58</v>
      </c>
      <c r="C174" s="151">
        <v>3386.7730000000001</v>
      </c>
      <c r="D174" s="151">
        <v>446.60300000000001</v>
      </c>
      <c r="E174" s="151">
        <v>391.267</v>
      </c>
      <c r="F174" s="151">
        <v>2195.6590000000001</v>
      </c>
      <c r="G174" s="151">
        <v>236.702</v>
      </c>
      <c r="H174" s="7">
        <f>+SUM(B174:G174)</f>
        <v>12797.583999999997</v>
      </c>
      <c r="J174" s="25">
        <f>A174</f>
        <v>46113</v>
      </c>
      <c r="K174" s="26">
        <f>B174+C174+D174</f>
        <v>9973.9559999999983</v>
      </c>
      <c r="L174" s="18">
        <f t="shared" si="97"/>
        <v>6140.58</v>
      </c>
      <c r="M174" s="18">
        <f t="shared" si="97"/>
        <v>3386.7730000000001</v>
      </c>
      <c r="N174" s="18">
        <f t="shared" si="97"/>
        <v>446.60300000000001</v>
      </c>
      <c r="O174" s="19">
        <f>E174+F174+G174</f>
        <v>2823.6279999999997</v>
      </c>
      <c r="P174" s="103"/>
      <c r="Q174" s="24">
        <f>(K174-K173)*1000</f>
        <v>-17407.000000001062</v>
      </c>
      <c r="R174" s="22">
        <f t="shared" ref="R174" si="98">K174/K173-1</f>
        <v>-1.7422047422359643E-3</v>
      </c>
      <c r="S174" s="24">
        <f>(K174-$K$142)*1000</f>
        <v>-369789.0000000025</v>
      </c>
      <c r="T174" s="22">
        <f>K174/$K$142-1</f>
        <v>-3.5750011238676382E-2</v>
      </c>
      <c r="V174" s="26">
        <f>(L174-L173)*1000</f>
        <v>-11944.999999999709</v>
      </c>
      <c r="W174" s="88">
        <f>L174/L173-1</f>
        <v>-1.941479311339589E-3</v>
      </c>
      <c r="X174" s="26">
        <f>(L174-$L$142)*1000</f>
        <v>-267556.00000000047</v>
      </c>
      <c r="Y174" s="22">
        <f>L174/$L$142-1</f>
        <v>-4.1752547074531576E-2</v>
      </c>
      <c r="AA174" s="26">
        <f>(M174-M173)*1000</f>
        <v>-6600.999999999658</v>
      </c>
      <c r="AB174" s="22">
        <f>M174/M173-1</f>
        <v>-1.9452615597336242E-3</v>
      </c>
      <c r="AC174" s="26">
        <f>(M174-$M$146)*1000</f>
        <v>-87687.999999999651</v>
      </c>
      <c r="AD174" s="22">
        <f>M174/$M$146-1</f>
        <v>-2.5237871428114955E-2</v>
      </c>
      <c r="AF174" s="26">
        <f>(N174-N173)*1000</f>
        <v>1139.00000000001</v>
      </c>
      <c r="AG174" s="22">
        <f>N174/N173-1</f>
        <v>2.5568845069410262E-3</v>
      </c>
      <c r="AH174" s="26">
        <f t="shared" si="49"/>
        <v>-53639.999999999985</v>
      </c>
      <c r="AI174" s="22">
        <f t="shared" si="50"/>
        <v>-0.10722788724679799</v>
      </c>
    </row>
    <row r="175" spans="1:35" x14ac:dyDescent="0.3">
      <c r="A175" s="105">
        <v>46143</v>
      </c>
      <c r="B175" s="151">
        <v>6131.5209999999997</v>
      </c>
      <c r="C175" s="151">
        <v>3387.509</v>
      </c>
      <c r="D175" s="151">
        <v>447.95499999999998</v>
      </c>
      <c r="E175" s="151">
        <v>388.20800000000003</v>
      </c>
      <c r="F175" s="151">
        <v>2198.335</v>
      </c>
      <c r="G175" s="151">
        <v>232.07599999999999</v>
      </c>
      <c r="H175" s="7">
        <f>+SUM(B175:G175)</f>
        <v>12785.603999999998</v>
      </c>
      <c r="J175" s="25">
        <f>A175</f>
        <v>46143</v>
      </c>
      <c r="K175" s="26">
        <f>B175+C175+D175</f>
        <v>9966.9849999999988</v>
      </c>
      <c r="L175" s="18">
        <f t="shared" ref="L175" si="99">B175</f>
        <v>6131.5209999999997</v>
      </c>
      <c r="M175" s="18">
        <f t="shared" ref="M175" si="100">C175</f>
        <v>3387.509</v>
      </c>
      <c r="N175" s="18">
        <f t="shared" ref="N175" si="101">D175</f>
        <v>447.95499999999998</v>
      </c>
      <c r="O175" s="19">
        <f>E175+F175+G175</f>
        <v>2818.6190000000001</v>
      </c>
      <c r="P175" s="103"/>
      <c r="Q175" s="24">
        <f>(K175-K174)*1000</f>
        <v>-6970.9999999995489</v>
      </c>
      <c r="R175" s="22">
        <f t="shared" ref="R175" si="102">K175/K174-1</f>
        <v>-6.9892026794582396E-4</v>
      </c>
      <c r="S175" s="24">
        <f>(K175-$K$142)*1000</f>
        <v>-376760.00000000204</v>
      </c>
      <c r="T175" s="22">
        <f>K175/$K$142-1</f>
        <v>-3.6423945099188115E-2</v>
      </c>
      <c r="V175" s="26">
        <f>(L175-L174)*1000</f>
        <v>-9059.0000000001965</v>
      </c>
      <c r="W175" s="88">
        <f>L175/L174-1</f>
        <v>-1.4752678085784288E-3</v>
      </c>
      <c r="X175" s="26">
        <f>(L175-$L$142)*1000</f>
        <v>-276615.0000000007</v>
      </c>
      <c r="Y175" s="22">
        <f>L175/$L$142-1</f>
        <v>-4.3166218694484781E-2</v>
      </c>
      <c r="AA175" s="26">
        <f>(M175-M174)*1000</f>
        <v>735.99999999987631</v>
      </c>
      <c r="AB175" s="22">
        <f>M175/M174-1</f>
        <v>2.1731601143626378E-4</v>
      </c>
      <c r="AC175" s="26">
        <f>(M175-$M$146)*1000</f>
        <v>-86951.999999999767</v>
      </c>
      <c r="AD175" s="22">
        <f>M175/$M$146-1</f>
        <v>-2.5026040010234563E-2</v>
      </c>
      <c r="AF175" s="26">
        <f>(N175-N174)*1000</f>
        <v>1351.9999999999754</v>
      </c>
      <c r="AG175" s="22">
        <f>N175/N174-1</f>
        <v>3.0272971744480515E-3</v>
      </c>
      <c r="AH175" s="26">
        <f t="shared" ref="AH175" si="103">(N175-$N$177)*1000</f>
        <v>-52288.000000000015</v>
      </c>
      <c r="AI175" s="22">
        <f t="shared" ref="AI175" si="104">N175/$N$177-1</f>
        <v>-0.10452520075243432</v>
      </c>
    </row>
    <row r="176" spans="1:35" x14ac:dyDescent="0.3">
      <c r="B176" s="92"/>
      <c r="C176" s="90"/>
      <c r="K176" s="131"/>
      <c r="L176" s="143"/>
      <c r="M176" s="143"/>
      <c r="N176" s="143"/>
      <c r="O176" s="19"/>
      <c r="Q176" s="24"/>
      <c r="R176" s="22"/>
      <c r="S176" s="24">
        <f>(K176-$K$142)*1000</f>
        <v>-10343745</v>
      </c>
      <c r="T176" s="22">
        <f>K176/$K$142-1</f>
        <v>-1</v>
      </c>
      <c r="X176" s="26"/>
      <c r="Y176" s="22"/>
      <c r="AC176" s="26"/>
      <c r="AD176" s="22"/>
    </row>
    <row r="177" spans="10:35" x14ac:dyDescent="0.3">
      <c r="J177" s="27" t="s">
        <v>18</v>
      </c>
      <c r="K177" s="18">
        <f>MAX(K3:K176)</f>
        <v>10343.745000000001</v>
      </c>
      <c r="L177" s="18">
        <f t="shared" ref="L177:O177" si="105">MAX(L3:L174)</f>
        <v>6408.1360000000004</v>
      </c>
      <c r="M177" s="18">
        <f t="shared" si="105"/>
        <v>3474.4609999999998</v>
      </c>
      <c r="N177" s="18">
        <f t="shared" si="105"/>
        <v>500.24299999999999</v>
      </c>
      <c r="O177" s="18">
        <f t="shared" si="105"/>
        <v>3166.1040000000003</v>
      </c>
      <c r="Q177" s="108"/>
      <c r="R177" s="87"/>
    </row>
    <row r="178" spans="10:35" x14ac:dyDescent="0.3">
      <c r="J178" s="27"/>
      <c r="K178" s="109">
        <f>HLOOKUP(K$2,$J$2:$O$1723,MATCH(MAX($J$2:$J$1723),$J$2:$J$1723,0),FALSE)-K177</f>
        <v>-376.76000000000204</v>
      </c>
      <c r="L178" s="109">
        <f>HLOOKUP(L$2,$J$2:$O$1723,MATCH(MAX($J$2:$J$1723),$J$2:$J$1723,0),FALSE)-L177</f>
        <v>-276.61500000000069</v>
      </c>
      <c r="M178" s="109">
        <f>HLOOKUP(M$2,$J$2:$O$1723,MATCH(MAX($J$2:$J$1723),$J$2:$J$1723,0),FALSE)-M177</f>
        <v>-86.951999999999771</v>
      </c>
      <c r="N178" s="109">
        <f>HLOOKUP(N$2,$J$2:$O$1723,MATCH(MAX($J$2:$J$1723),$J$2:$J$1723,0),FALSE)-N177</f>
        <v>-52.288000000000011</v>
      </c>
      <c r="O178" s="109">
        <f>HLOOKUP(O$2,$J$2:$O$1723,MATCH(MAX($J$2:$J$1723),$J$2:$J$1723,0),FALSE)-O177</f>
        <v>-347.48500000000013</v>
      </c>
      <c r="Q178" s="108"/>
      <c r="R178" s="87"/>
    </row>
    <row r="179" spans="10:35" x14ac:dyDescent="0.3">
      <c r="J179" s="27"/>
      <c r="K179" s="22">
        <f>HLOOKUP(K$2,$J$2:$O$1723,MATCH(MAX($J$2:$J$1723),$J$2:$J$1723,0),FALSE)/K177-1</f>
        <v>-3.6423945099188115E-2</v>
      </c>
      <c r="L179" s="22">
        <f>HLOOKUP(L$2,$J$2:$O$1723,MATCH(MAX($J$2:$J$1723),$J$2:$J$1723,0),FALSE)/L177-1</f>
        <v>-4.3166218694484781E-2</v>
      </c>
      <c r="M179" s="22">
        <f>HLOOKUP(M$2,$J$2:$O$1723,MATCH(MAX($J$2:$J$1723),$J$2:$J$1723,0),FALSE)/M177-1</f>
        <v>-2.5026040010234563E-2</v>
      </c>
      <c r="N179" s="22">
        <f>HLOOKUP(N$2,$J$2:$O$1723,MATCH(MAX($J$2:$J$1723),$J$2:$J$1723,0),FALSE)/N177-1</f>
        <v>-0.10452520075243432</v>
      </c>
      <c r="O179" s="22">
        <f>HLOOKUP(O$2,$J$2:$O$1723,MATCH(MAX($J$2:$J$1723),$J$2:$J$1723,0),FALSE)/O177-1</f>
        <v>-0.10975160639069348</v>
      </c>
      <c r="Q179" s="108"/>
      <c r="R179" s="87"/>
    </row>
    <row r="180" spans="10:35" x14ac:dyDescent="0.3">
      <c r="J180" s="27" t="s">
        <v>96</v>
      </c>
      <c r="K180" s="26">
        <f>(HLOOKUP(K$2,$J$2:$O$1723,MATCH(MAX($J$2:$J$1723),$J$2:$J$1723,0),FALSE)-HLOOKUP(K$2,$J$2:$O$1723,MATCH(MAX($J$2:$J$1723),$J$2:$J$1723,0)-1,FALSE))*1000</f>
        <v>-6970.9999999995489</v>
      </c>
      <c r="L180" s="26">
        <f>(HLOOKUP(L$2,$J$2:$O$1723,MATCH(MAX($J$2:$J$1723),$J$2:$J$1723,0),FALSE)-HLOOKUP(L$2,$J$2:$O$1723,MATCH(MAX($J$2:$J$1723),$J$2:$J$1723,0)-1,FALSE))*1000</f>
        <v>-9059.0000000001965</v>
      </c>
      <c r="M180" s="26">
        <f>(HLOOKUP(M$2,$J$2:$O$1723,MATCH(MAX($J$2:$J$1723),$J$2:$J$1723,0),FALSE)-HLOOKUP(M$2,$J$2:$O$1723,MATCH(MAX($J$2:$J$1723),$J$2:$J$1723,0)-1,FALSE))*1000</f>
        <v>735.99999999987631</v>
      </c>
      <c r="N180" s="26">
        <f>(HLOOKUP(N$2,$J$2:$O$1723,MATCH(MAX($J$2:$J$1723),$J$2:$J$1723,0),FALSE)-HLOOKUP(N$2,$J$2:$O$1723,MATCH(MAX($J$2:$J$1723),$J$2:$J$1723,0)-1,FALSE))*1000</f>
        <v>1351.9999999999754</v>
      </c>
      <c r="O180" s="26">
        <f>(HLOOKUP(O$2,$J$2:$O$1723,MATCH(MAX($J$2:$J$1723),$J$2:$J$1723,0),FALSE)-HLOOKUP(O$2,$J$2:$O$1723,MATCH(MAX($J$2:$J$1723),$J$2:$J$1723,0)-1,FALSE))*1000</f>
        <v>-5008.9999999995598</v>
      </c>
      <c r="Q180" s="15">
        <f>(K169-K168)*1000</f>
        <v>-21238.999999999578</v>
      </c>
      <c r="R180" s="87">
        <f>K169/K168-1</f>
        <v>-2.1152275669753529E-3</v>
      </c>
      <c r="S180" s="15">
        <f>(K169-$K$142)*1000</f>
        <v>-323984.00000000035</v>
      </c>
      <c r="T180" s="15">
        <f>K169/$K$142-1</f>
        <v>-3.1321731152498478E-2</v>
      </c>
      <c r="V180" s="15">
        <f>(L169-L168)*1000</f>
        <v>-16458.999999999833</v>
      </c>
      <c r="W180" s="15">
        <f>L169/L168-1</f>
        <v>-2.6542814176916396E-3</v>
      </c>
      <c r="X180" s="15">
        <f>(L169-$L$142)*1000</f>
        <v>-223670.00000000006</v>
      </c>
      <c r="Y180" s="15">
        <f>L169/$L$142-1</f>
        <v>-3.4904065706470644E-2</v>
      </c>
      <c r="AA180" s="15">
        <f>(M169-M168)*1000</f>
        <v>-6005.9999999998581</v>
      </c>
      <c r="AB180" s="15">
        <f>M169/M168-1</f>
        <v>-1.7652655349098545E-3</v>
      </c>
      <c r="AC180" s="15">
        <f>(M169-$M$146)*1000</f>
        <v>-78145.999999999738</v>
      </c>
      <c r="AD180" s="15">
        <f>M169/$M$146-1</f>
        <v>-2.2491546170758547E-2</v>
      </c>
      <c r="AF180" s="15">
        <f>(N169-N168)*1000</f>
        <v>1225.9999999999991</v>
      </c>
      <c r="AG180" s="15">
        <f>N169/N168-1</f>
        <v>2.8006597312646431E-3</v>
      </c>
      <c r="AH180" s="15">
        <f>(N169-$N$177)*1000</f>
        <v>-61262.999999999978</v>
      </c>
      <c r="AI180" s="15">
        <f>N169/$N$177-1</f>
        <v>-0.12246648129009297</v>
      </c>
    </row>
    <row r="181" spans="10:35" x14ac:dyDescent="0.3">
      <c r="J181" s="27" t="s">
        <v>95</v>
      </c>
      <c r="K181" s="89">
        <f>K180/$K$180</f>
        <v>1</v>
      </c>
      <c r="L181" s="89">
        <f>L180/$K$180</f>
        <v>1.2995266102425451</v>
      </c>
      <c r="M181" s="89">
        <f>M180/$K$180</f>
        <v>-0.10558026108161296</v>
      </c>
      <c r="N181" s="89">
        <f>N180/$K$180</f>
        <v>-0.1939463491608181</v>
      </c>
      <c r="O181" s="89">
        <f>O180/$K$180</f>
        <v>0.71854827141011102</v>
      </c>
      <c r="R181" s="87"/>
    </row>
    <row r="182" spans="10:35" x14ac:dyDescent="0.3">
      <c r="J182" s="27" t="s">
        <v>108</v>
      </c>
      <c r="K182" s="22">
        <f>(HLOOKUP(K$2,$J$2:$O$1723,MATCH(MAX($J$2:$J$1723),$J$2:$J$1723,0),FALSE)/HLOOKUP(K$2,$J$2:$O$1723,MATCH(MAX($J$2:$J$1723),$J$2:$J$1723,0)-1,FALSE))-1</f>
        <v>-6.9892026794582396E-4</v>
      </c>
      <c r="L182" s="22">
        <f>(HLOOKUP(L$2,$J$2:$O$1723,MATCH(MAX($J$2:$J$1723),$J$2:$J$1723,0),FALSE)/HLOOKUP(L$2,$J$2:$O$1723,MATCH(MAX($J$2:$J$1723),$J$2:$J$1723,0)-1,FALSE))-1</f>
        <v>-1.4752678085784288E-3</v>
      </c>
      <c r="M182" s="22">
        <f>(HLOOKUP(M$2,$J$2:$O$1723,MATCH(MAX($J$2:$J$1723),$J$2:$J$1723,0),FALSE)/HLOOKUP(M$2,$J$2:$O$1723,MATCH(MAX($J$2:$J$1723),$J$2:$J$1723,0)-1,FALSE))-1</f>
        <v>2.1731601143626378E-4</v>
      </c>
      <c r="N182" s="22">
        <f>(HLOOKUP(N$2,$J$2:$O$1723,MATCH(MAX($J$2:$J$1723),$J$2:$J$1723,0),FALSE)/HLOOKUP(N$2,$J$2:$O$1723,MATCH(MAX($J$2:$J$1723),$J$2:$J$1723,0)-1,FALSE))-1</f>
        <v>3.0272971744480515E-3</v>
      </c>
      <c r="O182" s="22">
        <f>(HLOOKUP(O$2,$J$2:$O$1723,MATCH(MAX($J$2:$J$1723),$J$2:$J$1723,0),FALSE)/HLOOKUP(O$2,$J$2:$O$1723,MATCH(MAX($J$2:$J$1723),$J$2:$J$1723,0)-1,FALSE))-1</f>
        <v>-1.7739588926017902E-3</v>
      </c>
      <c r="R182" s="87"/>
    </row>
    <row r="183" spans="10:35" x14ac:dyDescent="0.3">
      <c r="J183" s="27" t="s">
        <v>119</v>
      </c>
      <c r="K183" s="26">
        <f>(HLOOKUP(K$2,$J$2:$O$1723,MATCH(MAX($J$2:$J$1723),$J$2:$J$1723,0),FALSE)-HLOOKUP(K$2,$J$2:$O$1723,MATCH(MAX($J$2:$J$1723),$J$2:$J$1723,0)-12,FALSE))</f>
        <v>-145.82000000000153</v>
      </c>
      <c r="L183" s="26">
        <f>(HLOOKUP(L$2,$J$2:$O$1723,MATCH(MAX($J$2:$J$1723),$J$2:$J$1723,0),FALSE)-HLOOKUP(L$2,$J$2:$O$1723,MATCH(MAX($J$2:$J$1723),$J$2:$J$1723,0)-12,FALSE))</f>
        <v>-135.4380000000001</v>
      </c>
      <c r="M183" s="26">
        <f>(HLOOKUP(M$2,$J$2:$O$1723,MATCH(MAX($J$2:$J$1723),$J$2:$J$1723,0),FALSE)-HLOOKUP(M$2,$J$2:$O$1723,MATCH(MAX($J$2:$J$1723),$J$2:$J$1723,0)-12,FALSE))</f>
        <v>-16.701000000000022</v>
      </c>
      <c r="N183" s="26">
        <f>(HLOOKUP(N$2,$J$2:$O$1723,MATCH(MAX($J$2:$J$1723),$J$2:$J$1723,0),FALSE)-HLOOKUP(N$2,$J$2:$O$1723,MATCH(MAX($J$2:$J$1723),$J$2:$J$1723,0)-12,FALSE))</f>
        <v>6.31899999999996</v>
      </c>
      <c r="O183" s="102"/>
      <c r="R183" s="87"/>
    </row>
    <row r="184" spans="10:35" x14ac:dyDescent="0.3">
      <c r="J184" s="27" t="s">
        <v>120</v>
      </c>
      <c r="K184" s="22">
        <f>(HLOOKUP(K$2,$J$2:$O$1723,MATCH(MAX($J$2:$J$1723),$J$2:$J$1723,0),FALSE)/HLOOKUP(K$2,$J$2:$O$1723,MATCH(MAX($J$2:$J$1723),$J$2:$J$1723,0)-12,FALSE))-1</f>
        <v>-1.4419342605736185E-2</v>
      </c>
      <c r="L184" s="22">
        <f>(HLOOKUP(L$2,$J$2:$O$1723,MATCH(MAX($J$2:$J$1723),$J$2:$J$1723,0),FALSE)/HLOOKUP(L$2,$J$2:$O$1723,MATCH(MAX($J$2:$J$1723),$J$2:$J$1723,0)-12,FALSE))-1</f>
        <v>-2.1611438657888171E-2</v>
      </c>
      <c r="M184" s="22">
        <f>(HLOOKUP(M$2,$J$2:$O$1723,MATCH(MAX($J$2:$J$1723),$J$2:$J$1723,0),FALSE)/HLOOKUP(M$2,$J$2:$O$1723,MATCH(MAX($J$2:$J$1723),$J$2:$J$1723,0)-12,FALSE))-1</f>
        <v>-4.9059840609128047E-3</v>
      </c>
      <c r="N184" s="22">
        <f>(HLOOKUP(N$2,$J$2:$O$1723,MATCH(MAX($J$2:$J$1723),$J$2:$J$1723,0),FALSE)/HLOOKUP(N$2,$J$2:$O$1723,MATCH(MAX($J$2:$J$1723),$J$2:$J$1723,0)-12,FALSE))-1</f>
        <v>1.4308163283790254E-2</v>
      </c>
      <c r="O184" s="88"/>
      <c r="R184" s="87"/>
    </row>
    <row r="185" spans="10:35" x14ac:dyDescent="0.3">
      <c r="J185" s="27" t="s">
        <v>109</v>
      </c>
      <c r="K185" s="130">
        <f>HLOOKUP(K$2,$J$2:$O$1723,MATCH(MAX($J$2:$J$1723),$J$2:$J$1723,0),FALSE)-K145</f>
        <v>-337.3650000000016</v>
      </c>
      <c r="L185" s="130">
        <f>HLOOKUP(L$2,$J$2:$O$1723,MATCH(MAX($J$2:$J$1723),$J$2:$J$1723,0),FALSE)-L145</f>
        <v>-241.17600000000039</v>
      </c>
      <c r="M185" s="130">
        <f>HLOOKUP(M$2,$J$2:$O$1723,MATCH(MAX($J$2:$J$1723),$J$2:$J$1723,0),FALSE)-M145</f>
        <v>-79.864999999999782</v>
      </c>
      <c r="N185" s="130">
        <f>HLOOKUP(N$2,$J$2:$O$1723,MATCH(MAX($J$2:$J$1723),$J$2:$J$1723,0),FALSE)-N145</f>
        <v>-16.324000000000012</v>
      </c>
      <c r="O185" s="130">
        <f>HLOOKUP(O$2,$J$2:$O$1723,MATCH(MAX($J$2:$J$1723),$J$2:$J$1723,0),FALSE)-O145</f>
        <v>-242.19000000000005</v>
      </c>
      <c r="R185" s="87"/>
    </row>
    <row r="186" spans="10:35" x14ac:dyDescent="0.3">
      <c r="J186" s="27" t="s">
        <v>110</v>
      </c>
      <c r="K186" s="22">
        <f>HLOOKUP(K$2,$J$2:$O$1723,MATCH(MAX($J$2:$J$1723),$J$2:$J$1723,0),FALSE)/K145-1</f>
        <v>-3.2740056383954497E-2</v>
      </c>
      <c r="L186" s="22">
        <f>HLOOKUP(L$2,$J$2:$O$1723,MATCH(MAX($J$2:$J$1723),$J$2:$J$1723,0),FALSE)/L145-1</f>
        <v>-3.7845201176205379E-2</v>
      </c>
      <c r="M186" s="22">
        <f>HLOOKUP(M$2,$J$2:$O$1723,MATCH(MAX($J$2:$J$1723),$J$2:$J$1723,0),FALSE)/M145-1</f>
        <v>-2.3033281093992053E-2</v>
      </c>
      <c r="N186" s="22">
        <f>HLOOKUP(N$2,$J$2:$O$1723,MATCH(MAX($J$2:$J$1723),$J$2:$J$1723,0),FALSE)/N145-1</f>
        <v>-3.515989308153078E-2</v>
      </c>
      <c r="O186" s="22">
        <f>HLOOKUP(O$2,$J$2:$O$1723,MATCH(MAX($J$2:$J$1723),$J$2:$J$1723,0),FALSE)/O145-1</f>
        <v>-7.9126139527164185E-2</v>
      </c>
      <c r="R186" s="87"/>
    </row>
    <row r="187" spans="10:35" x14ac:dyDescent="0.3">
      <c r="K187" s="18"/>
      <c r="L187" s="18"/>
      <c r="M187" s="18"/>
      <c r="N187" s="18"/>
      <c r="O187" s="19"/>
      <c r="R187" s="87"/>
    </row>
    <row r="188" spans="10:35" x14ac:dyDescent="0.3">
      <c r="J188" s="15" t="s">
        <v>98</v>
      </c>
      <c r="K188" s="18">
        <f>AVERAGE(K144:K146)</f>
        <v>10305.807666666666</v>
      </c>
      <c r="L188" s="18">
        <f>AVERAGE(L144:L146)</f>
        <v>6371.6153333333341</v>
      </c>
      <c r="M188" s="18">
        <f>AVERAGE(M144:M146)</f>
        <v>3469.9276666666665</v>
      </c>
      <c r="N188" s="18">
        <f>AVERAGE(N144:N146)</f>
        <v>464.26466666666664</v>
      </c>
      <c r="O188" s="18">
        <f>AVERAGE(O144:O146)</f>
        <v>3061.878666666667</v>
      </c>
      <c r="R188" s="87"/>
    </row>
    <row r="189" spans="10:35" x14ac:dyDescent="0.3">
      <c r="J189" s="15" t="s">
        <v>97</v>
      </c>
      <c r="K189" s="18">
        <f>AVERAGE(K147:K149)</f>
        <v>10201.281000000001</v>
      </c>
      <c r="L189" s="18">
        <f>AVERAGE(L147:L149)</f>
        <v>6301.081666666666</v>
      </c>
      <c r="M189" s="18">
        <f>AVERAGE(M147:M149)</f>
        <v>3442.578</v>
      </c>
      <c r="N189" s="18">
        <f>AVERAGE(N147:N149)</f>
        <v>457.62133333333333</v>
      </c>
      <c r="O189" s="18">
        <f>AVERAGE(O147:O149)</f>
        <v>3115.4823333333334</v>
      </c>
      <c r="R189" s="87"/>
    </row>
    <row r="190" spans="10:35" x14ac:dyDescent="0.3">
      <c r="J190" s="15" t="s">
        <v>101</v>
      </c>
      <c r="K190" s="18">
        <f>AVERAGE(K150:K152)</f>
        <v>10132.180333333332</v>
      </c>
      <c r="L190" s="18">
        <f>AVERAGE(L150:L152)</f>
        <v>6249.0083333333341</v>
      </c>
      <c r="M190" s="18">
        <f>AVERAGE(M150:M152)</f>
        <v>3431.3933333333334</v>
      </c>
      <c r="N190" s="18">
        <f>AVERAGE(N150:N152)</f>
        <v>451.77866666666665</v>
      </c>
      <c r="O190" s="18">
        <f>AVERAGE(O150:O152)</f>
        <v>3129.5946666666664</v>
      </c>
      <c r="R190" s="87"/>
    </row>
    <row r="191" spans="10:35" x14ac:dyDescent="0.3">
      <c r="J191" s="15" t="s">
        <v>102</v>
      </c>
      <c r="K191" s="18">
        <f>AVERAGE(K153:K155)</f>
        <v>10108.557333333332</v>
      </c>
      <c r="L191" s="18">
        <f>AVERAGE(L153:L155)</f>
        <v>6238.894666666667</v>
      </c>
      <c r="M191" s="18">
        <f>AVERAGE(M153:M155)</f>
        <v>3420.2793333333334</v>
      </c>
      <c r="N191" s="18">
        <f>AVERAGE(N153:N155)</f>
        <v>449.38333333333327</v>
      </c>
      <c r="O191" s="18">
        <f>AVERAGE(O153:O155)</f>
        <v>3158.7510000000002</v>
      </c>
      <c r="R191" s="87"/>
    </row>
    <row r="192" spans="10:35" x14ac:dyDescent="0.3">
      <c r="J192" s="15" t="s">
        <v>103</v>
      </c>
      <c r="K192" s="18">
        <f>AVERAGE(K156:K158)</f>
        <v>10122.249</v>
      </c>
      <c r="L192" s="18">
        <f>AVERAGE(L156:L158)</f>
        <v>6257.5976666666675</v>
      </c>
      <c r="M192" s="18">
        <f>AVERAGE(M156:M158)</f>
        <v>3417.2846666666665</v>
      </c>
      <c r="N192" s="18">
        <f>AVERAGE(N156:N158)</f>
        <v>447.36666666666662</v>
      </c>
      <c r="O192" s="18">
        <f>AVERAGE(O156:O158)</f>
        <v>3011.8723333333332</v>
      </c>
      <c r="R192" s="87"/>
    </row>
    <row r="193" spans="10:15" x14ac:dyDescent="0.3">
      <c r="J193" s="93" t="s">
        <v>125</v>
      </c>
      <c r="K193" s="22">
        <f>AVERAGE(K159:K161)</f>
        <v>10114.328333333333</v>
      </c>
      <c r="L193" s="22">
        <f>AVERAGE(L159:L161)</f>
        <v>6258.0793333333322</v>
      </c>
      <c r="M193" s="22">
        <f>AVERAGE(M159:M161)</f>
        <v>3411.8780000000006</v>
      </c>
      <c r="N193" s="22">
        <f>AVERAGE(N159:N161)</f>
        <v>444.37100000000004</v>
      </c>
      <c r="O193" s="89">
        <f>AVERAGE(O159:O161)</f>
        <v>2756.9303333333332</v>
      </c>
    </row>
    <row r="194" spans="10:15" x14ac:dyDescent="0.3">
      <c r="J194" s="93" t="s">
        <v>126</v>
      </c>
      <c r="K194" s="22">
        <f>AVERAGE(K162:K164)</f>
        <v>10110.777333333333</v>
      </c>
      <c r="L194" s="22">
        <f>AVERAGE(L162:L164)</f>
        <v>6261.3539999999994</v>
      </c>
      <c r="M194" s="22">
        <f>AVERAGE(M162:M164)</f>
        <v>3407.7756666666669</v>
      </c>
      <c r="N194" s="22">
        <f>AVERAGE(N162:N164)</f>
        <v>441.64766666666668</v>
      </c>
      <c r="O194" s="22">
        <f>AVERAGE(O162:O164)</f>
        <v>2776.5529999999999</v>
      </c>
    </row>
    <row r="195" spans="10:15" x14ac:dyDescent="0.3">
      <c r="J195" s="93" t="s">
        <v>127</v>
      </c>
      <c r="K195" s="22">
        <f>AVERAGE(K165:K167)</f>
        <v>10074.085000000001</v>
      </c>
      <c r="L195" s="22">
        <f>AVERAGE(L165:L167)</f>
        <v>6228.7876666666671</v>
      </c>
      <c r="M195" s="22">
        <f>AVERAGE(M165:M167)</f>
        <v>3406.030666666667</v>
      </c>
      <c r="N195" s="22">
        <f>AVERAGE(N165:N167)</f>
        <v>439.26666666666665</v>
      </c>
      <c r="O195" s="22">
        <f>AVERAGE(O165:O167)</f>
        <v>2806.2989999999995</v>
      </c>
    </row>
    <row r="196" spans="10:15" x14ac:dyDescent="0.3">
      <c r="J196" s="93" t="s">
        <v>128</v>
      </c>
      <c r="K196" s="22">
        <f t="shared" ref="K196:O202" si="106">K189/K188-1</f>
        <v>-1.0142501203932675E-2</v>
      </c>
      <c r="L196" s="22">
        <f t="shared" si="106"/>
        <v>-1.1069981939692553E-2</v>
      </c>
      <c r="M196" s="22">
        <f t="shared" si="106"/>
        <v>-7.8819126200805334E-3</v>
      </c>
      <c r="N196" s="22">
        <f t="shared" si="106"/>
        <v>-1.4309366640005594E-2</v>
      </c>
      <c r="O196" s="22">
        <f t="shared" si="106"/>
        <v>1.7506789949002899E-2</v>
      </c>
    </row>
    <row r="197" spans="10:15" x14ac:dyDescent="0.3">
      <c r="J197" s="15" t="s">
        <v>129</v>
      </c>
      <c r="K197" s="16">
        <f t="shared" si="106"/>
        <v>-6.7737244632971594E-3</v>
      </c>
      <c r="L197" s="16">
        <f t="shared" si="106"/>
        <v>-8.264189561104196E-3</v>
      </c>
      <c r="M197" s="16">
        <f t="shared" si="106"/>
        <v>-3.2489217867152087E-3</v>
      </c>
      <c r="N197" s="16">
        <f t="shared" si="106"/>
        <v>-1.2767470048016372E-2</v>
      </c>
      <c r="O197" s="17">
        <f t="shared" si="106"/>
        <v>4.5297426925974271E-3</v>
      </c>
    </row>
    <row r="198" spans="10:15" x14ac:dyDescent="0.3">
      <c r="J198" s="15" t="s">
        <v>130</v>
      </c>
      <c r="K198" s="16">
        <f t="shared" si="106"/>
        <v>-2.331482388078232E-3</v>
      </c>
      <c r="L198" s="16">
        <f t="shared" si="106"/>
        <v>-1.6184434596956399E-3</v>
      </c>
      <c r="M198" s="16">
        <f t="shared" si="106"/>
        <v>-3.2389175242709678E-3</v>
      </c>
      <c r="N198" s="16">
        <f t="shared" si="106"/>
        <v>-5.3020062921668165E-3</v>
      </c>
      <c r="O198" s="17">
        <f t="shared" si="106"/>
        <v>9.3163289303492824E-3</v>
      </c>
    </row>
    <row r="199" spans="10:15" x14ac:dyDescent="0.3">
      <c r="J199" s="15" t="s">
        <v>131</v>
      </c>
      <c r="K199" s="16">
        <f t="shared" si="106"/>
        <v>1.3544629777701989E-3</v>
      </c>
      <c r="L199" s="16">
        <f t="shared" si="106"/>
        <v>2.9978066627613931E-3</v>
      </c>
      <c r="M199" s="16">
        <f t="shared" si="106"/>
        <v>-8.7556201550020862E-4</v>
      </c>
      <c r="N199" s="16">
        <f t="shared" si="106"/>
        <v>-4.4876311983087502E-3</v>
      </c>
      <c r="O199" s="17">
        <f t="shared" si="106"/>
        <v>-4.6498969582175698E-2</v>
      </c>
    </row>
    <row r="200" spans="10:15" x14ac:dyDescent="0.3">
      <c r="J200" s="15" t="s">
        <v>132</v>
      </c>
      <c r="K200" s="16">
        <f t="shared" si="106"/>
        <v>-7.8250067417495739E-4</v>
      </c>
      <c r="L200" s="16">
        <f t="shared" si="106"/>
        <v>7.6973096118093665E-5</v>
      </c>
      <c r="M200" s="16">
        <f t="shared" si="106"/>
        <v>-1.5821528476700486E-3</v>
      </c>
      <c r="N200" s="16">
        <f t="shared" si="106"/>
        <v>-6.6962223381266117E-3</v>
      </c>
      <c r="O200" s="17">
        <f t="shared" si="106"/>
        <v>-8.4645686066596282E-2</v>
      </c>
    </row>
    <row r="201" spans="10:15" x14ac:dyDescent="0.3">
      <c r="J201" s="15" t="s">
        <v>133</v>
      </c>
      <c r="K201" s="16">
        <f t="shared" si="106"/>
        <v>-3.5108609123324364E-4</v>
      </c>
      <c r="L201" s="16">
        <f t="shared" si="106"/>
        <v>5.2327023871767686E-4</v>
      </c>
      <c r="M201" s="16">
        <f t="shared" si="106"/>
        <v>-1.2023681190633795E-3</v>
      </c>
      <c r="N201" s="16">
        <f t="shared" si="106"/>
        <v>-6.1285127367297632E-3</v>
      </c>
      <c r="O201" s="17">
        <f t="shared" si="106"/>
        <v>7.117577992237889E-3</v>
      </c>
    </row>
    <row r="202" spans="10:15" x14ac:dyDescent="0.3">
      <c r="J202" s="15" t="s">
        <v>134</v>
      </c>
      <c r="K202" s="16">
        <f t="shared" si="106"/>
        <v>-3.6290318858437365E-3</v>
      </c>
      <c r="L202" s="16">
        <f t="shared" si="106"/>
        <v>-5.2011646895115948E-3</v>
      </c>
      <c r="M202" s="16">
        <f t="shared" si="106"/>
        <v>-5.1206422331984136E-4</v>
      </c>
      <c r="N202" s="16">
        <f t="shared" si="106"/>
        <v>-5.3911753184854305E-3</v>
      </c>
      <c r="O202" s="17">
        <f t="shared" si="106"/>
        <v>1.0713283701049292E-2</v>
      </c>
    </row>
    <row r="213" spans="1:5" x14ac:dyDescent="0.3">
      <c r="B213" s="15" t="s">
        <v>139</v>
      </c>
    </row>
    <row r="214" spans="1:5" x14ac:dyDescent="0.3">
      <c r="B214" s="15" t="s">
        <v>1</v>
      </c>
      <c r="C214" s="15" t="s">
        <v>2</v>
      </c>
      <c r="D214" s="15" t="s">
        <v>3</v>
      </c>
      <c r="E214" s="20" t="s">
        <v>8</v>
      </c>
    </row>
    <row r="215" spans="1:5" x14ac:dyDescent="0.3">
      <c r="B215" s="15" t="s">
        <v>113</v>
      </c>
      <c r="C215" s="15" t="s">
        <v>114</v>
      </c>
      <c r="D215" s="15" t="s">
        <v>11</v>
      </c>
      <c r="E215" s="15" t="s">
        <v>58</v>
      </c>
    </row>
    <row r="216" spans="1:5" x14ac:dyDescent="0.3">
      <c r="A216" s="144">
        <v>45231</v>
      </c>
      <c r="B216" s="15">
        <f>+HLOOKUP(B$214,$A$2:$H$201,MATCH($A216,$A$2:$A$201,0),FALSE)/HLOOKUP(B$214,$A$2:$H$201,MATCH($A$216,$A$2:$A$201,0),FALSE)*100</f>
        <v>100</v>
      </c>
      <c r="C216" s="15">
        <f t="shared" ref="C216:D243" si="107">+HLOOKUP(C$214,$A$2:$H$201,MATCH($A216,$A$2:$A$201,0),FALSE)/HLOOKUP(C$214,$A$2:$H$201,MATCH($A$216,$A$2:$A$201,0),FALSE)*100</f>
        <v>100</v>
      </c>
      <c r="D216" s="15">
        <f t="shared" si="107"/>
        <v>100</v>
      </c>
      <c r="E216" s="15">
        <f>+HLOOKUP(E$214,$A$2:$K$201,MATCH($A216,$A$2:$A$201,0),FALSE)/HLOOKUP(E$214,$A$2:$K$201,MATCH($A$216,$A$2:$A$201,0),FALSE)*100</f>
        <v>100</v>
      </c>
    </row>
    <row r="217" spans="1:5" x14ac:dyDescent="0.3">
      <c r="A217" s="144">
        <v>45261</v>
      </c>
      <c r="B217" s="145">
        <f t="shared" ref="B217:B243" si="108">+HLOOKUP(B$214,$A$2:$H$201,MATCH($A217,$A$2:$A$201,0),FALSE)/HLOOKUP(B$214,$A$2:$H$201,MATCH($A$216,$A$2:$A$201,0),FALSE)*100</f>
        <v>99.821441377175162</v>
      </c>
      <c r="C217" s="145">
        <f t="shared" si="107"/>
        <v>100.20439098868481</v>
      </c>
      <c r="D217" s="145">
        <f t="shared" si="107"/>
        <v>99.511285240125019</v>
      </c>
      <c r="E217" s="15">
        <f t="shared" ref="E217:E243" si="109">+HLOOKUP(E$214,$A$2:$K$201,MATCH($A217,$A$2:$A$201,0),FALSE)/HLOOKUP(E$214,$A$2:$K$201,MATCH($A$216,$A$2:$A$201,0),FALSE)*100</f>
        <v>99.93632786153421</v>
      </c>
    </row>
    <row r="218" spans="1:5" x14ac:dyDescent="0.3">
      <c r="A218" s="144">
        <v>45292</v>
      </c>
      <c r="B218" s="145">
        <f t="shared" si="108"/>
        <v>99.277464470694269</v>
      </c>
      <c r="C218" s="145">
        <f t="shared" si="107"/>
        <v>99.309015987314893</v>
      </c>
      <c r="D218" s="145">
        <f t="shared" si="107"/>
        <v>99.017831950185126</v>
      </c>
      <c r="E218" s="15">
        <f t="shared" si="109"/>
        <v>99.2763832750246</v>
      </c>
    </row>
    <row r="219" spans="1:5" x14ac:dyDescent="0.3">
      <c r="A219" s="144">
        <v>45323</v>
      </c>
      <c r="B219" s="145">
        <f t="shared" si="108"/>
        <v>98.870823451985871</v>
      </c>
      <c r="C219" s="145">
        <f t="shared" si="107"/>
        <v>99.311755812900486</v>
      </c>
      <c r="D219" s="145">
        <f t="shared" si="107"/>
        <v>98.544409719155951</v>
      </c>
      <c r="E219" s="15">
        <f t="shared" si="109"/>
        <v>99.004488395677555</v>
      </c>
    </row>
    <row r="220" spans="1:5" x14ac:dyDescent="0.3">
      <c r="A220" s="144">
        <v>45352</v>
      </c>
      <c r="B220" s="145">
        <f t="shared" si="108"/>
        <v>98.480360826821027</v>
      </c>
      <c r="C220" s="145">
        <f t="shared" si="107"/>
        <v>99.233858245461846</v>
      </c>
      <c r="D220" s="145">
        <f t="shared" si="107"/>
        <v>98.135819194923741</v>
      </c>
      <c r="E220" s="15">
        <f t="shared" si="109"/>
        <v>98.718385924391157</v>
      </c>
    </row>
    <row r="221" spans="1:5" x14ac:dyDescent="0.3">
      <c r="A221" s="144">
        <v>45383</v>
      </c>
      <c r="B221" s="145">
        <f t="shared" si="108"/>
        <v>98.21267196604515</v>
      </c>
      <c r="C221" s="145">
        <f t="shared" si="107"/>
        <v>99.14041577285866</v>
      </c>
      <c r="D221" s="145">
        <f t="shared" si="107"/>
        <v>97.632673457123843</v>
      </c>
      <c r="E221" s="15">
        <f t="shared" si="109"/>
        <v>98.498721413771847</v>
      </c>
    </row>
    <row r="222" spans="1:5" x14ac:dyDescent="0.3">
      <c r="A222" s="144">
        <v>45413</v>
      </c>
      <c r="B222" s="145">
        <f t="shared" si="108"/>
        <v>98.05846723922383</v>
      </c>
      <c r="C222" s="145">
        <f t="shared" si="107"/>
        <v>98.948685662406191</v>
      </c>
      <c r="D222" s="145">
        <f t="shared" si="107"/>
        <v>97.210513505887619</v>
      </c>
      <c r="E222" s="15">
        <f t="shared" si="109"/>
        <v>98.319816388224382</v>
      </c>
    </row>
    <row r="223" spans="1:5" x14ac:dyDescent="0.3">
      <c r="A223" s="144">
        <v>45444</v>
      </c>
      <c r="B223" s="145">
        <f t="shared" si="108"/>
        <v>97.906114161712068</v>
      </c>
      <c r="C223" s="145">
        <f t="shared" si="107"/>
        <v>98.797822213582961</v>
      </c>
      <c r="D223" s="145">
        <f t="shared" si="107"/>
        <v>97.079557765912313</v>
      </c>
      <c r="E223" s="15">
        <f t="shared" si="109"/>
        <v>98.168928656344164</v>
      </c>
    </row>
    <row r="224" spans="1:5" x14ac:dyDescent="0.3">
      <c r="A224" s="144">
        <v>45474</v>
      </c>
      <c r="B224" s="145">
        <f t="shared" si="108"/>
        <v>97.809734245955838</v>
      </c>
      <c r="C224" s="145">
        <f t="shared" si="107"/>
        <v>98.700342103274693</v>
      </c>
      <c r="D224" s="145">
        <f t="shared" si="107"/>
        <v>96.812692368166552</v>
      </c>
      <c r="E224" s="15">
        <f t="shared" si="109"/>
        <v>98.064497032806528</v>
      </c>
    </row>
    <row r="225" spans="1:5" x14ac:dyDescent="0.3">
      <c r="A225" s="144">
        <v>45505</v>
      </c>
      <c r="B225" s="145">
        <f t="shared" si="108"/>
        <v>97.87424382486725</v>
      </c>
      <c r="C225" s="145">
        <f t="shared" si="107"/>
        <v>98.626078409770628</v>
      </c>
      <c r="D225" s="145">
        <f t="shared" si="107"/>
        <v>96.782107310474956</v>
      </c>
      <c r="E225" s="15">
        <f t="shared" si="109"/>
        <v>98.07802529999465</v>
      </c>
    </row>
    <row r="226" spans="1:5" x14ac:dyDescent="0.3">
      <c r="A226" s="144">
        <v>45536</v>
      </c>
      <c r="B226" s="145">
        <f t="shared" si="108"/>
        <v>98.017166044454967</v>
      </c>
      <c r="C226" s="145">
        <f t="shared" si="107"/>
        <v>98.59891087606934</v>
      </c>
      <c r="D226" s="145">
        <f t="shared" si="107"/>
        <v>96.780168820902944</v>
      </c>
      <c r="E226" s="15">
        <f t="shared" si="109"/>
        <v>98.157186042787757</v>
      </c>
    </row>
    <row r="227" spans="1:5" x14ac:dyDescent="0.3">
      <c r="A227" s="144">
        <v>45566</v>
      </c>
      <c r="B227" s="145">
        <f t="shared" si="108"/>
        <v>98.135514680832941</v>
      </c>
      <c r="C227" s="145">
        <f t="shared" si="107"/>
        <v>98.645978195602794</v>
      </c>
      <c r="D227" s="145">
        <f t="shared" si="107"/>
        <v>96.582012109098201</v>
      </c>
      <c r="E227" s="15">
        <f t="shared" si="109"/>
        <v>98.237288135593218</v>
      </c>
    </row>
    <row r="228" spans="1:5" x14ac:dyDescent="0.3">
      <c r="A228" s="144">
        <v>45597</v>
      </c>
      <c r="B228" s="145">
        <f t="shared" si="108"/>
        <v>98.155584676315229</v>
      </c>
      <c r="C228" s="145">
        <f t="shared" si="107"/>
        <v>98.570416689979226</v>
      </c>
      <c r="D228" s="145">
        <f t="shared" si="107"/>
        <v>96.422409801003269</v>
      </c>
      <c r="E228" s="15">
        <f t="shared" si="109"/>
        <v>98.217083076564748</v>
      </c>
    </row>
    <row r="229" spans="1:5" x14ac:dyDescent="0.3">
      <c r="A229" s="144">
        <v>45627</v>
      </c>
      <c r="B229" s="145">
        <f t="shared" si="108"/>
        <v>98.290504004819311</v>
      </c>
      <c r="C229" s="145">
        <f t="shared" si="107"/>
        <v>98.449835523944046</v>
      </c>
      <c r="D229" s="145">
        <f t="shared" si="107"/>
        <v>96.067450821596495</v>
      </c>
      <c r="E229" s="15">
        <f t="shared" si="109"/>
        <v>98.24395522279427</v>
      </c>
    </row>
    <row r="230" spans="1:5" x14ac:dyDescent="0.3">
      <c r="A230" s="144">
        <v>45658</v>
      </c>
      <c r="B230" s="145">
        <f t="shared" si="108"/>
        <v>98.147911316040918</v>
      </c>
      <c r="C230" s="145">
        <f t="shared" si="107"/>
        <v>98.618724141093523</v>
      </c>
      <c r="D230" s="145">
        <f t="shared" si="107"/>
        <v>95.728430534226177</v>
      </c>
      <c r="E230" s="15">
        <f t="shared" si="109"/>
        <v>98.197324430944207</v>
      </c>
    </row>
    <row r="231" spans="1:5" x14ac:dyDescent="0.3">
      <c r="A231" s="144">
        <v>45689</v>
      </c>
      <c r="B231" s="145">
        <f t="shared" si="108"/>
        <v>98.315124663858953</v>
      </c>
      <c r="C231" s="145">
        <f t="shared" si="107"/>
        <v>98.289858550015097</v>
      </c>
      <c r="D231" s="145">
        <f t="shared" si="107"/>
        <v>95.740707634848874</v>
      </c>
      <c r="E231" s="15">
        <f t="shared" si="109"/>
        <v>98.190628229825279</v>
      </c>
    </row>
    <row r="232" spans="1:5" x14ac:dyDescent="0.3">
      <c r="A232" s="144">
        <v>45717</v>
      </c>
      <c r="B232" s="145">
        <f t="shared" si="108"/>
        <v>98.141242240137885</v>
      </c>
      <c r="C232" s="145">
        <f t="shared" si="107"/>
        <v>98.289858550015097</v>
      </c>
      <c r="D232" s="145">
        <f t="shared" si="107"/>
        <v>95.66704503111275</v>
      </c>
      <c r="E232" s="15">
        <f t="shared" si="109"/>
        <v>98.079772135069163</v>
      </c>
    </row>
    <row r="233" spans="1:5" x14ac:dyDescent="0.3">
      <c r="A233" s="144">
        <v>45748</v>
      </c>
      <c r="B233" s="145">
        <f t="shared" si="108"/>
        <v>98.305552578445202</v>
      </c>
      <c r="C233" s="145">
        <f t="shared" si="107"/>
        <v>98.338108320590749</v>
      </c>
      <c r="D233" s="145">
        <f t="shared" si="107"/>
        <v>95.365071433340731</v>
      </c>
      <c r="E233" s="15">
        <f t="shared" si="109"/>
        <v>98.184019370460049</v>
      </c>
    </row>
    <row r="234" spans="1:5" x14ac:dyDescent="0.3">
      <c r="A234" s="144">
        <v>45778</v>
      </c>
      <c r="B234" s="145">
        <f t="shared" si="108"/>
        <v>98.340765299213189</v>
      </c>
      <c r="C234" s="145">
        <f t="shared" si="107"/>
        <v>98.178333228547032</v>
      </c>
      <c r="D234" s="145">
        <f t="shared" si="107"/>
        <v>95.122975624570572</v>
      </c>
      <c r="E234" s="15">
        <f t="shared" si="109"/>
        <v>98.141124864741585</v>
      </c>
    </row>
    <row r="235" spans="1:5" x14ac:dyDescent="0.3">
      <c r="A235" s="144">
        <v>45809</v>
      </c>
      <c r="B235" s="145">
        <f t="shared" si="108"/>
        <v>98.112117993370774</v>
      </c>
      <c r="C235" s="145">
        <f t="shared" si="107"/>
        <v>98.327062497440437</v>
      </c>
      <c r="D235" s="145">
        <f t="shared" si="107"/>
        <v>94.888418386358211</v>
      </c>
      <c r="E235" s="15">
        <f t="shared" si="109"/>
        <v>98.039197038144096</v>
      </c>
    </row>
    <row r="236" spans="1:5" x14ac:dyDescent="0.3">
      <c r="A236" s="144">
        <v>45839</v>
      </c>
      <c r="B236" s="145">
        <f t="shared" si="108"/>
        <v>97.922041484162818</v>
      </c>
      <c r="C236" s="145">
        <f t="shared" si="107"/>
        <v>98.264652154627683</v>
      </c>
      <c r="D236" s="145">
        <f t="shared" si="107"/>
        <v>94.780939908977146</v>
      </c>
      <c r="E236" s="15">
        <f t="shared" si="109"/>
        <v>97.895801287805625</v>
      </c>
    </row>
    <row r="237" spans="1:5" x14ac:dyDescent="0.3">
      <c r="A237" s="144">
        <v>45870</v>
      </c>
      <c r="B237" s="145">
        <f t="shared" si="108"/>
        <v>97.752003586550558</v>
      </c>
      <c r="C237" s="145">
        <f t="shared" si="107"/>
        <v>98.18401476160345</v>
      </c>
      <c r="D237" s="145">
        <f t="shared" si="107"/>
        <v>94.641368659792917</v>
      </c>
      <c r="E237" s="15">
        <f t="shared" si="109"/>
        <v>97.757219038561388</v>
      </c>
    </row>
    <row r="238" spans="1:5" x14ac:dyDescent="0.3">
      <c r="A238" s="144">
        <v>45901</v>
      </c>
      <c r="B238" s="145">
        <f t="shared" si="108"/>
        <v>97.551303631727677</v>
      </c>
      <c r="C238" s="145">
        <f t="shared" si="107"/>
        <v>98.243858320446549</v>
      </c>
      <c r="D238" s="145">
        <f t="shared" si="107"/>
        <v>94.415642318519673</v>
      </c>
      <c r="E238" s="15">
        <f t="shared" si="109"/>
        <v>97.643063366442334</v>
      </c>
    </row>
    <row r="239" spans="1:5" x14ac:dyDescent="0.3">
      <c r="A239" s="144">
        <v>45931</v>
      </c>
      <c r="B239" s="145">
        <f t="shared" si="108"/>
        <v>97.30456351525892</v>
      </c>
      <c r="C239" s="145">
        <f t="shared" si="107"/>
        <v>98.123853959797827</v>
      </c>
      <c r="D239" s="145">
        <f t="shared" si="107"/>
        <v>94.286840455846601</v>
      </c>
      <c r="E239" s="15">
        <f t="shared" si="109"/>
        <v>97.444283239602697</v>
      </c>
    </row>
    <row r="240" spans="1:5" x14ac:dyDescent="0.3">
      <c r="A240" s="144">
        <v>45962</v>
      </c>
      <c r="B240" s="145">
        <f t="shared" si="108"/>
        <v>97.04628982046377</v>
      </c>
      <c r="C240" s="145">
        <f t="shared" si="107"/>
        <v>97.950639302250067</v>
      </c>
      <c r="D240" s="145">
        <f t="shared" si="107"/>
        <v>94.550905813099448</v>
      </c>
      <c r="E240" s="15">
        <f t="shared" si="109"/>
        <v>97.238166405450116</v>
      </c>
    </row>
    <row r="241" spans="1:5" x14ac:dyDescent="0.3">
      <c r="A241" s="144">
        <v>45992</v>
      </c>
      <c r="B241" s="145">
        <f t="shared" si="108"/>
        <v>96.847771045759728</v>
      </c>
      <c r="C241" s="145">
        <f t="shared" si="107"/>
        <v>97.909080474157093</v>
      </c>
      <c r="D241" s="145">
        <f t="shared" si="107"/>
        <v>95.485473174535144</v>
      </c>
      <c r="E241" s="15">
        <f t="shared" si="109"/>
        <v>97.143517058329707</v>
      </c>
    </row>
    <row r="242" spans="1:5" x14ac:dyDescent="0.3">
      <c r="A242" s="144">
        <v>46023</v>
      </c>
      <c r="B242" s="145">
        <f t="shared" si="108"/>
        <v>96.727005850113386</v>
      </c>
      <c r="C242" s="145">
        <f t="shared" si="107"/>
        <v>97.773242805650625</v>
      </c>
      <c r="D242" s="145">
        <f t="shared" si="107"/>
        <v>95.70258400659948</v>
      </c>
      <c r="E242" s="15">
        <f t="shared" si="109"/>
        <v>97.032903579556191</v>
      </c>
    </row>
    <row r="243" spans="1:5" x14ac:dyDescent="0.3">
      <c r="A243" s="144">
        <v>46054</v>
      </c>
      <c r="B243" s="145">
        <f t="shared" si="108"/>
        <v>96.695245356871666</v>
      </c>
      <c r="C243" s="145">
        <f t="shared" si="107"/>
        <v>97.881509176685299</v>
      </c>
      <c r="D243" s="145">
        <f t="shared" si="107"/>
        <v>95.864770967457076</v>
      </c>
      <c r="E243" s="15">
        <f t="shared" si="109"/>
        <v>97.057000198945104</v>
      </c>
    </row>
    <row r="244" spans="1:5" x14ac:dyDescent="0.3">
      <c r="A244" s="144"/>
    </row>
  </sheetData>
  <mergeCells count="4">
    <mergeCell ref="Q1:T1"/>
    <mergeCell ref="V1:Y1"/>
    <mergeCell ref="AA1:AD1"/>
    <mergeCell ref="AF1:AI1"/>
  </mergeCells>
  <conditionalFormatting sqref="K185:O186 K3:K175">
    <cfRule type="cellIs" dxfId="31" priority="16" operator="equal">
      <formula>$K$177</formula>
    </cfRule>
  </conditionalFormatting>
  <conditionalFormatting sqref="K183:N184">
    <cfRule type="cellIs" dxfId="30" priority="1" operator="equal">
      <formula>$K$177</formula>
    </cfRule>
  </conditionalFormatting>
  <conditionalFormatting sqref="K177:O180">
    <cfRule type="cellIs" dxfId="29" priority="13" operator="equal">
      <formula>$K$177</formula>
    </cfRule>
  </conditionalFormatting>
  <conditionalFormatting sqref="K182:O182">
    <cfRule type="cellIs" dxfId="28" priority="3" operator="equal">
      <formula>$K$177</formula>
    </cfRule>
  </conditionalFormatting>
  <conditionalFormatting sqref="L180 L3:L175">
    <cfRule type="cellIs" dxfId="27" priority="15" operator="equal">
      <formula>$L$177</formula>
    </cfRule>
  </conditionalFormatting>
  <conditionalFormatting sqref="L182:L186">
    <cfRule type="cellIs" dxfId="26" priority="10" operator="equal">
      <formula>$L$177</formula>
    </cfRule>
  </conditionalFormatting>
  <conditionalFormatting sqref="L182:O184">
    <cfRule type="cellIs" dxfId="25" priority="8" operator="equal">
      <formula>$K$177</formula>
    </cfRule>
  </conditionalFormatting>
  <conditionalFormatting sqref="M180 M3:M175">
    <cfRule type="cellIs" dxfId="24" priority="6" operator="equal">
      <formula>$M$177</formula>
    </cfRule>
  </conditionalFormatting>
  <conditionalFormatting sqref="M182:M186">
    <cfRule type="cellIs" dxfId="23" priority="9" operator="equal">
      <formula>$M$177</formula>
    </cfRule>
  </conditionalFormatting>
  <conditionalFormatting sqref="M184:N184">
    <cfRule type="cellIs" dxfId="22" priority="4" operator="equal">
      <formula>$L$177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ActualizarT22">
                <anchor moveWithCells="1" sizeWithCells="1">
                  <from>
                    <xdr:col>36</xdr:col>
                    <xdr:colOff>0</xdr:colOff>
                    <xdr:row>1</xdr:row>
                    <xdr:rowOff>0</xdr:rowOff>
                  </from>
                  <to>
                    <xdr:col>37</xdr:col>
                    <xdr:colOff>749300</xdr:colOff>
                    <xdr:row>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2">
              <controlPr defaultSize="0" print="0" autoFill="0" autoPict="0" macro="[0]!ActualizarT22">
                <anchor moveWithCells="1" sizeWithCells="1">
                  <from>
                    <xdr:col>36</xdr:col>
                    <xdr:colOff>0</xdr:colOff>
                    <xdr:row>1</xdr:row>
                    <xdr:rowOff>0</xdr:rowOff>
                  </from>
                  <to>
                    <xdr:col>37</xdr:col>
                    <xdr:colOff>749300</xdr:colOff>
                    <xdr:row>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Button 3">
              <controlPr defaultSize="0" print="0" autoFill="0" autoPict="0" macro="[0]!ActualizarT22">
                <anchor moveWithCells="1" sizeWithCells="1">
                  <from>
                    <xdr:col>36</xdr:col>
                    <xdr:colOff>0</xdr:colOff>
                    <xdr:row>1</xdr:row>
                    <xdr:rowOff>0</xdr:rowOff>
                  </from>
                  <to>
                    <xdr:col>37</xdr:col>
                    <xdr:colOff>749300</xdr:colOff>
                    <xdr:row>1</xdr:row>
                    <xdr:rowOff>317500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rgb="FFF3A960"/>
  </sheetPr>
  <dimension ref="A1:AG215"/>
  <sheetViews>
    <sheetView zoomScale="71" zoomScaleNormal="100" workbookViewId="0">
      <pane xSplit="1" ySplit="3" topLeftCell="B185" activePane="bottomRight" state="frozen"/>
      <selection pane="topRight" activeCell="B1" sqref="B1"/>
      <selection pane="bottomLeft" activeCell="A4" sqref="A4"/>
      <selection pane="bottomRight" activeCell="C214" sqref="C214:Q214"/>
    </sheetView>
  </sheetViews>
  <sheetFormatPr baseColWidth="10" defaultColWidth="11.5703125" defaultRowHeight="18" x14ac:dyDescent="0.3"/>
  <cols>
    <col min="1" max="1" width="12.7109375" style="15" customWidth="1"/>
    <col min="2" max="4" width="9" style="15" customWidth="1"/>
    <col min="5" max="5" width="10.85546875" style="15" customWidth="1"/>
    <col min="6" max="6" width="9" style="15" customWidth="1"/>
    <col min="7" max="7" width="10.28515625" style="15" customWidth="1"/>
    <col min="8" max="8" width="10.85546875" style="15" customWidth="1"/>
    <col min="9" max="16" width="9" style="15" customWidth="1"/>
    <col min="17" max="17" width="10.28515625" style="15" customWidth="1"/>
    <col min="18" max="18" width="7.28515625" style="15" customWidth="1"/>
    <col min="19" max="20" width="11.5703125" style="15"/>
    <col min="21" max="21" width="11.5703125" style="15" customWidth="1"/>
    <col min="22" max="22" width="7.28515625" style="15" customWidth="1"/>
    <col min="23" max="25" width="11.5703125" style="15"/>
    <col min="26" max="26" width="7.28515625" style="15" customWidth="1"/>
    <col min="27" max="16384" width="11.5703125" style="15"/>
  </cols>
  <sheetData>
    <row r="1" spans="1:33" x14ac:dyDescent="0.3">
      <c r="A1" s="52" t="s">
        <v>92</v>
      </c>
    </row>
    <row r="2" spans="1:33" x14ac:dyDescent="0.3">
      <c r="T2" s="154" t="s">
        <v>44</v>
      </c>
      <c r="U2" s="154"/>
      <c r="W2" s="154" t="s">
        <v>45</v>
      </c>
      <c r="X2" s="154"/>
      <c r="Y2" s="154"/>
      <c r="AA2" s="154" t="s">
        <v>34</v>
      </c>
      <c r="AB2" s="154"/>
      <c r="AC2" s="154"/>
      <c r="AE2" s="154" t="s">
        <v>51</v>
      </c>
      <c r="AF2" s="154"/>
      <c r="AG2" s="154"/>
    </row>
    <row r="3" spans="1:33" ht="177" x14ac:dyDescent="0.3">
      <c r="A3" s="35" t="s">
        <v>0</v>
      </c>
      <c r="B3" s="36" t="s">
        <v>29</v>
      </c>
      <c r="C3" s="37" t="s">
        <v>30</v>
      </c>
      <c r="D3" s="37" t="s">
        <v>31</v>
      </c>
      <c r="E3" s="38" t="s">
        <v>32</v>
      </c>
      <c r="F3" s="38" t="s">
        <v>33</v>
      </c>
      <c r="G3" s="38" t="s">
        <v>34</v>
      </c>
      <c r="H3" s="38" t="s">
        <v>35</v>
      </c>
      <c r="I3" s="38" t="s">
        <v>36</v>
      </c>
      <c r="J3" s="38" t="s">
        <v>37</v>
      </c>
      <c r="K3" s="38" t="s">
        <v>38</v>
      </c>
      <c r="L3" s="38" t="s">
        <v>39</v>
      </c>
      <c r="M3" s="38" t="s">
        <v>40</v>
      </c>
      <c r="N3" s="38" t="s">
        <v>41</v>
      </c>
      <c r="O3" s="38" t="s">
        <v>42</v>
      </c>
      <c r="P3" s="38" t="s">
        <v>43</v>
      </c>
      <c r="Q3" s="39" t="s">
        <v>7</v>
      </c>
      <c r="T3" s="50" t="s">
        <v>15</v>
      </c>
      <c r="U3" s="50" t="s">
        <v>14</v>
      </c>
      <c r="W3" s="50" t="s">
        <v>15</v>
      </c>
      <c r="X3" s="50" t="s">
        <v>14</v>
      </c>
      <c r="Y3" s="50" t="s">
        <v>46</v>
      </c>
      <c r="AA3" s="50" t="s">
        <v>15</v>
      </c>
      <c r="AB3" s="50" t="s">
        <v>14</v>
      </c>
      <c r="AC3" s="50" t="s">
        <v>47</v>
      </c>
      <c r="AE3" s="50" t="s">
        <v>15</v>
      </c>
      <c r="AF3" s="50" t="s">
        <v>14</v>
      </c>
      <c r="AG3" s="50" t="s">
        <v>121</v>
      </c>
    </row>
    <row r="4" spans="1:33" x14ac:dyDescent="0.3">
      <c r="A4" s="40">
        <v>39814</v>
      </c>
      <c r="B4" s="41">
        <v>332.63299999999998</v>
      </c>
      <c r="C4" s="42">
        <v>15.223000000000001</v>
      </c>
      <c r="D4" s="42">
        <v>68.534999999999997</v>
      </c>
      <c r="E4" s="43">
        <v>1182.979</v>
      </c>
      <c r="F4" s="43">
        <v>54.39</v>
      </c>
      <c r="G4" s="43">
        <v>403.93299999999999</v>
      </c>
      <c r="H4" s="43">
        <v>1003.797</v>
      </c>
      <c r="I4" s="43">
        <v>218.286</v>
      </c>
      <c r="J4" s="43">
        <v>487.74200000000002</v>
      </c>
      <c r="K4" s="43">
        <v>144.589</v>
      </c>
      <c r="L4" s="43">
        <v>814.71600000000001</v>
      </c>
      <c r="M4" s="43">
        <v>322.84399999999999</v>
      </c>
      <c r="N4" s="43">
        <v>232.43700000000001</v>
      </c>
      <c r="O4" s="43">
        <v>340.57299999999998</v>
      </c>
      <c r="P4" s="43">
        <v>1.5009999999999999</v>
      </c>
      <c r="Q4" s="44">
        <v>5624.1780000000008</v>
      </c>
      <c r="S4" s="49">
        <f>A4</f>
        <v>39814</v>
      </c>
      <c r="Y4" s="53">
        <f>E4/$E$61*100</f>
        <v>93.445802052526489</v>
      </c>
      <c r="AC4" s="53">
        <f>G4/$G$176*100</f>
        <v>85.753075097337401</v>
      </c>
      <c r="AG4" s="53">
        <f>H4/$H$200*100</f>
        <v>79.745794624173584</v>
      </c>
    </row>
    <row r="5" spans="1:33" x14ac:dyDescent="0.3">
      <c r="A5" s="40">
        <v>39845</v>
      </c>
      <c r="B5" s="41">
        <v>329.73500000000001</v>
      </c>
      <c r="C5" s="42">
        <v>15.106</v>
      </c>
      <c r="D5" s="42">
        <v>68.212999999999994</v>
      </c>
      <c r="E5" s="43">
        <v>1178.4690000000001</v>
      </c>
      <c r="F5" s="43">
        <v>54.459000000000003</v>
      </c>
      <c r="G5" s="43">
        <v>402.10599999999999</v>
      </c>
      <c r="H5" s="43">
        <v>1006.087</v>
      </c>
      <c r="I5" s="43">
        <v>219.11099999999999</v>
      </c>
      <c r="J5" s="43">
        <v>486.78399999999999</v>
      </c>
      <c r="K5" s="43">
        <v>141.626</v>
      </c>
      <c r="L5" s="43">
        <v>810.20899999999995</v>
      </c>
      <c r="M5" s="43">
        <v>321.77699999999999</v>
      </c>
      <c r="N5" s="43">
        <v>233.85900000000001</v>
      </c>
      <c r="O5" s="43">
        <v>339.71899999999999</v>
      </c>
      <c r="P5" s="43">
        <v>1.5109999999999999</v>
      </c>
      <c r="Q5" s="44">
        <v>5608.7710000000015</v>
      </c>
      <c r="S5" s="49">
        <f>A5</f>
        <v>39845</v>
      </c>
      <c r="T5" s="22">
        <f>Q5/Q4-1</f>
        <v>-2.7394225431697228E-3</v>
      </c>
      <c r="U5" s="26">
        <f>(Q5-Q4)*1000</f>
        <v>-15406.999999999243</v>
      </c>
      <c r="W5" s="22">
        <f>E5/E4-1</f>
        <v>-3.8124091805518123E-3</v>
      </c>
      <c r="X5" s="26">
        <f>(E5-E4)*1000</f>
        <v>-4509.9999999999909</v>
      </c>
      <c r="Y5" s="53">
        <f t="shared" ref="Y5:Y68" si="0">E5/$E$61*100</f>
        <v>93.089548418897408</v>
      </c>
      <c r="AA5" s="22">
        <f>G5/G4-1</f>
        <v>-4.5230273337409921E-3</v>
      </c>
      <c r="AB5" s="26">
        <f>(G5-G4)*1000</f>
        <v>-1826.9999999999982</v>
      </c>
      <c r="AC5" s="53">
        <f t="shared" ref="AC5:AC68" si="1">G5/$G$176*100</f>
        <v>85.365211594719796</v>
      </c>
      <c r="AE5" s="22">
        <f>H5/H4-1</f>
        <v>2.2813377605233054E-3</v>
      </c>
      <c r="AF5" s="26">
        <f>(H5-H4)*1000</f>
        <v>2289.9999999999636</v>
      </c>
      <c r="AG5" s="53">
        <f t="shared" ref="AG5:AG68" si="2">H5/$H$200*100</f>
        <v>79.927721716692631</v>
      </c>
    </row>
    <row r="6" spans="1:33" x14ac:dyDescent="0.3">
      <c r="A6" s="40">
        <v>39873</v>
      </c>
      <c r="B6" s="41">
        <v>328.87900000000002</v>
      </c>
      <c r="C6" s="42">
        <v>15.234</v>
      </c>
      <c r="D6" s="42">
        <v>67.266000000000005</v>
      </c>
      <c r="E6" s="43">
        <v>1169.22</v>
      </c>
      <c r="F6" s="43">
        <v>54.46</v>
      </c>
      <c r="G6" s="43">
        <v>398.95600000000002</v>
      </c>
      <c r="H6" s="43">
        <v>1006.015</v>
      </c>
      <c r="I6" s="43">
        <v>219.56700000000001</v>
      </c>
      <c r="J6" s="43">
        <v>486.255</v>
      </c>
      <c r="K6" s="43">
        <v>140.83799999999999</v>
      </c>
      <c r="L6" s="43">
        <v>807.779</v>
      </c>
      <c r="M6" s="43">
        <v>321.86799999999999</v>
      </c>
      <c r="N6" s="43">
        <v>234.42400000000001</v>
      </c>
      <c r="O6" s="43">
        <v>339.80200000000002</v>
      </c>
      <c r="P6" s="43">
        <v>1.413</v>
      </c>
      <c r="Q6" s="44">
        <v>5591.9760000000006</v>
      </c>
      <c r="S6" s="49">
        <f t="shared" ref="S6:S69" si="3">A6</f>
        <v>39873</v>
      </c>
      <c r="T6" s="22">
        <f t="shared" ref="T6:T69" si="4">Q6/Q5-1</f>
        <v>-2.9944171370164252E-3</v>
      </c>
      <c r="U6" s="26">
        <f t="shared" ref="U6:U69" si="5">(Q6-Q5)*1000</f>
        <v>-16795.000000000982</v>
      </c>
      <c r="W6" s="22">
        <f t="shared" ref="W6:W69" si="6">E6/E5-1</f>
        <v>-7.8483184538583606E-3</v>
      </c>
      <c r="X6" s="26">
        <f t="shared" ref="X6:X69" si="7">(E6-E5)*1000</f>
        <v>-9249.0000000000236</v>
      </c>
      <c r="Y6" s="53">
        <f t="shared" si="0"/>
        <v>92.358951998180032</v>
      </c>
      <c r="AA6" s="22">
        <f t="shared" ref="AA6:AA69" si="8">G6/G5-1</f>
        <v>-7.8337552784588649E-3</v>
      </c>
      <c r="AB6" s="26">
        <f t="shared" ref="AB6:AB69" si="9">(G6-G5)*1000</f>
        <v>-3149.9999999999773</v>
      </c>
      <c r="AC6" s="53">
        <f t="shared" si="1"/>
        <v>84.696481417792896</v>
      </c>
      <c r="AE6" s="22">
        <f t="shared" ref="AE6:AE69" si="10">H6/H5-1</f>
        <v>-7.1564387572831123E-5</v>
      </c>
      <c r="AF6" s="26">
        <f t="shared" ref="AF6:AF69" si="11">(H6-H5)*1000</f>
        <v>-72.000000000002728</v>
      </c>
      <c r="AG6" s="53">
        <f t="shared" si="2"/>
        <v>79.922001738237896</v>
      </c>
    </row>
    <row r="7" spans="1:33" x14ac:dyDescent="0.3">
      <c r="A7" s="40">
        <v>39904</v>
      </c>
      <c r="B7" s="41">
        <v>326.88600000000002</v>
      </c>
      <c r="C7" s="42">
        <v>15.268000000000001</v>
      </c>
      <c r="D7" s="42">
        <v>66.935000000000002</v>
      </c>
      <c r="E7" s="43">
        <v>1160.6379999999999</v>
      </c>
      <c r="F7" s="43">
        <v>54.61</v>
      </c>
      <c r="G7" s="43">
        <v>396.80799999999999</v>
      </c>
      <c r="H7" s="43">
        <v>1005.835</v>
      </c>
      <c r="I7" s="43">
        <v>220.04599999999999</v>
      </c>
      <c r="J7" s="43">
        <v>486.036</v>
      </c>
      <c r="K7" s="43">
        <v>140.011</v>
      </c>
      <c r="L7" s="43">
        <v>802.12900000000002</v>
      </c>
      <c r="M7" s="43">
        <v>322.34100000000001</v>
      </c>
      <c r="N7" s="43">
        <v>235.32400000000001</v>
      </c>
      <c r="O7" s="43">
        <v>339.74099999999999</v>
      </c>
      <c r="P7" s="43">
        <v>1.345</v>
      </c>
      <c r="Q7" s="44">
        <v>5573.9529999999995</v>
      </c>
      <c r="S7" s="49">
        <f t="shared" si="3"/>
        <v>39904</v>
      </c>
      <c r="T7" s="22">
        <f t="shared" si="4"/>
        <v>-3.2230109714349586E-3</v>
      </c>
      <c r="U7" s="26">
        <f t="shared" si="5"/>
        <v>-18023.000000001048</v>
      </c>
      <c r="W7" s="22">
        <f t="shared" si="6"/>
        <v>-7.3399360257266899E-3</v>
      </c>
      <c r="X7" s="26">
        <f t="shared" si="7"/>
        <v>-8582.0000000001073</v>
      </c>
      <c r="Y7" s="53">
        <f t="shared" si="0"/>
        <v>91.681043199110221</v>
      </c>
      <c r="AA7" s="22">
        <f t="shared" si="8"/>
        <v>-5.3840523767032522E-3</v>
      </c>
      <c r="AB7" s="26">
        <f t="shared" si="9"/>
        <v>-2148.0000000000246</v>
      </c>
      <c r="AC7" s="53">
        <f t="shared" si="1"/>
        <v>84.240471125717036</v>
      </c>
      <c r="AE7" s="22">
        <f t="shared" si="10"/>
        <v>-1.7892377350237076E-4</v>
      </c>
      <c r="AF7" s="26">
        <f t="shared" si="11"/>
        <v>-179.99999999994998</v>
      </c>
      <c r="AG7" s="53">
        <f t="shared" si="2"/>
        <v>79.907701792101022</v>
      </c>
    </row>
    <row r="8" spans="1:33" x14ac:dyDescent="0.3">
      <c r="A8" s="40">
        <v>39934</v>
      </c>
      <c r="B8" s="41">
        <v>325.08100000000002</v>
      </c>
      <c r="C8" s="42">
        <v>15.377000000000001</v>
      </c>
      <c r="D8" s="42">
        <v>66.974999999999994</v>
      </c>
      <c r="E8" s="43">
        <v>1157.451</v>
      </c>
      <c r="F8" s="43">
        <v>54.701999999999998</v>
      </c>
      <c r="G8" s="43">
        <v>395.52499999999998</v>
      </c>
      <c r="H8" s="43">
        <v>1005.454</v>
      </c>
      <c r="I8" s="43">
        <v>219.96199999999999</v>
      </c>
      <c r="J8" s="43">
        <v>485.65499999999997</v>
      </c>
      <c r="K8" s="43">
        <v>139.62899999999999</v>
      </c>
      <c r="L8" s="43">
        <v>801.65099999999995</v>
      </c>
      <c r="M8" s="43">
        <v>322.77600000000001</v>
      </c>
      <c r="N8" s="43">
        <v>236.09800000000001</v>
      </c>
      <c r="O8" s="43">
        <v>340.23200000000003</v>
      </c>
      <c r="P8" s="43">
        <v>1.3320000000000001</v>
      </c>
      <c r="Q8" s="44">
        <v>5567.9</v>
      </c>
      <c r="S8" s="49">
        <f t="shared" si="3"/>
        <v>39934</v>
      </c>
      <c r="T8" s="22">
        <f t="shared" si="4"/>
        <v>-1.0859438534913668E-3</v>
      </c>
      <c r="U8" s="26">
        <f t="shared" si="5"/>
        <v>-6052.9999999998836</v>
      </c>
      <c r="W8" s="22">
        <f t="shared" si="6"/>
        <v>-2.7459035461530057E-3</v>
      </c>
      <c r="X8" s="26">
        <f t="shared" si="7"/>
        <v>-3186.9999999998981</v>
      </c>
      <c r="Y8" s="53">
        <f t="shared" si="0"/>
        <v>91.429295897474788</v>
      </c>
      <c r="AA8" s="22">
        <f t="shared" si="8"/>
        <v>-3.2333017479486692E-3</v>
      </c>
      <c r="AB8" s="26">
        <f t="shared" si="9"/>
        <v>-1283.0000000000155</v>
      </c>
      <c r="AC8" s="53">
        <f t="shared" si="1"/>
        <v>83.968096263178225</v>
      </c>
      <c r="AE8" s="22">
        <f t="shared" si="10"/>
        <v>-3.7878976174032797E-4</v>
      </c>
      <c r="AF8" s="26">
        <f t="shared" si="11"/>
        <v>-381.00000000008549</v>
      </c>
      <c r="AG8" s="53">
        <f t="shared" si="2"/>
        <v>79.877433572777974</v>
      </c>
    </row>
    <row r="9" spans="1:33" x14ac:dyDescent="0.3">
      <c r="A9" s="40">
        <v>39965</v>
      </c>
      <c r="B9" s="41">
        <v>326.38600000000002</v>
      </c>
      <c r="C9" s="42">
        <v>15</v>
      </c>
      <c r="D9" s="42">
        <v>66.948999999999998</v>
      </c>
      <c r="E9" s="43">
        <v>1160.3230000000001</v>
      </c>
      <c r="F9" s="43">
        <v>55.469000000000001</v>
      </c>
      <c r="G9" s="43">
        <v>395.79199999999997</v>
      </c>
      <c r="H9" s="43">
        <v>1006.542</v>
      </c>
      <c r="I9" s="43">
        <v>220.30500000000001</v>
      </c>
      <c r="J9" s="43">
        <v>485.15800000000002</v>
      </c>
      <c r="K9" s="43">
        <v>139.607</v>
      </c>
      <c r="L9" s="43">
        <v>801.952</v>
      </c>
      <c r="M9" s="43">
        <v>324.13</v>
      </c>
      <c r="N9" s="43">
        <v>237.048</v>
      </c>
      <c r="O9" s="43">
        <v>340.20800000000003</v>
      </c>
      <c r="P9" s="43">
        <v>1.3029999999999999</v>
      </c>
      <c r="Q9" s="44">
        <v>5576.1719999999996</v>
      </c>
      <c r="S9" s="49">
        <f t="shared" si="3"/>
        <v>39965</v>
      </c>
      <c r="T9" s="22">
        <f t="shared" si="4"/>
        <v>1.4856588659997172E-3</v>
      </c>
      <c r="U9" s="26">
        <f t="shared" si="5"/>
        <v>8271.9999999999345</v>
      </c>
      <c r="W9" s="22">
        <f t="shared" si="6"/>
        <v>2.4813145437689865E-3</v>
      </c>
      <c r="X9" s="26">
        <f t="shared" si="7"/>
        <v>2872.0000000000709</v>
      </c>
      <c r="Y9" s="53">
        <f t="shared" si="0"/>
        <v>91.656160739111755</v>
      </c>
      <c r="AA9" s="22">
        <f t="shared" si="8"/>
        <v>6.7505214588203799E-4</v>
      </c>
      <c r="AB9" s="26">
        <f t="shared" si="9"/>
        <v>266.99999999999591</v>
      </c>
      <c r="AC9" s="53">
        <f t="shared" si="1"/>
        <v>84.024779106746323</v>
      </c>
      <c r="AE9" s="22">
        <f t="shared" si="10"/>
        <v>1.0820982362196307E-3</v>
      </c>
      <c r="AF9" s="26">
        <f t="shared" si="11"/>
        <v>1088.0000000000791</v>
      </c>
      <c r="AG9" s="53">
        <f t="shared" si="2"/>
        <v>79.963868802760842</v>
      </c>
    </row>
    <row r="10" spans="1:33" x14ac:dyDescent="0.3">
      <c r="A10" s="40">
        <v>39995</v>
      </c>
      <c r="B10" s="41">
        <v>327.447</v>
      </c>
      <c r="C10" s="42">
        <v>14.686999999999999</v>
      </c>
      <c r="D10" s="42">
        <v>66.822000000000003</v>
      </c>
      <c r="E10" s="43">
        <v>1159.7280000000001</v>
      </c>
      <c r="F10" s="43">
        <v>55.51</v>
      </c>
      <c r="G10" s="43">
        <v>393.75200000000001</v>
      </c>
      <c r="H10" s="43">
        <v>1006.314</v>
      </c>
      <c r="I10" s="43">
        <v>217.32499999999999</v>
      </c>
      <c r="J10" s="43">
        <v>484.74200000000002</v>
      </c>
      <c r="K10" s="43">
        <v>139.43100000000001</v>
      </c>
      <c r="L10" s="43">
        <v>815.84400000000005</v>
      </c>
      <c r="M10" s="43">
        <v>323.03800000000001</v>
      </c>
      <c r="N10" s="43">
        <v>238.131</v>
      </c>
      <c r="O10" s="43">
        <v>338.97399999999999</v>
      </c>
      <c r="P10" s="43">
        <v>1.284</v>
      </c>
      <c r="Q10" s="44">
        <v>5583.0290000000014</v>
      </c>
      <c r="S10" s="49">
        <f t="shared" si="3"/>
        <v>39995</v>
      </c>
      <c r="T10" s="22">
        <f t="shared" si="4"/>
        <v>1.2296966449387714E-3</v>
      </c>
      <c r="U10" s="26">
        <f t="shared" si="5"/>
        <v>6857.0000000017899</v>
      </c>
      <c r="W10" s="22">
        <f t="shared" si="6"/>
        <v>-5.1278824947886825E-4</v>
      </c>
      <c r="X10" s="26">
        <f t="shared" si="7"/>
        <v>-595.00000000002728</v>
      </c>
      <c r="Y10" s="53">
        <f t="shared" si="0"/>
        <v>91.609160536892404</v>
      </c>
      <c r="AA10" s="22">
        <f t="shared" si="8"/>
        <v>-5.1542224198568576E-3</v>
      </c>
      <c r="AB10" s="26">
        <f t="shared" si="9"/>
        <v>-2039.9999999999636</v>
      </c>
      <c r="AC10" s="53">
        <f t="shared" si="1"/>
        <v>83.591696706450819</v>
      </c>
      <c r="AE10" s="22">
        <f t="shared" si="10"/>
        <v>-2.2651811846907677E-4</v>
      </c>
      <c r="AF10" s="26">
        <f t="shared" si="11"/>
        <v>-228.00000000006548</v>
      </c>
      <c r="AG10" s="53">
        <f t="shared" si="2"/>
        <v>79.945755537654122</v>
      </c>
    </row>
    <row r="11" spans="1:33" x14ac:dyDescent="0.3">
      <c r="A11" s="40">
        <v>40026</v>
      </c>
      <c r="B11" s="41">
        <v>328.55399999999997</v>
      </c>
      <c r="C11" s="42">
        <v>14.651999999999999</v>
      </c>
      <c r="D11" s="42">
        <v>66.680000000000007</v>
      </c>
      <c r="E11" s="43">
        <v>1161.4359999999999</v>
      </c>
      <c r="F11" s="43">
        <v>55.655999999999999</v>
      </c>
      <c r="G11" s="43">
        <v>392.654</v>
      </c>
      <c r="H11" s="43">
        <v>1007.968</v>
      </c>
      <c r="I11" s="43">
        <v>218.07499999999999</v>
      </c>
      <c r="J11" s="43">
        <v>484.97</v>
      </c>
      <c r="K11" s="43">
        <v>139.499</v>
      </c>
      <c r="L11" s="43">
        <v>797.71600000000001</v>
      </c>
      <c r="M11" s="43">
        <v>324.899</v>
      </c>
      <c r="N11" s="43">
        <v>238.64400000000001</v>
      </c>
      <c r="O11" s="43">
        <v>340.03500000000003</v>
      </c>
      <c r="P11" s="43">
        <v>1.2649999999999999</v>
      </c>
      <c r="Q11" s="44">
        <v>5572.7030000000004</v>
      </c>
      <c r="S11" s="49">
        <f t="shared" si="3"/>
        <v>40026</v>
      </c>
      <c r="T11" s="22">
        <f t="shared" si="4"/>
        <v>-1.8495336492074799E-3</v>
      </c>
      <c r="U11" s="26">
        <f t="shared" si="5"/>
        <v>-10326.000000000931</v>
      </c>
      <c r="W11" s="22">
        <f t="shared" si="6"/>
        <v>1.472759129726775E-3</v>
      </c>
      <c r="X11" s="26">
        <f t="shared" si="7"/>
        <v>1707.9999999998563</v>
      </c>
      <c r="Y11" s="53">
        <f t="shared" si="0"/>
        <v>91.74407876443972</v>
      </c>
      <c r="AA11" s="22">
        <f t="shared" si="8"/>
        <v>-2.7885572644710255E-3</v>
      </c>
      <c r="AB11" s="26">
        <f t="shared" si="9"/>
        <v>-1098.0000000000132</v>
      </c>
      <c r="AC11" s="53">
        <f t="shared" si="1"/>
        <v>83.358596473350573</v>
      </c>
      <c r="AE11" s="22">
        <f t="shared" si="10"/>
        <v>1.6436221696209952E-3</v>
      </c>
      <c r="AF11" s="26">
        <f t="shared" si="11"/>
        <v>1653.9999999999964</v>
      </c>
      <c r="AG11" s="53">
        <f t="shared" si="2"/>
        <v>80.077156153822926</v>
      </c>
    </row>
    <row r="12" spans="1:33" x14ac:dyDescent="0.3">
      <c r="A12" s="40">
        <v>40057</v>
      </c>
      <c r="B12" s="41">
        <v>327.35700000000003</v>
      </c>
      <c r="C12" s="42">
        <v>14.775</v>
      </c>
      <c r="D12" s="42">
        <v>66.605999999999995</v>
      </c>
      <c r="E12" s="43">
        <v>1163.915</v>
      </c>
      <c r="F12" s="43">
        <v>55.822000000000003</v>
      </c>
      <c r="G12" s="43">
        <v>389.827</v>
      </c>
      <c r="H12" s="43">
        <v>1010.074</v>
      </c>
      <c r="I12" s="43">
        <v>219.96700000000001</v>
      </c>
      <c r="J12" s="43">
        <v>484.327</v>
      </c>
      <c r="K12" s="43">
        <v>139.41200000000001</v>
      </c>
      <c r="L12" s="43">
        <v>802.80600000000004</v>
      </c>
      <c r="M12" s="43">
        <v>326.43400000000003</v>
      </c>
      <c r="N12" s="43">
        <v>239.32300000000001</v>
      </c>
      <c r="O12" s="43">
        <v>343.2</v>
      </c>
      <c r="P12" s="43">
        <v>1.216</v>
      </c>
      <c r="Q12" s="44">
        <v>5585.0610000000006</v>
      </c>
      <c r="S12" s="49">
        <f t="shared" si="3"/>
        <v>40057</v>
      </c>
      <c r="T12" s="22">
        <f t="shared" si="4"/>
        <v>2.2175953033922724E-3</v>
      </c>
      <c r="U12" s="26">
        <f t="shared" si="5"/>
        <v>12358.000000000175</v>
      </c>
      <c r="W12" s="22">
        <f t="shared" si="6"/>
        <v>2.1344266924738786E-3</v>
      </c>
      <c r="X12" s="26">
        <f t="shared" si="7"/>
        <v>2479.0000000000418</v>
      </c>
      <c r="Y12" s="53">
        <f t="shared" si="0"/>
        <v>91.939899775030966</v>
      </c>
      <c r="AA12" s="22">
        <f t="shared" si="8"/>
        <v>-7.1997229112653605E-3</v>
      </c>
      <c r="AB12" s="26">
        <f t="shared" si="9"/>
        <v>-2826.9999999999982</v>
      </c>
      <c r="AC12" s="53">
        <f t="shared" si="1"/>
        <v>82.758437676470464</v>
      </c>
      <c r="AE12" s="22">
        <f t="shared" si="10"/>
        <v>2.0893520429219326E-3</v>
      </c>
      <c r="AF12" s="26">
        <f t="shared" si="11"/>
        <v>2105.9999999999945</v>
      </c>
      <c r="AG12" s="53">
        <f t="shared" si="2"/>
        <v>80.244465523624299</v>
      </c>
    </row>
    <row r="13" spans="1:33" x14ac:dyDescent="0.3">
      <c r="A13" s="40">
        <v>40087</v>
      </c>
      <c r="B13" s="41">
        <v>328.35199999999998</v>
      </c>
      <c r="C13" s="42">
        <v>14.586</v>
      </c>
      <c r="D13" s="42">
        <v>66.649000000000001</v>
      </c>
      <c r="E13" s="43">
        <v>1167.4839999999999</v>
      </c>
      <c r="F13" s="43">
        <v>55.965000000000003</v>
      </c>
      <c r="G13" s="43">
        <v>388.27100000000002</v>
      </c>
      <c r="H13" s="43">
        <v>1011.654</v>
      </c>
      <c r="I13" s="43">
        <v>221.779</v>
      </c>
      <c r="J13" s="43">
        <v>485.84399999999999</v>
      </c>
      <c r="K13" s="43">
        <v>139.54400000000001</v>
      </c>
      <c r="L13" s="43">
        <v>805.26900000000001</v>
      </c>
      <c r="M13" s="43">
        <v>327.221</v>
      </c>
      <c r="N13" s="43">
        <v>239.79499999999999</v>
      </c>
      <c r="O13" s="43">
        <v>345.67599999999999</v>
      </c>
      <c r="P13" s="43">
        <v>1.181</v>
      </c>
      <c r="Q13" s="44">
        <v>5599.27</v>
      </c>
      <c r="S13" s="49">
        <f t="shared" si="3"/>
        <v>40087</v>
      </c>
      <c r="T13" s="22">
        <f t="shared" si="4"/>
        <v>2.5441082917447844E-3</v>
      </c>
      <c r="U13" s="26">
        <f t="shared" si="5"/>
        <v>14208.999999999833</v>
      </c>
      <c r="W13" s="22">
        <f t="shared" si="6"/>
        <v>3.0663751218946711E-3</v>
      </c>
      <c r="X13" s="26">
        <f t="shared" si="7"/>
        <v>3568.99999999996</v>
      </c>
      <c r="Y13" s="53">
        <f t="shared" si="0"/>
        <v>92.221821996410597</v>
      </c>
      <c r="AA13" s="22">
        <f t="shared" si="8"/>
        <v>-3.9915141844971691E-3</v>
      </c>
      <c r="AB13" s="26">
        <f t="shared" si="9"/>
        <v>-1555.9999999999832</v>
      </c>
      <c r="AC13" s="53">
        <f t="shared" si="1"/>
        <v>82.428106198598002</v>
      </c>
      <c r="AE13" s="22">
        <f t="shared" si="10"/>
        <v>1.5642418278265513E-3</v>
      </c>
      <c r="AF13" s="26">
        <f t="shared" si="11"/>
        <v>1580.0000000000409</v>
      </c>
      <c r="AG13" s="53">
        <f t="shared" si="2"/>
        <v>80.369987273047926</v>
      </c>
    </row>
    <row r="14" spans="1:33" x14ac:dyDescent="0.3">
      <c r="A14" s="40">
        <v>40118</v>
      </c>
      <c r="B14" s="41">
        <v>328.76900000000001</v>
      </c>
      <c r="C14" s="42">
        <v>14.641999999999999</v>
      </c>
      <c r="D14" s="42">
        <v>66.566999999999993</v>
      </c>
      <c r="E14" s="43">
        <v>1166.998</v>
      </c>
      <c r="F14" s="43">
        <v>56.06</v>
      </c>
      <c r="G14" s="43">
        <v>387.35700000000003</v>
      </c>
      <c r="H14" s="43">
        <v>1014.826</v>
      </c>
      <c r="I14" s="43">
        <v>221.71199999999999</v>
      </c>
      <c r="J14" s="43">
        <v>486.423</v>
      </c>
      <c r="K14" s="43">
        <v>139.928</v>
      </c>
      <c r="L14" s="43">
        <v>803.71299999999997</v>
      </c>
      <c r="M14" s="43">
        <v>328.22500000000002</v>
      </c>
      <c r="N14" s="43">
        <v>240.53299999999999</v>
      </c>
      <c r="O14" s="43">
        <v>345.60899999999998</v>
      </c>
      <c r="P14" s="43">
        <v>1.1870000000000001</v>
      </c>
      <c r="Q14" s="44">
        <v>5602.5490000000009</v>
      </c>
      <c r="S14" s="49">
        <f t="shared" si="3"/>
        <v>40118</v>
      </c>
      <c r="T14" s="22">
        <f t="shared" si="4"/>
        <v>5.8561205299989538E-4</v>
      </c>
      <c r="U14" s="26">
        <f t="shared" si="5"/>
        <v>3279.0000000004511</v>
      </c>
      <c r="W14" s="22">
        <f t="shared" si="6"/>
        <v>-4.1627979484071265E-4</v>
      </c>
      <c r="X14" s="26">
        <f t="shared" si="7"/>
        <v>-485.99999999987631</v>
      </c>
      <c r="Y14" s="53">
        <f t="shared" si="0"/>
        <v>92.183431915270091</v>
      </c>
      <c r="AA14" s="22">
        <f t="shared" si="8"/>
        <v>-2.3540259251914053E-3</v>
      </c>
      <c r="AB14" s="26">
        <f t="shared" si="9"/>
        <v>-913.99999999998727</v>
      </c>
      <c r="AC14" s="53">
        <f t="shared" si="1"/>
        <v>82.234068299642075</v>
      </c>
      <c r="AE14" s="22">
        <f t="shared" si="10"/>
        <v>3.1354593566574884E-3</v>
      </c>
      <c r="AF14" s="26">
        <f t="shared" si="11"/>
        <v>3172.0000000000255</v>
      </c>
      <c r="AG14" s="53">
        <f t="shared" si="2"/>
        <v>80.621984101637651</v>
      </c>
    </row>
    <row r="15" spans="1:33" x14ac:dyDescent="0.3">
      <c r="A15" s="40">
        <v>40148</v>
      </c>
      <c r="B15" s="41">
        <v>324.79899999999998</v>
      </c>
      <c r="C15" s="42">
        <v>14.705</v>
      </c>
      <c r="D15" s="42">
        <v>66.721999999999994</v>
      </c>
      <c r="E15" s="43">
        <v>1167.1769999999999</v>
      </c>
      <c r="F15" s="43">
        <v>56.110999999999997</v>
      </c>
      <c r="G15" s="43">
        <v>387.33699999999999</v>
      </c>
      <c r="H15" s="43">
        <v>1014.107</v>
      </c>
      <c r="I15" s="43">
        <v>222.77799999999999</v>
      </c>
      <c r="J15" s="43">
        <v>487.27600000000001</v>
      </c>
      <c r="K15" s="43">
        <v>140.25</v>
      </c>
      <c r="L15" s="43">
        <v>809.51599999999996</v>
      </c>
      <c r="M15" s="43">
        <v>328.92700000000002</v>
      </c>
      <c r="N15" s="43">
        <v>241.24</v>
      </c>
      <c r="O15" s="43">
        <v>347.01299999999998</v>
      </c>
      <c r="P15" s="43">
        <v>1.1950000000000001</v>
      </c>
      <c r="Q15" s="44">
        <v>5609.1529999999984</v>
      </c>
      <c r="S15" s="49">
        <f t="shared" si="3"/>
        <v>40148</v>
      </c>
      <c r="T15" s="22">
        <f t="shared" si="4"/>
        <v>1.1787491729207122E-3</v>
      </c>
      <c r="U15" s="26">
        <f t="shared" si="5"/>
        <v>6603.9999999975407</v>
      </c>
      <c r="W15" s="22">
        <f t="shared" si="6"/>
        <v>1.5338501008566041E-4</v>
      </c>
      <c r="X15" s="26">
        <f t="shared" si="7"/>
        <v>178.99999999985994</v>
      </c>
      <c r="Y15" s="53">
        <f t="shared" si="0"/>
        <v>92.197571471904141</v>
      </c>
      <c r="AA15" s="22">
        <f t="shared" si="8"/>
        <v>-5.1631957083575486E-5</v>
      </c>
      <c r="AB15" s="26">
        <f t="shared" si="9"/>
        <v>-20.000000000038654</v>
      </c>
      <c r="AC15" s="53">
        <f t="shared" si="1"/>
        <v>82.22982239375682</v>
      </c>
      <c r="AE15" s="22">
        <f t="shared" si="10"/>
        <v>-7.0849584066634552E-4</v>
      </c>
      <c r="AF15" s="26">
        <f t="shared" si="11"/>
        <v>-719.00000000005093</v>
      </c>
      <c r="AG15" s="53">
        <f t="shared" si="2"/>
        <v>80.564863761235387</v>
      </c>
    </row>
    <row r="16" spans="1:33" x14ac:dyDescent="0.3">
      <c r="A16" s="40">
        <v>40179</v>
      </c>
      <c r="B16" s="41">
        <v>323.05700000000002</v>
      </c>
      <c r="C16" s="42">
        <v>14.606999999999999</v>
      </c>
      <c r="D16" s="42">
        <v>66.783000000000001</v>
      </c>
      <c r="E16" s="43">
        <v>1168.4570000000001</v>
      </c>
      <c r="F16" s="43">
        <v>56.173000000000002</v>
      </c>
      <c r="G16" s="43">
        <v>388.25900000000001</v>
      </c>
      <c r="H16" s="43">
        <v>1015.381</v>
      </c>
      <c r="I16" s="43">
        <v>222.66800000000001</v>
      </c>
      <c r="J16" s="43">
        <v>487.88600000000002</v>
      </c>
      <c r="K16" s="43">
        <v>140.495</v>
      </c>
      <c r="L16" s="43">
        <v>810.92200000000003</v>
      </c>
      <c r="M16" s="43">
        <v>329.14699999999999</v>
      </c>
      <c r="N16" s="43">
        <v>242.333</v>
      </c>
      <c r="O16" s="43">
        <v>346.07400000000001</v>
      </c>
      <c r="P16" s="43">
        <v>1.181</v>
      </c>
      <c r="Q16" s="44">
        <v>5613.4229999999989</v>
      </c>
      <c r="S16" s="49">
        <f t="shared" si="3"/>
        <v>40179</v>
      </c>
      <c r="T16" s="22">
        <f t="shared" si="4"/>
        <v>7.6125575465679773E-4</v>
      </c>
      <c r="U16" s="26">
        <f t="shared" si="5"/>
        <v>4270.0000000004366</v>
      </c>
      <c r="W16" s="22">
        <f t="shared" si="6"/>
        <v>1.096663145349952E-3</v>
      </c>
      <c r="X16" s="26">
        <f t="shared" si="7"/>
        <v>1280.0000000002001</v>
      </c>
      <c r="Y16" s="53">
        <f t="shared" si="0"/>
        <v>92.298681150628141</v>
      </c>
      <c r="AA16" s="22">
        <f t="shared" si="8"/>
        <v>2.3803561239954529E-3</v>
      </c>
      <c r="AB16" s="26">
        <f t="shared" si="9"/>
        <v>922.00000000002547</v>
      </c>
      <c r="AC16" s="53">
        <f t="shared" si="1"/>
        <v>82.425558655066851</v>
      </c>
      <c r="AE16" s="22">
        <f t="shared" si="10"/>
        <v>1.2562776906184236E-3</v>
      </c>
      <c r="AF16" s="26">
        <f t="shared" si="11"/>
        <v>1274.0000000000009</v>
      </c>
      <c r="AG16" s="53">
        <f t="shared" si="2"/>
        <v>80.666075602226343</v>
      </c>
    </row>
    <row r="17" spans="1:33" x14ac:dyDescent="0.3">
      <c r="A17" s="40">
        <v>40210</v>
      </c>
      <c r="B17" s="41">
        <v>324.68200000000002</v>
      </c>
      <c r="C17" s="42">
        <v>14.532999999999999</v>
      </c>
      <c r="D17" s="42">
        <v>67.122</v>
      </c>
      <c r="E17" s="43">
        <v>1174.3699999999999</v>
      </c>
      <c r="F17" s="43">
        <v>56.076000000000001</v>
      </c>
      <c r="G17" s="43">
        <v>390.71899999999999</v>
      </c>
      <c r="H17" s="43">
        <v>1021.5359999999999</v>
      </c>
      <c r="I17" s="43">
        <v>223.464</v>
      </c>
      <c r="J17" s="43">
        <v>489.61799999999999</v>
      </c>
      <c r="K17" s="43">
        <v>140.83199999999999</v>
      </c>
      <c r="L17" s="43">
        <v>816.92600000000004</v>
      </c>
      <c r="M17" s="43">
        <v>328.637</v>
      </c>
      <c r="N17" s="43">
        <v>243.11099999999999</v>
      </c>
      <c r="O17" s="43">
        <v>347.82400000000001</v>
      </c>
      <c r="P17" s="43">
        <v>1.1879999999999999</v>
      </c>
      <c r="Q17" s="44">
        <v>5640.637999999999</v>
      </c>
      <c r="S17" s="49">
        <f t="shared" si="3"/>
        <v>40210</v>
      </c>
      <c r="T17" s="22">
        <f t="shared" si="4"/>
        <v>4.8482004652063981E-3</v>
      </c>
      <c r="U17" s="26">
        <f t="shared" si="5"/>
        <v>27215.000000000146</v>
      </c>
      <c r="W17" s="22">
        <f t="shared" si="6"/>
        <v>5.0605199849029781E-3</v>
      </c>
      <c r="X17" s="26">
        <f t="shared" si="7"/>
        <v>5912.9999999997835</v>
      </c>
      <c r="Y17" s="53">
        <f t="shared" si="0"/>
        <v>92.765760471171106</v>
      </c>
      <c r="AA17" s="22">
        <f t="shared" si="8"/>
        <v>6.3359767577828574E-3</v>
      </c>
      <c r="AB17" s="26">
        <f t="shared" si="9"/>
        <v>2459.9999999999795</v>
      </c>
      <c r="AC17" s="53">
        <f t="shared" si="1"/>
        <v>82.947805078952612</v>
      </c>
      <c r="AE17" s="22">
        <f t="shared" si="10"/>
        <v>6.0617640077960111E-3</v>
      </c>
      <c r="AF17" s="26">
        <f t="shared" si="11"/>
        <v>6154.9999999999727</v>
      </c>
      <c r="AG17" s="53">
        <f t="shared" si="2"/>
        <v>81.155054315962062</v>
      </c>
    </row>
    <row r="18" spans="1:33" x14ac:dyDescent="0.3">
      <c r="A18" s="40">
        <v>40238</v>
      </c>
      <c r="B18" s="41">
        <v>325.32900000000001</v>
      </c>
      <c r="C18" s="42">
        <v>14.497999999999999</v>
      </c>
      <c r="D18" s="42">
        <v>67.524000000000001</v>
      </c>
      <c r="E18" s="43">
        <v>1178.1379999999999</v>
      </c>
      <c r="F18" s="43">
        <v>56.104999999999997</v>
      </c>
      <c r="G18" s="43">
        <v>391.16</v>
      </c>
      <c r="H18" s="43">
        <v>1026.059</v>
      </c>
      <c r="I18" s="43">
        <v>224.29300000000001</v>
      </c>
      <c r="J18" s="43">
        <v>491.83300000000003</v>
      </c>
      <c r="K18" s="43">
        <v>141.34100000000001</v>
      </c>
      <c r="L18" s="43">
        <v>820.19100000000003</v>
      </c>
      <c r="M18" s="43">
        <v>329.91899999999998</v>
      </c>
      <c r="N18" s="43">
        <v>244.23</v>
      </c>
      <c r="O18" s="43">
        <v>347.96600000000001</v>
      </c>
      <c r="P18" s="43">
        <v>1.155</v>
      </c>
      <c r="Q18" s="44">
        <v>5659.741</v>
      </c>
      <c r="S18" s="49">
        <f t="shared" si="3"/>
        <v>40238</v>
      </c>
      <c r="T18" s="22">
        <f t="shared" si="4"/>
        <v>3.386673635145776E-3</v>
      </c>
      <c r="U18" s="26">
        <f t="shared" si="5"/>
        <v>19103.000000000975</v>
      </c>
      <c r="W18" s="22">
        <f t="shared" si="6"/>
        <v>3.2085288282228674E-3</v>
      </c>
      <c r="X18" s="26">
        <f t="shared" si="7"/>
        <v>3768.0000000000291</v>
      </c>
      <c r="Y18" s="53">
        <f t="shared" si="0"/>
        <v>93.063402087914852</v>
      </c>
      <c r="AA18" s="22">
        <f t="shared" si="8"/>
        <v>1.1286883924253033E-3</v>
      </c>
      <c r="AB18" s="26">
        <f t="shared" si="9"/>
        <v>441.00000000003092</v>
      </c>
      <c r="AC18" s="53">
        <f t="shared" si="1"/>
        <v>83.041427303722386</v>
      </c>
      <c r="AE18" s="22">
        <f t="shared" si="10"/>
        <v>4.4276462111956238E-3</v>
      </c>
      <c r="AF18" s="26">
        <f t="shared" si="11"/>
        <v>4523.0000000000246</v>
      </c>
      <c r="AG18" s="53">
        <f t="shared" si="2"/>
        <v>81.514380184723521</v>
      </c>
    </row>
    <row r="19" spans="1:33" x14ac:dyDescent="0.3">
      <c r="A19" s="40">
        <v>40269</v>
      </c>
      <c r="B19" s="41">
        <v>327.42</v>
      </c>
      <c r="C19" s="42">
        <v>14.472</v>
      </c>
      <c r="D19" s="42">
        <v>67.709999999999994</v>
      </c>
      <c r="E19" s="43">
        <v>1181.877</v>
      </c>
      <c r="F19" s="43">
        <v>56.128999999999998</v>
      </c>
      <c r="G19" s="43">
        <v>391.74099999999999</v>
      </c>
      <c r="H19" s="43">
        <v>1030.7950000000001</v>
      </c>
      <c r="I19" s="43">
        <v>225.29300000000001</v>
      </c>
      <c r="J19" s="43">
        <v>493.85899999999998</v>
      </c>
      <c r="K19" s="43">
        <v>141.761</v>
      </c>
      <c r="L19" s="43">
        <v>821.21199999999999</v>
      </c>
      <c r="M19" s="43">
        <v>331.17700000000002</v>
      </c>
      <c r="N19" s="43">
        <v>245.23699999999999</v>
      </c>
      <c r="O19" s="43">
        <v>348.75</v>
      </c>
      <c r="P19" s="43">
        <v>1.117</v>
      </c>
      <c r="Q19" s="44">
        <v>5678.55</v>
      </c>
      <c r="S19" s="49">
        <f t="shared" si="3"/>
        <v>40269</v>
      </c>
      <c r="T19" s="22">
        <f t="shared" si="4"/>
        <v>3.323296949454102E-3</v>
      </c>
      <c r="U19" s="26">
        <f t="shared" si="5"/>
        <v>18809.000000000196</v>
      </c>
      <c r="W19" s="22">
        <f t="shared" si="6"/>
        <v>3.1736519830445342E-3</v>
      </c>
      <c r="X19" s="26">
        <f t="shared" si="7"/>
        <v>3739.0000000000327</v>
      </c>
      <c r="Y19" s="53">
        <f t="shared" si="0"/>
        <v>93.358752938500032</v>
      </c>
      <c r="AA19" s="22">
        <f t="shared" si="8"/>
        <v>1.4853256979239227E-3</v>
      </c>
      <c r="AB19" s="26">
        <f t="shared" si="9"/>
        <v>580.99999999996044</v>
      </c>
      <c r="AC19" s="53">
        <f t="shared" si="1"/>
        <v>83.164770869688908</v>
      </c>
      <c r="AE19" s="22">
        <f t="shared" si="10"/>
        <v>4.6157189791231623E-3</v>
      </c>
      <c r="AF19" s="26">
        <f t="shared" si="11"/>
        <v>4736.0000000001037</v>
      </c>
      <c r="AG19" s="53">
        <f t="shared" si="2"/>
        <v>81.890627656413599</v>
      </c>
    </row>
    <row r="20" spans="1:33" x14ac:dyDescent="0.3">
      <c r="A20" s="40">
        <v>40299</v>
      </c>
      <c r="B20" s="41">
        <v>324.91000000000003</v>
      </c>
      <c r="C20" s="42">
        <v>14.287000000000001</v>
      </c>
      <c r="D20" s="42">
        <v>67.978999999999999</v>
      </c>
      <c r="E20" s="43">
        <v>1185.4380000000001</v>
      </c>
      <c r="F20" s="43">
        <v>56.207000000000001</v>
      </c>
      <c r="G20" s="43">
        <v>391.16500000000002</v>
      </c>
      <c r="H20" s="43">
        <v>1033.558</v>
      </c>
      <c r="I20" s="43">
        <v>226.37200000000001</v>
      </c>
      <c r="J20" s="43">
        <v>493.6</v>
      </c>
      <c r="K20" s="43">
        <v>142.471</v>
      </c>
      <c r="L20" s="43">
        <v>823.9</v>
      </c>
      <c r="M20" s="43">
        <v>332.51600000000002</v>
      </c>
      <c r="N20" s="43">
        <v>246.517</v>
      </c>
      <c r="O20" s="43">
        <v>349.85</v>
      </c>
      <c r="P20" s="43">
        <v>1.0920000000000001</v>
      </c>
      <c r="Q20" s="44">
        <v>5689.8619999999992</v>
      </c>
      <c r="S20" s="49">
        <f t="shared" si="3"/>
        <v>40299</v>
      </c>
      <c r="T20" s="22">
        <f t="shared" si="4"/>
        <v>1.9920578316645621E-3</v>
      </c>
      <c r="U20" s="26">
        <f t="shared" si="5"/>
        <v>11311.999999998989</v>
      </c>
      <c r="W20" s="22">
        <f t="shared" si="6"/>
        <v>3.0130038912679069E-3</v>
      </c>
      <c r="X20" s="26">
        <f t="shared" si="7"/>
        <v>3561.0000000001492</v>
      </c>
      <c r="Y20" s="53">
        <f t="shared" si="0"/>
        <v>93.640043224387654</v>
      </c>
      <c r="AA20" s="22">
        <f t="shared" si="8"/>
        <v>-1.4703592424585299E-3</v>
      </c>
      <c r="AB20" s="26">
        <f t="shared" si="9"/>
        <v>-575.99999999996498</v>
      </c>
      <c r="AC20" s="53">
        <f t="shared" si="1"/>
        <v>83.042488780193707</v>
      </c>
      <c r="AE20" s="22">
        <f t="shared" si="10"/>
        <v>2.6804553766752726E-3</v>
      </c>
      <c r="AF20" s="26">
        <f t="shared" si="11"/>
        <v>2762.99999999992</v>
      </c>
      <c r="AG20" s="53">
        <f t="shared" si="2"/>
        <v>82.110131829614545</v>
      </c>
    </row>
    <row r="21" spans="1:33" x14ac:dyDescent="0.3">
      <c r="A21" s="40">
        <v>40330</v>
      </c>
      <c r="B21" s="41">
        <v>324.416</v>
      </c>
      <c r="C21" s="42">
        <v>14.164</v>
      </c>
      <c r="D21" s="42">
        <v>68.195999999999998</v>
      </c>
      <c r="E21" s="43">
        <v>1189.874</v>
      </c>
      <c r="F21" s="43">
        <v>56.332000000000001</v>
      </c>
      <c r="G21" s="43">
        <v>391.33300000000003</v>
      </c>
      <c r="H21" s="43">
        <v>1037.4960000000001</v>
      </c>
      <c r="I21" s="43">
        <v>228.27</v>
      </c>
      <c r="J21" s="43">
        <v>495.07</v>
      </c>
      <c r="K21" s="43">
        <v>143.11099999999999</v>
      </c>
      <c r="L21" s="43">
        <v>827.673</v>
      </c>
      <c r="M21" s="43">
        <v>333.548</v>
      </c>
      <c r="N21" s="43">
        <v>247.095</v>
      </c>
      <c r="O21" s="43">
        <v>351.22199999999998</v>
      </c>
      <c r="P21" s="43">
        <v>1.097</v>
      </c>
      <c r="Q21" s="44">
        <v>5708.8969999999999</v>
      </c>
      <c r="S21" s="49">
        <f t="shared" si="3"/>
        <v>40330</v>
      </c>
      <c r="T21" s="22">
        <f t="shared" si="4"/>
        <v>3.34542384332015E-3</v>
      </c>
      <c r="U21" s="26">
        <f t="shared" si="5"/>
        <v>19035.000000000764</v>
      </c>
      <c r="W21" s="22">
        <f t="shared" si="6"/>
        <v>3.7420767682492251E-3</v>
      </c>
      <c r="X21" s="26">
        <f t="shared" si="7"/>
        <v>4435.9999999999218</v>
      </c>
      <c r="Y21" s="53">
        <f t="shared" si="0"/>
        <v>93.990451454715512</v>
      </c>
      <c r="AA21" s="22">
        <f t="shared" si="8"/>
        <v>4.2948627816907781E-4</v>
      </c>
      <c r="AB21" s="26">
        <f t="shared" si="9"/>
        <v>168.00000000000637</v>
      </c>
      <c r="AC21" s="53">
        <f t="shared" si="1"/>
        <v>83.078154389629816</v>
      </c>
      <c r="AE21" s="22">
        <f t="shared" si="10"/>
        <v>3.8101393438976228E-3</v>
      </c>
      <c r="AF21" s="26">
        <f t="shared" si="11"/>
        <v>3938.0000000001019</v>
      </c>
      <c r="AG21" s="53">
        <f t="shared" si="2"/>
        <v>82.422982873431181</v>
      </c>
    </row>
    <row r="22" spans="1:33" x14ac:dyDescent="0.3">
      <c r="A22" s="40">
        <v>40360</v>
      </c>
      <c r="B22" s="41">
        <v>324.02</v>
      </c>
      <c r="C22" s="42">
        <v>15.175000000000001</v>
      </c>
      <c r="D22" s="42">
        <v>68.647999999999996</v>
      </c>
      <c r="E22" s="43">
        <v>1191.9960000000001</v>
      </c>
      <c r="F22" s="43">
        <v>56.412999999999997</v>
      </c>
      <c r="G22" s="43">
        <v>392.59500000000003</v>
      </c>
      <c r="H22" s="43">
        <v>1041.9749999999999</v>
      </c>
      <c r="I22" s="43">
        <v>228.803</v>
      </c>
      <c r="J22" s="43">
        <v>496.84</v>
      </c>
      <c r="K22" s="43">
        <v>143.62700000000001</v>
      </c>
      <c r="L22" s="43">
        <v>829.952</v>
      </c>
      <c r="M22" s="43">
        <v>334.85599999999999</v>
      </c>
      <c r="N22" s="43">
        <v>247.92599999999999</v>
      </c>
      <c r="O22" s="43">
        <v>352.54</v>
      </c>
      <c r="P22" s="43">
        <v>1.1120000000000001</v>
      </c>
      <c r="Q22" s="44">
        <v>5726.4780000000001</v>
      </c>
      <c r="S22" s="49">
        <f t="shared" si="3"/>
        <v>40360</v>
      </c>
      <c r="T22" s="22">
        <f t="shared" si="4"/>
        <v>3.0795791200997069E-3</v>
      </c>
      <c r="U22" s="26">
        <f t="shared" si="5"/>
        <v>17581.000000000131</v>
      </c>
      <c r="W22" s="22">
        <f t="shared" si="6"/>
        <v>1.783382106004483E-3</v>
      </c>
      <c r="X22" s="26">
        <f t="shared" si="7"/>
        <v>2122.0000000000709</v>
      </c>
      <c r="Y22" s="53">
        <f t="shared" si="0"/>
        <v>94.158072343975135</v>
      </c>
      <c r="AA22" s="22">
        <f t="shared" si="8"/>
        <v>3.2248749785988018E-3</v>
      </c>
      <c r="AB22" s="26">
        <f t="shared" si="9"/>
        <v>1262.0000000000005</v>
      </c>
      <c r="AC22" s="53">
        <f t="shared" si="1"/>
        <v>83.346071050989096</v>
      </c>
      <c r="AE22" s="22">
        <f t="shared" si="10"/>
        <v>4.3171250780724701E-3</v>
      </c>
      <c r="AF22" s="26">
        <f t="shared" si="11"/>
        <v>4478.9999999998145</v>
      </c>
      <c r="AG22" s="53">
        <f t="shared" si="2"/>
        <v>82.778813199803608</v>
      </c>
    </row>
    <row r="23" spans="1:33" x14ac:dyDescent="0.3">
      <c r="A23" s="40">
        <v>40391</v>
      </c>
      <c r="B23" s="41">
        <v>324.81799999999998</v>
      </c>
      <c r="C23" s="42">
        <v>15.188000000000001</v>
      </c>
      <c r="D23" s="42">
        <v>69.263000000000005</v>
      </c>
      <c r="E23" s="43">
        <v>1195.873</v>
      </c>
      <c r="F23" s="43">
        <v>56.441000000000003</v>
      </c>
      <c r="G23" s="43">
        <v>397.524</v>
      </c>
      <c r="H23" s="43">
        <v>1045.4079999999999</v>
      </c>
      <c r="I23" s="43">
        <v>230.14400000000001</v>
      </c>
      <c r="J23" s="43">
        <v>498.74900000000002</v>
      </c>
      <c r="K23" s="43">
        <v>143.977</v>
      </c>
      <c r="L23" s="43">
        <v>829.77800000000002</v>
      </c>
      <c r="M23" s="43">
        <v>335.14800000000002</v>
      </c>
      <c r="N23" s="43">
        <v>248.63499999999999</v>
      </c>
      <c r="O23" s="43">
        <v>353.53300000000002</v>
      </c>
      <c r="P23" s="43">
        <v>1.099</v>
      </c>
      <c r="Q23" s="44">
        <v>5745.5780000000004</v>
      </c>
      <c r="S23" s="49">
        <f t="shared" si="3"/>
        <v>40391</v>
      </c>
      <c r="T23" s="22">
        <f t="shared" si="4"/>
        <v>3.3353834590825748E-3</v>
      </c>
      <c r="U23" s="26">
        <f t="shared" si="5"/>
        <v>19100.000000000364</v>
      </c>
      <c r="W23" s="22">
        <f t="shared" si="6"/>
        <v>3.252527693045959E-3</v>
      </c>
      <c r="X23" s="26">
        <f t="shared" si="7"/>
        <v>3876.9999999999527</v>
      </c>
      <c r="Y23" s="53">
        <f t="shared" si="0"/>
        <v>94.464324081797741</v>
      </c>
      <c r="AA23" s="22">
        <f t="shared" si="8"/>
        <v>1.2554923012264574E-2</v>
      </c>
      <c r="AB23" s="26">
        <f t="shared" si="9"/>
        <v>4928.9999999999736</v>
      </c>
      <c r="AC23" s="53">
        <f t="shared" si="1"/>
        <v>84.392474556408985</v>
      </c>
      <c r="AE23" s="22">
        <f t="shared" si="10"/>
        <v>3.2947047673888008E-3</v>
      </c>
      <c r="AF23" s="26">
        <f t="shared" si="11"/>
        <v>3432.9999999999927</v>
      </c>
      <c r="AG23" s="53">
        <f t="shared" si="2"/>
        <v>83.051544950291785</v>
      </c>
    </row>
    <row r="24" spans="1:33" x14ac:dyDescent="0.3">
      <c r="A24" s="40">
        <v>40422</v>
      </c>
      <c r="B24" s="41">
        <v>326.12299999999999</v>
      </c>
      <c r="C24" s="42">
        <v>15.225</v>
      </c>
      <c r="D24" s="42">
        <v>69.394000000000005</v>
      </c>
      <c r="E24" s="43">
        <v>1197.4780000000001</v>
      </c>
      <c r="F24" s="43">
        <v>56.573999999999998</v>
      </c>
      <c r="G24" s="43">
        <v>401.846</v>
      </c>
      <c r="H24" s="43">
        <v>1049.924</v>
      </c>
      <c r="I24" s="43">
        <v>230.261</v>
      </c>
      <c r="J24" s="43">
        <v>500.19099999999997</v>
      </c>
      <c r="K24" s="43">
        <v>144.78100000000001</v>
      </c>
      <c r="L24" s="43">
        <v>835.45600000000002</v>
      </c>
      <c r="M24" s="43">
        <v>336.05099999999999</v>
      </c>
      <c r="N24" s="43">
        <v>249.767</v>
      </c>
      <c r="O24" s="43">
        <v>354.71100000000001</v>
      </c>
      <c r="P24" s="43">
        <v>1.0840000000000001</v>
      </c>
      <c r="Q24" s="44">
        <v>5768.866</v>
      </c>
      <c r="S24" s="49">
        <f t="shared" si="3"/>
        <v>40422</v>
      </c>
      <c r="T24" s="22">
        <f t="shared" si="4"/>
        <v>4.0532040466598751E-3</v>
      </c>
      <c r="U24" s="26">
        <f t="shared" si="5"/>
        <v>23287.999999999556</v>
      </c>
      <c r="W24" s="22">
        <f t="shared" si="6"/>
        <v>1.342115759783935E-3</v>
      </c>
      <c r="X24" s="26">
        <f t="shared" si="7"/>
        <v>1605.0000000000182</v>
      </c>
      <c r="Y24" s="53">
        <f t="shared" si="0"/>
        <v>94.591106139885255</v>
      </c>
      <c r="AA24" s="22">
        <f t="shared" si="8"/>
        <v>1.087229953411617E-2</v>
      </c>
      <c r="AB24" s="26">
        <f t="shared" si="9"/>
        <v>4322.0000000000027</v>
      </c>
      <c r="AC24" s="53">
        <f t="shared" si="1"/>
        <v>85.310014818211542</v>
      </c>
      <c r="AE24" s="22">
        <f t="shared" si="10"/>
        <v>4.3198445009031694E-3</v>
      </c>
      <c r="AF24" s="26">
        <f t="shared" si="11"/>
        <v>4516.0000000000764</v>
      </c>
      <c r="AG24" s="53">
        <f t="shared" si="2"/>
        <v>83.410314710036801</v>
      </c>
    </row>
    <row r="25" spans="1:33" x14ac:dyDescent="0.3">
      <c r="A25" s="40">
        <v>40452</v>
      </c>
      <c r="B25" s="41">
        <v>326.65899999999999</v>
      </c>
      <c r="C25" s="42">
        <v>14.44</v>
      </c>
      <c r="D25" s="42">
        <v>69.608000000000004</v>
      </c>
      <c r="E25" s="43">
        <v>1199.059</v>
      </c>
      <c r="F25" s="43">
        <v>56.807000000000002</v>
      </c>
      <c r="G25" s="43">
        <v>404.58199999999999</v>
      </c>
      <c r="H25" s="43">
        <v>1053.5630000000001</v>
      </c>
      <c r="I25" s="43">
        <v>231.054</v>
      </c>
      <c r="J25" s="43">
        <v>501.63299999999998</v>
      </c>
      <c r="K25" s="43">
        <v>145.40100000000001</v>
      </c>
      <c r="L25" s="43">
        <v>836.78300000000002</v>
      </c>
      <c r="M25" s="43">
        <v>337.23700000000002</v>
      </c>
      <c r="N25" s="43">
        <v>250.5</v>
      </c>
      <c r="O25" s="43">
        <v>354.786</v>
      </c>
      <c r="P25" s="43">
        <v>1.081</v>
      </c>
      <c r="Q25" s="44">
        <v>5783.1930000000002</v>
      </c>
      <c r="S25" s="49">
        <f t="shared" si="3"/>
        <v>40452</v>
      </c>
      <c r="T25" s="22">
        <f t="shared" si="4"/>
        <v>2.4835036903267937E-3</v>
      </c>
      <c r="U25" s="26">
        <f t="shared" si="5"/>
        <v>14327.000000000226</v>
      </c>
      <c r="W25" s="22">
        <f t="shared" si="6"/>
        <v>1.3202747774905266E-3</v>
      </c>
      <c r="X25" s="26">
        <f t="shared" si="7"/>
        <v>1580.9999999999036</v>
      </c>
      <c r="Y25" s="53">
        <f t="shared" si="0"/>
        <v>94.71599239149667</v>
      </c>
      <c r="AA25" s="22">
        <f t="shared" si="8"/>
        <v>6.808578410634869E-3</v>
      </c>
      <c r="AB25" s="26">
        <f t="shared" si="9"/>
        <v>2735.99999999999</v>
      </c>
      <c r="AC25" s="53">
        <f t="shared" si="1"/>
        <v>85.890854743313767</v>
      </c>
      <c r="AE25" s="22">
        <f t="shared" si="10"/>
        <v>3.4659651555732918E-3</v>
      </c>
      <c r="AF25" s="26">
        <f t="shared" si="11"/>
        <v>3639.0000000001237</v>
      </c>
      <c r="AG25" s="53">
        <f t="shared" si="2"/>
        <v>83.699411954437196</v>
      </c>
    </row>
    <row r="26" spans="1:33" x14ac:dyDescent="0.3">
      <c r="A26" s="40">
        <v>40483</v>
      </c>
      <c r="B26" s="41">
        <v>328.46199999999999</v>
      </c>
      <c r="C26" s="42">
        <v>14.661</v>
      </c>
      <c r="D26" s="42">
        <v>70.34</v>
      </c>
      <c r="E26" s="43">
        <v>1201.078</v>
      </c>
      <c r="F26" s="43">
        <v>57.087000000000003</v>
      </c>
      <c r="G26" s="43">
        <v>410.18599999999998</v>
      </c>
      <c r="H26" s="43">
        <v>1057.0039999999999</v>
      </c>
      <c r="I26" s="43">
        <v>231.215</v>
      </c>
      <c r="J26" s="43">
        <v>502.54</v>
      </c>
      <c r="K26" s="43">
        <v>146.30000000000001</v>
      </c>
      <c r="L26" s="43">
        <v>841.11599999999999</v>
      </c>
      <c r="M26" s="43">
        <v>337.23599999999999</v>
      </c>
      <c r="N26" s="43">
        <v>251.44</v>
      </c>
      <c r="O26" s="43">
        <v>355.51400000000001</v>
      </c>
      <c r="P26" s="43">
        <v>1.073</v>
      </c>
      <c r="Q26" s="44">
        <v>5805.2519999999995</v>
      </c>
      <c r="S26" s="49">
        <f t="shared" si="3"/>
        <v>40483</v>
      </c>
      <c r="T26" s="22">
        <f t="shared" si="4"/>
        <v>3.814328866423633E-3</v>
      </c>
      <c r="U26" s="26">
        <f t="shared" si="5"/>
        <v>22058.999999999287</v>
      </c>
      <c r="W26" s="22">
        <f t="shared" si="6"/>
        <v>1.6838203958271514E-3</v>
      </c>
      <c r="X26" s="26">
        <f t="shared" si="7"/>
        <v>2019.0000000000055</v>
      </c>
      <c r="Y26" s="53">
        <f t="shared" si="0"/>
        <v>94.875477111296476</v>
      </c>
      <c r="AA26" s="22">
        <f t="shared" si="8"/>
        <v>1.3851332980705955E-2</v>
      </c>
      <c r="AB26" s="26">
        <f t="shared" si="9"/>
        <v>5603.9999999999854</v>
      </c>
      <c r="AC26" s="53">
        <f t="shared" si="1"/>
        <v>87.080557572360846</v>
      </c>
      <c r="AE26" s="22">
        <f t="shared" si="10"/>
        <v>3.2660600267850892E-3</v>
      </c>
      <c r="AF26" s="26">
        <f t="shared" si="11"/>
        <v>3440.9999999998035</v>
      </c>
      <c r="AG26" s="53">
        <f t="shared" si="2"/>
        <v>83.972779258087002</v>
      </c>
    </row>
    <row r="27" spans="1:33" x14ac:dyDescent="0.3">
      <c r="A27" s="40">
        <v>40513</v>
      </c>
      <c r="B27" s="41">
        <v>328.33199999999999</v>
      </c>
      <c r="C27" s="42">
        <v>14.794</v>
      </c>
      <c r="D27" s="42">
        <v>70.247</v>
      </c>
      <c r="E27" s="43">
        <v>1207.4749999999999</v>
      </c>
      <c r="F27" s="43">
        <v>57.253999999999998</v>
      </c>
      <c r="G27" s="43">
        <v>417.2</v>
      </c>
      <c r="H27" s="43">
        <v>1061.7470000000001</v>
      </c>
      <c r="I27" s="43">
        <v>231.416</v>
      </c>
      <c r="J27" s="43">
        <v>505.04300000000001</v>
      </c>
      <c r="K27" s="43">
        <v>147.13900000000001</v>
      </c>
      <c r="L27" s="43">
        <v>850.649</v>
      </c>
      <c r="M27" s="43">
        <v>338.654</v>
      </c>
      <c r="N27" s="43">
        <v>252.761</v>
      </c>
      <c r="O27" s="43">
        <v>356.19200000000001</v>
      </c>
      <c r="P27" s="43">
        <v>1.071</v>
      </c>
      <c r="Q27" s="44">
        <v>5839.9740000000011</v>
      </c>
      <c r="S27" s="49">
        <f t="shared" si="3"/>
        <v>40513</v>
      </c>
      <c r="T27" s="22">
        <f t="shared" si="4"/>
        <v>5.9811357026364753E-3</v>
      </c>
      <c r="U27" s="26">
        <f t="shared" si="5"/>
        <v>34722.000000001572</v>
      </c>
      <c r="W27" s="22">
        <f t="shared" si="6"/>
        <v>5.3260487661916933E-3</v>
      </c>
      <c r="X27" s="26">
        <f t="shared" si="7"/>
        <v>6396.9999999999345</v>
      </c>
      <c r="Y27" s="53">
        <f t="shared" si="0"/>
        <v>95.380788529106937</v>
      </c>
      <c r="AA27" s="22">
        <f t="shared" si="8"/>
        <v>1.7099559711935663E-2</v>
      </c>
      <c r="AB27" s="26">
        <f t="shared" si="9"/>
        <v>7014.00000000001</v>
      </c>
      <c r="AC27" s="53">
        <f t="shared" si="1"/>
        <v>88.569596766318085</v>
      </c>
      <c r="AE27" s="22">
        <f t="shared" si="10"/>
        <v>4.4872110228533213E-3</v>
      </c>
      <c r="AF27" s="26">
        <f t="shared" si="11"/>
        <v>4743.0000000001655</v>
      </c>
      <c r="AG27" s="53">
        <f t="shared" si="2"/>
        <v>84.349582838793523</v>
      </c>
    </row>
    <row r="28" spans="1:33" x14ac:dyDescent="0.3">
      <c r="A28" s="40">
        <v>40544</v>
      </c>
      <c r="B28" s="41">
        <v>328.83800000000002</v>
      </c>
      <c r="C28" s="42">
        <v>14.743</v>
      </c>
      <c r="D28" s="42">
        <v>70.587000000000003</v>
      </c>
      <c r="E28" s="43">
        <v>1212.9690000000001</v>
      </c>
      <c r="F28" s="43">
        <v>57.581000000000003</v>
      </c>
      <c r="G28" s="43">
        <v>422.995</v>
      </c>
      <c r="H28" s="43">
        <v>1066.5930000000001</v>
      </c>
      <c r="I28" s="43">
        <v>233.15100000000001</v>
      </c>
      <c r="J28" s="43">
        <v>507.32</v>
      </c>
      <c r="K28" s="43">
        <v>147.273</v>
      </c>
      <c r="L28" s="43">
        <v>850.64499999999998</v>
      </c>
      <c r="M28" s="43">
        <v>340.22</v>
      </c>
      <c r="N28" s="43">
        <v>253.90299999999999</v>
      </c>
      <c r="O28" s="43">
        <v>356.72699999999998</v>
      </c>
      <c r="P28" s="43">
        <v>1.115</v>
      </c>
      <c r="Q28" s="44">
        <v>5864.6600000000008</v>
      </c>
      <c r="S28" s="49">
        <f t="shared" si="3"/>
        <v>40544</v>
      </c>
      <c r="T28" s="22">
        <f t="shared" si="4"/>
        <v>4.2270736136837961E-3</v>
      </c>
      <c r="U28" s="26">
        <f t="shared" si="5"/>
        <v>24685.999999999694</v>
      </c>
      <c r="W28" s="22">
        <f t="shared" si="6"/>
        <v>4.5499906830370751E-3</v>
      </c>
      <c r="X28" s="26">
        <f t="shared" si="7"/>
        <v>5494.0000000001419</v>
      </c>
      <c r="Y28" s="53">
        <f t="shared" si="0"/>
        <v>95.814770228255114</v>
      </c>
      <c r="AA28" s="22">
        <f t="shared" si="8"/>
        <v>1.3890220517737362E-2</v>
      </c>
      <c r="AB28" s="26">
        <f t="shared" si="9"/>
        <v>5795.0000000000164</v>
      </c>
      <c r="AC28" s="53">
        <f t="shared" si="1"/>
        <v>89.799847996569312</v>
      </c>
      <c r="AE28" s="22">
        <f t="shared" si="10"/>
        <v>4.5641758347327865E-3</v>
      </c>
      <c r="AF28" s="26">
        <f t="shared" si="11"/>
        <v>4846.0000000000036</v>
      </c>
      <c r="AG28" s="53">
        <f t="shared" si="2"/>
        <v>84.73456916645614</v>
      </c>
    </row>
    <row r="29" spans="1:33" x14ac:dyDescent="0.3">
      <c r="A29" s="40">
        <v>40575</v>
      </c>
      <c r="B29" s="41">
        <v>333.99900000000002</v>
      </c>
      <c r="C29" s="42">
        <v>15.015000000000001</v>
      </c>
      <c r="D29" s="42">
        <v>70.835999999999999</v>
      </c>
      <c r="E29" s="43">
        <v>1218.8499999999999</v>
      </c>
      <c r="F29" s="43">
        <v>57.682000000000002</v>
      </c>
      <c r="G29" s="43">
        <v>427.476</v>
      </c>
      <c r="H29" s="43">
        <v>1070.28</v>
      </c>
      <c r="I29" s="43">
        <v>233.87100000000001</v>
      </c>
      <c r="J29" s="43">
        <v>511.52300000000002</v>
      </c>
      <c r="K29" s="43">
        <v>148.13800000000001</v>
      </c>
      <c r="L29" s="43">
        <v>851.68100000000004</v>
      </c>
      <c r="M29" s="43">
        <v>341.91899999999998</v>
      </c>
      <c r="N29" s="43">
        <v>254.94300000000001</v>
      </c>
      <c r="O29" s="43">
        <v>357.87799999999999</v>
      </c>
      <c r="P29" s="43">
        <v>1.085</v>
      </c>
      <c r="Q29" s="44">
        <v>5895.1760000000004</v>
      </c>
      <c r="S29" s="49">
        <f t="shared" si="3"/>
        <v>40575</v>
      </c>
      <c r="T29" s="22">
        <f t="shared" si="4"/>
        <v>5.2033706983865002E-3</v>
      </c>
      <c r="U29" s="26">
        <f t="shared" si="5"/>
        <v>30515.999999999622</v>
      </c>
      <c r="W29" s="22">
        <f t="shared" si="6"/>
        <v>4.8484338841303654E-3</v>
      </c>
      <c r="X29" s="26">
        <f t="shared" si="7"/>
        <v>5880.9999999998581</v>
      </c>
      <c r="Y29" s="53">
        <f t="shared" si="0"/>
        <v>96.279321806829955</v>
      </c>
      <c r="AA29" s="22">
        <f t="shared" si="8"/>
        <v>1.059350583340235E-2</v>
      </c>
      <c r="AB29" s="26">
        <f t="shared" si="9"/>
        <v>4480.9999999999945</v>
      </c>
      <c r="AC29" s="53">
        <f t="shared" si="1"/>
        <v>90.751143210159611</v>
      </c>
      <c r="AE29" s="22">
        <f t="shared" si="10"/>
        <v>3.4568012353353161E-3</v>
      </c>
      <c r="AF29" s="26">
        <f t="shared" si="11"/>
        <v>3686.9999999998981</v>
      </c>
      <c r="AG29" s="53">
        <f t="shared" si="2"/>
        <v>85.027479729826339</v>
      </c>
    </row>
    <row r="30" spans="1:33" x14ac:dyDescent="0.3">
      <c r="A30" s="40">
        <v>40603</v>
      </c>
      <c r="B30" s="41">
        <v>338.21199999999999</v>
      </c>
      <c r="C30" s="42">
        <v>14.944000000000001</v>
      </c>
      <c r="D30" s="42">
        <v>71.117999999999995</v>
      </c>
      <c r="E30" s="43">
        <v>1222.576</v>
      </c>
      <c r="F30" s="43">
        <v>57.673000000000002</v>
      </c>
      <c r="G30" s="43">
        <v>427.93</v>
      </c>
      <c r="H30" s="43">
        <v>1071.624</v>
      </c>
      <c r="I30" s="43">
        <v>235.03700000000001</v>
      </c>
      <c r="J30" s="43">
        <v>512.26700000000005</v>
      </c>
      <c r="K30" s="43">
        <v>148.67500000000001</v>
      </c>
      <c r="L30" s="43">
        <v>851.29899999999998</v>
      </c>
      <c r="M30" s="43">
        <v>342.60700000000003</v>
      </c>
      <c r="N30" s="43">
        <v>255.61699999999999</v>
      </c>
      <c r="O30" s="43">
        <v>358.56599999999997</v>
      </c>
      <c r="P30" s="43">
        <v>1.0489999999999999</v>
      </c>
      <c r="Q30" s="44">
        <v>5909.1940000000004</v>
      </c>
      <c r="S30" s="49">
        <f t="shared" si="3"/>
        <v>40603</v>
      </c>
      <c r="T30" s="22">
        <f t="shared" si="4"/>
        <v>2.377876419635383E-3</v>
      </c>
      <c r="U30" s="26">
        <f t="shared" si="5"/>
        <v>14018.000000000029</v>
      </c>
      <c r="W30" s="22">
        <f t="shared" si="6"/>
        <v>3.0569799401076736E-3</v>
      </c>
      <c r="X30" s="26">
        <f t="shared" si="7"/>
        <v>3726.0000000001128</v>
      </c>
      <c r="Y30" s="53">
        <f t="shared" si="0"/>
        <v>96.573645762240588</v>
      </c>
      <c r="AA30" s="22">
        <f t="shared" si="8"/>
        <v>1.0620479278369288E-3</v>
      </c>
      <c r="AB30" s="26">
        <f t="shared" si="9"/>
        <v>454.00000000000773</v>
      </c>
      <c r="AC30" s="53">
        <f t="shared" si="1"/>
        <v>90.847525273754798</v>
      </c>
      <c r="AE30" s="22">
        <f t="shared" si="10"/>
        <v>1.2557461598834418E-3</v>
      </c>
      <c r="AF30" s="26">
        <f t="shared" si="11"/>
        <v>1344.0000000000509</v>
      </c>
      <c r="AG30" s="53">
        <f t="shared" si="2"/>
        <v>85.13425266098163</v>
      </c>
    </row>
    <row r="31" spans="1:33" x14ac:dyDescent="0.3">
      <c r="A31" s="40">
        <v>40634</v>
      </c>
      <c r="B31" s="41">
        <v>342.25599999999997</v>
      </c>
      <c r="C31" s="42">
        <v>14.904999999999999</v>
      </c>
      <c r="D31" s="42">
        <v>71.466999999999999</v>
      </c>
      <c r="E31" s="43">
        <v>1229.2439999999999</v>
      </c>
      <c r="F31" s="43">
        <v>57.89</v>
      </c>
      <c r="G31" s="43">
        <v>434.17099999999999</v>
      </c>
      <c r="H31" s="43">
        <v>1077.203</v>
      </c>
      <c r="I31" s="43">
        <v>235.53800000000001</v>
      </c>
      <c r="J31" s="43">
        <v>514.60900000000004</v>
      </c>
      <c r="K31" s="43">
        <v>149.74799999999999</v>
      </c>
      <c r="L31" s="43">
        <v>856.82100000000003</v>
      </c>
      <c r="M31" s="43">
        <v>343.83600000000001</v>
      </c>
      <c r="N31" s="43">
        <v>257.05599999999998</v>
      </c>
      <c r="O31" s="43">
        <v>359.38400000000001</v>
      </c>
      <c r="P31" s="43">
        <v>1.0309999999999999</v>
      </c>
      <c r="Q31" s="44">
        <v>5945.1589999999997</v>
      </c>
      <c r="S31" s="49">
        <f t="shared" si="3"/>
        <v>40634</v>
      </c>
      <c r="T31" s="22">
        <f t="shared" si="4"/>
        <v>6.0862784332345043E-3</v>
      </c>
      <c r="U31" s="26">
        <f t="shared" si="5"/>
        <v>35964.999999999236</v>
      </c>
      <c r="W31" s="22">
        <f t="shared" si="6"/>
        <v>5.4540576618549164E-3</v>
      </c>
      <c r="X31" s="26">
        <f t="shared" si="7"/>
        <v>6667.9999999998927</v>
      </c>
      <c r="Y31" s="53">
        <f t="shared" si="0"/>
        <v>97.100363994843391</v>
      </c>
      <c r="AA31" s="22">
        <f t="shared" si="8"/>
        <v>1.4584160960904757E-2</v>
      </c>
      <c r="AB31" s="26">
        <f t="shared" si="9"/>
        <v>6240.9999999999854</v>
      </c>
      <c r="AC31" s="53">
        <f t="shared" si="1"/>
        <v>92.172460205247091</v>
      </c>
      <c r="AE31" s="22">
        <f t="shared" si="10"/>
        <v>5.2061170709127857E-3</v>
      </c>
      <c r="AF31" s="26">
        <f t="shared" si="11"/>
        <v>5578.9999999999509</v>
      </c>
      <c r="AG31" s="53">
        <f t="shared" si="2"/>
        <v>85.577471547079384</v>
      </c>
    </row>
    <row r="32" spans="1:33" x14ac:dyDescent="0.3">
      <c r="A32" s="40">
        <v>40664</v>
      </c>
      <c r="B32" s="41">
        <v>339.35599999999999</v>
      </c>
      <c r="C32" s="42">
        <v>14.625999999999999</v>
      </c>
      <c r="D32" s="42">
        <v>71.816000000000003</v>
      </c>
      <c r="E32" s="43">
        <v>1234.402</v>
      </c>
      <c r="F32" s="43">
        <v>58.156999999999996</v>
      </c>
      <c r="G32" s="43">
        <v>438.62299999999999</v>
      </c>
      <c r="H32" s="43">
        <v>1081.346</v>
      </c>
      <c r="I32" s="43">
        <v>236.40100000000001</v>
      </c>
      <c r="J32" s="43">
        <v>516.697</v>
      </c>
      <c r="K32" s="43">
        <v>150.50800000000001</v>
      </c>
      <c r="L32" s="43">
        <v>859.58799999999997</v>
      </c>
      <c r="M32" s="43">
        <v>345.589</v>
      </c>
      <c r="N32" s="43">
        <v>259.64600000000002</v>
      </c>
      <c r="O32" s="43">
        <v>359.91800000000001</v>
      </c>
      <c r="P32" s="43">
        <v>1.008</v>
      </c>
      <c r="Q32" s="44">
        <v>5967.6809999999987</v>
      </c>
      <c r="S32" s="49">
        <f t="shared" si="3"/>
        <v>40664</v>
      </c>
      <c r="T32" s="22">
        <f t="shared" si="4"/>
        <v>3.7882922895753346E-3</v>
      </c>
      <c r="U32" s="26">
        <f t="shared" si="5"/>
        <v>22521.999999999025</v>
      </c>
      <c r="W32" s="22">
        <f t="shared" si="6"/>
        <v>4.1960749859264457E-3</v>
      </c>
      <c r="X32" s="26">
        <f t="shared" si="7"/>
        <v>5158.0000000001291</v>
      </c>
      <c r="Y32" s="53">
        <f t="shared" si="0"/>
        <v>97.507804403326517</v>
      </c>
      <c r="AA32" s="22">
        <f t="shared" si="8"/>
        <v>1.0254024336033396E-2</v>
      </c>
      <c r="AB32" s="26">
        <f t="shared" si="9"/>
        <v>4451.9999999999982</v>
      </c>
      <c r="AC32" s="53">
        <f t="shared" si="1"/>
        <v>93.117598855303768</v>
      </c>
      <c r="AE32" s="22">
        <f t="shared" si="10"/>
        <v>3.8460717246424636E-3</v>
      </c>
      <c r="AF32" s="26">
        <f t="shared" si="11"/>
        <v>4143.0000000000291</v>
      </c>
      <c r="AG32" s="53">
        <f t="shared" si="2"/>
        <v>85.906608640663009</v>
      </c>
    </row>
    <row r="33" spans="1:33" x14ac:dyDescent="0.3">
      <c r="A33" s="40">
        <v>40695</v>
      </c>
      <c r="B33" s="41">
        <v>338.92200000000003</v>
      </c>
      <c r="C33" s="42">
        <v>15.052</v>
      </c>
      <c r="D33" s="42">
        <v>72.328999999999994</v>
      </c>
      <c r="E33" s="43">
        <v>1237.865</v>
      </c>
      <c r="F33" s="43">
        <v>58.317</v>
      </c>
      <c r="G33" s="43">
        <v>438.65199999999999</v>
      </c>
      <c r="H33" s="43">
        <v>1085.4559999999999</v>
      </c>
      <c r="I33" s="43">
        <v>237.89500000000001</v>
      </c>
      <c r="J33" s="43">
        <v>518.68200000000002</v>
      </c>
      <c r="K33" s="43">
        <v>151.191</v>
      </c>
      <c r="L33" s="43">
        <v>862.19200000000001</v>
      </c>
      <c r="M33" s="43">
        <v>346.82400000000001</v>
      </c>
      <c r="N33" s="43">
        <v>260.63099999999997</v>
      </c>
      <c r="O33" s="43">
        <v>360.524</v>
      </c>
      <c r="P33" s="43">
        <v>1.006</v>
      </c>
      <c r="Q33" s="44">
        <v>5985.5380000000005</v>
      </c>
      <c r="S33" s="49">
        <f t="shared" si="3"/>
        <v>40695</v>
      </c>
      <c r="T33" s="22">
        <f t="shared" si="4"/>
        <v>2.9922846077063969E-3</v>
      </c>
      <c r="U33" s="26">
        <f t="shared" si="5"/>
        <v>17857.00000000179</v>
      </c>
      <c r="W33" s="22">
        <f t="shared" si="6"/>
        <v>2.805406990591397E-3</v>
      </c>
      <c r="X33" s="26">
        <f t="shared" si="7"/>
        <v>3462.9999999999654</v>
      </c>
      <c r="Y33" s="53">
        <f t="shared" si="0"/>
        <v>97.781353479436817</v>
      </c>
      <c r="AA33" s="22">
        <f t="shared" si="8"/>
        <v>6.6116003948790691E-5</v>
      </c>
      <c r="AB33" s="26">
        <f t="shared" si="9"/>
        <v>28.999999999996362</v>
      </c>
      <c r="AC33" s="53">
        <f t="shared" si="1"/>
        <v>93.123755418837391</v>
      </c>
      <c r="AE33" s="22">
        <f t="shared" si="10"/>
        <v>3.8008186093996255E-3</v>
      </c>
      <c r="AF33" s="26">
        <f t="shared" si="11"/>
        <v>4109.9999999999</v>
      </c>
      <c r="AG33" s="53">
        <f t="shared" si="2"/>
        <v>86.233124077454846</v>
      </c>
    </row>
    <row r="34" spans="1:33" x14ac:dyDescent="0.3">
      <c r="A34" s="40">
        <v>40725</v>
      </c>
      <c r="B34" s="41">
        <v>338.99799999999999</v>
      </c>
      <c r="C34" s="42">
        <v>15.206</v>
      </c>
      <c r="D34" s="42">
        <v>72.742000000000004</v>
      </c>
      <c r="E34" s="43">
        <v>1241.992</v>
      </c>
      <c r="F34" s="43">
        <v>58.396999999999998</v>
      </c>
      <c r="G34" s="43">
        <v>439.80399999999997</v>
      </c>
      <c r="H34" s="43">
        <v>1089.4939999999999</v>
      </c>
      <c r="I34" s="43">
        <v>239.41900000000001</v>
      </c>
      <c r="J34" s="43">
        <v>520.55899999999997</v>
      </c>
      <c r="K34" s="43">
        <v>152.13399999999999</v>
      </c>
      <c r="L34" s="43">
        <v>863.55899999999997</v>
      </c>
      <c r="M34" s="43">
        <v>347.82799999999997</v>
      </c>
      <c r="N34" s="43">
        <v>261.661</v>
      </c>
      <c r="O34" s="43">
        <v>361.16300000000001</v>
      </c>
      <c r="P34" s="43">
        <v>0.995</v>
      </c>
      <c r="Q34" s="44">
        <v>6003.951</v>
      </c>
      <c r="S34" s="49">
        <f t="shared" si="3"/>
        <v>40725</v>
      </c>
      <c r="T34" s="22">
        <f t="shared" si="4"/>
        <v>3.0762481167105893E-3</v>
      </c>
      <c r="U34" s="26">
        <f t="shared" si="5"/>
        <v>18412.999999999556</v>
      </c>
      <c r="W34" s="22">
        <f t="shared" si="6"/>
        <v>3.3339661433193779E-3</v>
      </c>
      <c r="X34" s="26">
        <f t="shared" si="7"/>
        <v>4126.9999999999527</v>
      </c>
      <c r="Y34" s="53">
        <f t="shared" si="0"/>
        <v>98.107353201385195</v>
      </c>
      <c r="AA34" s="22">
        <f t="shared" si="8"/>
        <v>2.6262276246318272E-3</v>
      </c>
      <c r="AB34" s="26">
        <f t="shared" si="9"/>
        <v>1151.9999999999868</v>
      </c>
      <c r="AC34" s="53">
        <f t="shared" si="1"/>
        <v>93.368319597827792</v>
      </c>
      <c r="AE34" s="22">
        <f t="shared" si="10"/>
        <v>3.7200955174598871E-3</v>
      </c>
      <c r="AF34" s="26">
        <f t="shared" si="11"/>
        <v>4038.0000000000109</v>
      </c>
      <c r="AG34" s="53">
        <f t="shared" si="2"/>
        <v>86.553919535791962</v>
      </c>
    </row>
    <row r="35" spans="1:33" x14ac:dyDescent="0.3">
      <c r="A35" s="40">
        <v>40756</v>
      </c>
      <c r="B35" s="41">
        <v>337.86500000000001</v>
      </c>
      <c r="C35" s="42">
        <v>15.164</v>
      </c>
      <c r="D35" s="42">
        <v>73.117000000000004</v>
      </c>
      <c r="E35" s="43">
        <v>1245.356</v>
      </c>
      <c r="F35" s="43">
        <v>58.478999999999999</v>
      </c>
      <c r="G35" s="43">
        <v>440.87400000000002</v>
      </c>
      <c r="H35" s="43">
        <v>1093.079</v>
      </c>
      <c r="I35" s="43">
        <v>240.32900000000001</v>
      </c>
      <c r="J35" s="43">
        <v>522.298</v>
      </c>
      <c r="K35" s="43">
        <v>153.072</v>
      </c>
      <c r="L35" s="43">
        <v>870.89800000000002</v>
      </c>
      <c r="M35" s="43">
        <v>349.80500000000001</v>
      </c>
      <c r="N35" s="43">
        <v>262.86099999999999</v>
      </c>
      <c r="O35" s="43">
        <v>358.43700000000001</v>
      </c>
      <c r="P35" s="43">
        <v>0.99</v>
      </c>
      <c r="Q35" s="44">
        <v>6022.6240000000007</v>
      </c>
      <c r="S35" s="49">
        <f t="shared" si="3"/>
        <v>40756</v>
      </c>
      <c r="T35" s="22">
        <f t="shared" si="4"/>
        <v>3.1101186535333891E-3</v>
      </c>
      <c r="U35" s="26">
        <f t="shared" si="5"/>
        <v>18673.000000000684</v>
      </c>
      <c r="W35" s="22">
        <f t="shared" si="6"/>
        <v>2.7085520679681618E-3</v>
      </c>
      <c r="X35" s="26">
        <f t="shared" si="7"/>
        <v>3364.0000000000327</v>
      </c>
      <c r="Y35" s="53">
        <f t="shared" si="0"/>
        <v>98.37308207578171</v>
      </c>
      <c r="AA35" s="22">
        <f t="shared" si="8"/>
        <v>2.4329019290412202E-3</v>
      </c>
      <c r="AB35" s="26">
        <f t="shared" si="9"/>
        <v>1070.00000000005</v>
      </c>
      <c r="AC35" s="53">
        <f t="shared" si="1"/>
        <v>93.595475562688691</v>
      </c>
      <c r="AE35" s="22">
        <f t="shared" si="10"/>
        <v>3.2905183507205837E-3</v>
      </c>
      <c r="AF35" s="26">
        <f t="shared" si="11"/>
        <v>3585.0000000000364</v>
      </c>
      <c r="AG35" s="53">
        <f t="shared" si="2"/>
        <v>86.838726796351281</v>
      </c>
    </row>
    <row r="36" spans="1:33" x14ac:dyDescent="0.3">
      <c r="A36" s="40">
        <v>40787</v>
      </c>
      <c r="B36" s="41">
        <v>337.61599999999999</v>
      </c>
      <c r="C36" s="42">
        <v>14.859</v>
      </c>
      <c r="D36" s="42">
        <v>73.52</v>
      </c>
      <c r="E36" s="43">
        <v>1249.519</v>
      </c>
      <c r="F36" s="43">
        <v>58.677999999999997</v>
      </c>
      <c r="G36" s="43">
        <v>444.55799999999999</v>
      </c>
      <c r="H36" s="43">
        <v>1095.9390000000001</v>
      </c>
      <c r="I36" s="43">
        <v>241.32599999999999</v>
      </c>
      <c r="J36" s="43">
        <v>524.06100000000004</v>
      </c>
      <c r="K36" s="43">
        <v>153.71799999999999</v>
      </c>
      <c r="L36" s="43">
        <v>870.03300000000002</v>
      </c>
      <c r="M36" s="43">
        <v>350.50700000000001</v>
      </c>
      <c r="N36" s="43">
        <v>263.83300000000003</v>
      </c>
      <c r="O36" s="43">
        <v>359.20400000000001</v>
      </c>
      <c r="P36" s="43">
        <v>0.98399999999999999</v>
      </c>
      <c r="Q36" s="44">
        <v>6038.3550000000005</v>
      </c>
      <c r="S36" s="49">
        <f t="shared" si="3"/>
        <v>40787</v>
      </c>
      <c r="T36" s="22">
        <f t="shared" si="4"/>
        <v>2.6119844107816981E-3</v>
      </c>
      <c r="U36" s="26">
        <f t="shared" si="5"/>
        <v>15730.999999999767</v>
      </c>
      <c r="W36" s="22">
        <f t="shared" si="6"/>
        <v>3.3428192420481562E-3</v>
      </c>
      <c r="X36" s="26">
        <f t="shared" si="7"/>
        <v>4163.0000000000109</v>
      </c>
      <c r="Y36" s="53">
        <f t="shared" si="0"/>
        <v>98.701925507444201</v>
      </c>
      <c r="AA36" s="22">
        <f t="shared" si="8"/>
        <v>8.3561289620162071E-3</v>
      </c>
      <c r="AB36" s="26">
        <f t="shared" si="9"/>
        <v>3683.9999999999691</v>
      </c>
      <c r="AC36" s="53">
        <f t="shared" si="1"/>
        <v>94.377571426751757</v>
      </c>
      <c r="AE36" s="22">
        <f t="shared" si="10"/>
        <v>2.6164623051034841E-3</v>
      </c>
      <c r="AF36" s="26">
        <f t="shared" si="11"/>
        <v>2860.0000000001273</v>
      </c>
      <c r="AG36" s="53">
        <f t="shared" si="2"/>
        <v>87.065937051637107</v>
      </c>
    </row>
    <row r="37" spans="1:33" x14ac:dyDescent="0.3">
      <c r="A37" s="40">
        <v>40817</v>
      </c>
      <c r="B37" s="41">
        <v>340.988</v>
      </c>
      <c r="C37" s="42">
        <v>14.712999999999999</v>
      </c>
      <c r="D37" s="42">
        <v>73.867000000000004</v>
      </c>
      <c r="E37" s="43">
        <v>1252.3989999999999</v>
      </c>
      <c r="F37" s="43">
        <v>58.762</v>
      </c>
      <c r="G37" s="43">
        <v>447.089</v>
      </c>
      <c r="H37" s="43">
        <v>1098.6669999999999</v>
      </c>
      <c r="I37" s="43">
        <v>241.76</v>
      </c>
      <c r="J37" s="43">
        <v>525.43299999999999</v>
      </c>
      <c r="K37" s="43">
        <v>154.27699999999999</v>
      </c>
      <c r="L37" s="43">
        <v>870.13099999999997</v>
      </c>
      <c r="M37" s="43">
        <v>351.18799999999999</v>
      </c>
      <c r="N37" s="43">
        <v>265.423</v>
      </c>
      <c r="O37" s="43">
        <v>359.58800000000002</v>
      </c>
      <c r="P37" s="43">
        <v>0.96899999999999997</v>
      </c>
      <c r="Q37" s="44">
        <v>6055.2539999999999</v>
      </c>
      <c r="S37" s="49">
        <f t="shared" si="3"/>
        <v>40817</v>
      </c>
      <c r="T37" s="22">
        <f t="shared" si="4"/>
        <v>2.7986098863017617E-3</v>
      </c>
      <c r="U37" s="26">
        <f t="shared" si="5"/>
        <v>16898.999999999432</v>
      </c>
      <c r="W37" s="22">
        <f t="shared" si="6"/>
        <v>2.3048869204869149E-3</v>
      </c>
      <c r="X37" s="26">
        <f t="shared" si="7"/>
        <v>2879.9999999998818</v>
      </c>
      <c r="Y37" s="53">
        <f t="shared" si="0"/>
        <v>98.929422284573192</v>
      </c>
      <c r="AA37" s="22">
        <f t="shared" si="8"/>
        <v>5.6932953630348671E-3</v>
      </c>
      <c r="AB37" s="26">
        <f t="shared" si="9"/>
        <v>2531.0000000000059</v>
      </c>
      <c r="AC37" s="53">
        <f t="shared" si="1"/>
        <v>94.914890816530161</v>
      </c>
      <c r="AE37" s="22">
        <f t="shared" si="10"/>
        <v>2.4891896355543341E-3</v>
      </c>
      <c r="AF37" s="26">
        <f t="shared" si="11"/>
        <v>2727.9999999998381</v>
      </c>
      <c r="AG37" s="53">
        <f t="shared" si="2"/>
        <v>87.282660679755878</v>
      </c>
    </row>
    <row r="38" spans="1:33" x14ac:dyDescent="0.3">
      <c r="A38" s="40">
        <v>40848</v>
      </c>
      <c r="B38" s="41">
        <v>339.20800000000003</v>
      </c>
      <c r="C38" s="42">
        <v>14.683999999999999</v>
      </c>
      <c r="D38" s="42">
        <v>74.22</v>
      </c>
      <c r="E38" s="43">
        <v>1255.127</v>
      </c>
      <c r="F38" s="43">
        <v>58.978000000000002</v>
      </c>
      <c r="G38" s="43">
        <v>449.37</v>
      </c>
      <c r="H38" s="43">
        <v>1102.751</v>
      </c>
      <c r="I38" s="43">
        <v>242.90199999999999</v>
      </c>
      <c r="J38" s="43">
        <v>527.495</v>
      </c>
      <c r="K38" s="43">
        <v>154.708</v>
      </c>
      <c r="L38" s="43">
        <v>873.39300000000003</v>
      </c>
      <c r="M38" s="43">
        <v>352.62299999999999</v>
      </c>
      <c r="N38" s="43">
        <v>266.596</v>
      </c>
      <c r="O38" s="43">
        <v>360.08600000000001</v>
      </c>
      <c r="P38" s="43">
        <v>0.97899999999999998</v>
      </c>
      <c r="Q38" s="44">
        <v>6073.119999999999</v>
      </c>
      <c r="S38" s="49">
        <f t="shared" si="3"/>
        <v>40848</v>
      </c>
      <c r="T38" s="22">
        <f t="shared" si="4"/>
        <v>2.9504955531178823E-3</v>
      </c>
      <c r="U38" s="26">
        <f t="shared" si="5"/>
        <v>17865.999999999076</v>
      </c>
      <c r="W38" s="22">
        <f t="shared" si="6"/>
        <v>2.1782195610184907E-3</v>
      </c>
      <c r="X38" s="26">
        <f t="shared" si="7"/>
        <v>2728.0000000000655</v>
      </c>
      <c r="Y38" s="53">
        <f t="shared" si="0"/>
        <v>99.144912287353705</v>
      </c>
      <c r="AA38" s="22">
        <f t="shared" si="8"/>
        <v>5.1018924643639885E-3</v>
      </c>
      <c r="AB38" s="26">
        <f t="shared" si="9"/>
        <v>2281.0000000000059</v>
      </c>
      <c r="AC38" s="53">
        <f t="shared" si="1"/>
        <v>95.399136382742938</v>
      </c>
      <c r="AE38" s="22">
        <f t="shared" si="10"/>
        <v>3.7172318819078676E-3</v>
      </c>
      <c r="AF38" s="26">
        <f t="shared" si="11"/>
        <v>4084.00000000006</v>
      </c>
      <c r="AG38" s="53">
        <f t="shared" si="2"/>
        <v>87.607110568772413</v>
      </c>
    </row>
    <row r="39" spans="1:33" x14ac:dyDescent="0.3">
      <c r="A39" s="40">
        <v>40878</v>
      </c>
      <c r="B39" s="41">
        <v>337.30399999999997</v>
      </c>
      <c r="C39" s="42">
        <v>14.601000000000001</v>
      </c>
      <c r="D39" s="42">
        <v>74.582999999999998</v>
      </c>
      <c r="E39" s="43">
        <v>1256.713</v>
      </c>
      <c r="F39" s="43">
        <v>59.075000000000003</v>
      </c>
      <c r="G39" s="43">
        <v>447.86500000000001</v>
      </c>
      <c r="H39" s="43">
        <v>1105.002</v>
      </c>
      <c r="I39" s="43">
        <v>243.67</v>
      </c>
      <c r="J39" s="43">
        <v>528.73299999999995</v>
      </c>
      <c r="K39" s="43">
        <v>155.19999999999999</v>
      </c>
      <c r="L39" s="43">
        <v>868.71900000000005</v>
      </c>
      <c r="M39" s="43">
        <v>353.822</v>
      </c>
      <c r="N39" s="43">
        <v>267.108</v>
      </c>
      <c r="O39" s="43">
        <v>359.96199999999999</v>
      </c>
      <c r="P39" s="43">
        <v>0.94599999999999995</v>
      </c>
      <c r="Q39" s="44">
        <v>6073.3029999999999</v>
      </c>
      <c r="S39" s="49">
        <f t="shared" si="3"/>
        <v>40878</v>
      </c>
      <c r="T39" s="22">
        <f t="shared" si="4"/>
        <v>3.0132781832170608E-5</v>
      </c>
      <c r="U39" s="26">
        <f t="shared" si="5"/>
        <v>183.00000000090222</v>
      </c>
      <c r="W39" s="22">
        <f t="shared" si="6"/>
        <v>1.2636171479061264E-3</v>
      </c>
      <c r="X39" s="26">
        <f t="shared" si="7"/>
        <v>1586.0000000000127</v>
      </c>
      <c r="Y39" s="53">
        <f t="shared" si="0"/>
        <v>99.270193498647657</v>
      </c>
      <c r="AA39" s="22">
        <f t="shared" si="8"/>
        <v>-3.3491332309677491E-3</v>
      </c>
      <c r="AB39" s="26">
        <f t="shared" si="9"/>
        <v>-1504.9999999999955</v>
      </c>
      <c r="AC39" s="53">
        <f t="shared" si="1"/>
        <v>95.079631964877876</v>
      </c>
      <c r="AE39" s="22">
        <f t="shared" si="10"/>
        <v>2.0412586340887717E-3</v>
      </c>
      <c r="AF39" s="26">
        <f t="shared" si="11"/>
        <v>2250.9999999999764</v>
      </c>
      <c r="AG39" s="53">
        <f t="shared" si="2"/>
        <v>87.78593933962847</v>
      </c>
    </row>
    <row r="40" spans="1:33" x14ac:dyDescent="0.3">
      <c r="A40" s="40">
        <v>40909</v>
      </c>
      <c r="B40" s="41">
        <v>334.98200000000003</v>
      </c>
      <c r="C40" s="42">
        <v>14.656000000000001</v>
      </c>
      <c r="D40" s="42">
        <v>74.893000000000001</v>
      </c>
      <c r="E40" s="43">
        <v>1255.4590000000001</v>
      </c>
      <c r="F40" s="43">
        <v>59.292000000000002</v>
      </c>
      <c r="G40" s="43">
        <v>443.19299999999998</v>
      </c>
      <c r="H40" s="43">
        <v>1104.4010000000001</v>
      </c>
      <c r="I40" s="43">
        <v>244.036</v>
      </c>
      <c r="J40" s="43">
        <v>529.81399999999996</v>
      </c>
      <c r="K40" s="43">
        <v>155.44499999999999</v>
      </c>
      <c r="L40" s="43">
        <v>867.96</v>
      </c>
      <c r="M40" s="43">
        <v>353.98599999999999</v>
      </c>
      <c r="N40" s="43">
        <v>267.83699999999999</v>
      </c>
      <c r="O40" s="43">
        <v>361.29599999999999</v>
      </c>
      <c r="P40" s="43">
        <v>0.96599999999999997</v>
      </c>
      <c r="Q40" s="44">
        <v>6068.2160000000003</v>
      </c>
      <c r="S40" s="49">
        <f t="shared" si="3"/>
        <v>40909</v>
      </c>
      <c r="T40" s="22">
        <f t="shared" si="4"/>
        <v>-8.3760023170253994E-4</v>
      </c>
      <c r="U40" s="26">
        <f t="shared" si="5"/>
        <v>-5086.9999999995343</v>
      </c>
      <c r="W40" s="22">
        <f t="shared" si="6"/>
        <v>-9.9784119365353696E-4</v>
      </c>
      <c r="X40" s="26">
        <f t="shared" si="7"/>
        <v>-1253.9999999999054</v>
      </c>
      <c r="Y40" s="53">
        <f t="shared" si="0"/>
        <v>99.171137610272751</v>
      </c>
      <c r="AA40" s="22">
        <f t="shared" si="8"/>
        <v>-1.0431714914092449E-2</v>
      </c>
      <c r="AB40" s="26">
        <f t="shared" si="9"/>
        <v>-4672.0000000000255</v>
      </c>
      <c r="AC40" s="53">
        <f t="shared" si="1"/>
        <v>94.087788350083429</v>
      </c>
      <c r="AE40" s="22">
        <f t="shared" si="10"/>
        <v>-5.4389041829783213E-4</v>
      </c>
      <c r="AF40" s="26">
        <f t="shared" si="11"/>
        <v>-600.9999999998854</v>
      </c>
      <c r="AG40" s="53">
        <f t="shared" si="2"/>
        <v>87.738193408360388</v>
      </c>
    </row>
    <row r="41" spans="1:33" x14ac:dyDescent="0.3">
      <c r="A41" s="40">
        <v>40940</v>
      </c>
      <c r="B41" s="41">
        <v>332.03800000000001</v>
      </c>
      <c r="C41" s="42">
        <v>14.4</v>
      </c>
      <c r="D41" s="42">
        <v>75.036000000000001</v>
      </c>
      <c r="E41" s="43">
        <v>1253.9760000000001</v>
      </c>
      <c r="F41" s="43">
        <v>59.366</v>
      </c>
      <c r="G41" s="43">
        <v>440.56099999999998</v>
      </c>
      <c r="H41" s="43">
        <v>1103.9390000000001</v>
      </c>
      <c r="I41" s="43">
        <v>244.49700000000001</v>
      </c>
      <c r="J41" s="43">
        <v>530.28599999999994</v>
      </c>
      <c r="K41" s="43">
        <v>155.84</v>
      </c>
      <c r="L41" s="43">
        <v>865.65200000000004</v>
      </c>
      <c r="M41" s="43">
        <v>354.89299999999997</v>
      </c>
      <c r="N41" s="43">
        <v>268.77199999999999</v>
      </c>
      <c r="O41" s="43">
        <v>361.86799999999999</v>
      </c>
      <c r="P41" s="43">
        <v>0.97</v>
      </c>
      <c r="Q41" s="44">
        <v>6062.0940000000001</v>
      </c>
      <c r="S41" s="49">
        <f t="shared" si="3"/>
        <v>40940</v>
      </c>
      <c r="T41" s="22">
        <f t="shared" si="4"/>
        <v>-1.0088632309727119E-3</v>
      </c>
      <c r="U41" s="26">
        <f t="shared" si="5"/>
        <v>-6122.0000000002983</v>
      </c>
      <c r="W41" s="22">
        <f t="shared" si="6"/>
        <v>-1.1812412830685126E-3</v>
      </c>
      <c r="X41" s="26">
        <f t="shared" si="7"/>
        <v>-1482.9999999999472</v>
      </c>
      <c r="Y41" s="53">
        <f t="shared" si="0"/>
        <v>99.053992568438616</v>
      </c>
      <c r="AA41" s="22">
        <f t="shared" si="8"/>
        <v>-5.9387219563485916E-3</v>
      </c>
      <c r="AB41" s="26">
        <f t="shared" si="9"/>
        <v>-2632.000000000005</v>
      </c>
      <c r="AC41" s="53">
        <f t="shared" si="1"/>
        <v>93.529027135584514</v>
      </c>
      <c r="AE41" s="22">
        <f t="shared" si="10"/>
        <v>-4.1832631444560509E-4</v>
      </c>
      <c r="AF41" s="26">
        <f t="shared" si="11"/>
        <v>-461.99999999998909</v>
      </c>
      <c r="AG41" s="53">
        <f t="shared" si="2"/>
        <v>87.701490213275761</v>
      </c>
    </row>
    <row r="42" spans="1:33" x14ac:dyDescent="0.3">
      <c r="A42" s="40">
        <v>40969</v>
      </c>
      <c r="B42" s="41">
        <v>329.101</v>
      </c>
      <c r="C42" s="42">
        <v>14.087</v>
      </c>
      <c r="D42" s="42">
        <v>75.194000000000003</v>
      </c>
      <c r="E42" s="43">
        <v>1254.32</v>
      </c>
      <c r="F42" s="43">
        <v>59.564999999999998</v>
      </c>
      <c r="G42" s="43">
        <v>441.14600000000002</v>
      </c>
      <c r="H42" s="43">
        <v>1105.019</v>
      </c>
      <c r="I42" s="43">
        <v>245.22499999999999</v>
      </c>
      <c r="J42" s="43">
        <v>531.56500000000005</v>
      </c>
      <c r="K42" s="43">
        <v>155.958</v>
      </c>
      <c r="L42" s="43">
        <v>870.33</v>
      </c>
      <c r="M42" s="43">
        <v>356.63099999999997</v>
      </c>
      <c r="N42" s="43">
        <v>269.67599999999999</v>
      </c>
      <c r="O42" s="43">
        <v>363.61200000000002</v>
      </c>
      <c r="P42" s="43">
        <v>0.93700000000000006</v>
      </c>
      <c r="Q42" s="44">
        <v>6072.366</v>
      </c>
      <c r="S42" s="49">
        <f t="shared" si="3"/>
        <v>40969</v>
      </c>
      <c r="T42" s="22">
        <f t="shared" si="4"/>
        <v>1.6944639921452342E-3</v>
      </c>
      <c r="U42" s="26">
        <f t="shared" si="5"/>
        <v>10271.999999999935</v>
      </c>
      <c r="W42" s="22">
        <f t="shared" si="6"/>
        <v>2.7432741934441118E-4</v>
      </c>
      <c r="X42" s="26">
        <f t="shared" si="7"/>
        <v>343.99999999982356</v>
      </c>
      <c r="Y42" s="53">
        <f t="shared" si="0"/>
        <v>99.081165794595677</v>
      </c>
      <c r="AA42" s="22">
        <f t="shared" si="8"/>
        <v>1.3278524426811877E-3</v>
      </c>
      <c r="AB42" s="26">
        <f t="shared" si="9"/>
        <v>585.00000000003638</v>
      </c>
      <c r="AC42" s="53">
        <f t="shared" si="1"/>
        <v>93.653219882728095</v>
      </c>
      <c r="AE42" s="22">
        <f t="shared" si="10"/>
        <v>9.7831492500932704E-4</v>
      </c>
      <c r="AF42" s="26">
        <f t="shared" si="11"/>
        <v>1079.9999999999272</v>
      </c>
      <c r="AG42" s="53">
        <f t="shared" si="2"/>
        <v>87.787289890096957</v>
      </c>
    </row>
    <row r="43" spans="1:33" x14ac:dyDescent="0.3">
      <c r="A43" s="40">
        <v>41000</v>
      </c>
      <c r="B43" s="41">
        <v>326.69099999999997</v>
      </c>
      <c r="C43" s="42">
        <v>14.108000000000001</v>
      </c>
      <c r="D43" s="42">
        <v>75.486000000000004</v>
      </c>
      <c r="E43" s="43">
        <v>1253.0239999999999</v>
      </c>
      <c r="F43" s="43">
        <v>59.606999999999999</v>
      </c>
      <c r="G43" s="43">
        <v>437.35</v>
      </c>
      <c r="H43" s="43">
        <v>1105.674</v>
      </c>
      <c r="I43" s="43">
        <v>246.92400000000001</v>
      </c>
      <c r="J43" s="43">
        <v>531.49699999999996</v>
      </c>
      <c r="K43" s="43">
        <v>156.32599999999999</v>
      </c>
      <c r="L43" s="43">
        <v>859.05100000000004</v>
      </c>
      <c r="M43" s="43">
        <v>355.03800000000001</v>
      </c>
      <c r="N43" s="43">
        <v>270.23599999999999</v>
      </c>
      <c r="O43" s="43">
        <v>363.37200000000001</v>
      </c>
      <c r="P43" s="43">
        <v>0.91900000000000004</v>
      </c>
      <c r="Q43" s="44">
        <v>6055.3029999999999</v>
      </c>
      <c r="S43" s="49">
        <f t="shared" si="3"/>
        <v>41000</v>
      </c>
      <c r="T43" s="22">
        <f t="shared" si="4"/>
        <v>-2.8099426154484242E-3</v>
      </c>
      <c r="U43" s="26">
        <f t="shared" si="5"/>
        <v>-17063.000000000102</v>
      </c>
      <c r="W43" s="22">
        <f t="shared" si="6"/>
        <v>-1.0332291600230192E-3</v>
      </c>
      <c r="X43" s="26">
        <f t="shared" si="7"/>
        <v>-1296.0000000000491</v>
      </c>
      <c r="Y43" s="53">
        <f t="shared" si="0"/>
        <v>98.978792244887643</v>
      </c>
      <c r="AA43" s="22">
        <f t="shared" si="8"/>
        <v>-8.604860975731321E-3</v>
      </c>
      <c r="AB43" s="26">
        <f t="shared" si="9"/>
        <v>-3795.9999999999923</v>
      </c>
      <c r="AC43" s="53">
        <f t="shared" si="1"/>
        <v>92.847346945707613</v>
      </c>
      <c r="AE43" s="22">
        <f t="shared" si="10"/>
        <v>5.9274998891423181E-4</v>
      </c>
      <c r="AF43" s="26">
        <f t="shared" si="11"/>
        <v>654.99999999997272</v>
      </c>
      <c r="AG43" s="53">
        <f t="shared" si="2"/>
        <v>87.83932580520613</v>
      </c>
    </row>
    <row r="44" spans="1:33" x14ac:dyDescent="0.3">
      <c r="A44" s="40">
        <v>41030</v>
      </c>
      <c r="B44" s="41">
        <v>330.72199999999998</v>
      </c>
      <c r="C44" s="42">
        <v>13.929</v>
      </c>
      <c r="D44" s="42">
        <v>75.802999999999997</v>
      </c>
      <c r="E44" s="43">
        <v>1252.8789999999999</v>
      </c>
      <c r="F44" s="43">
        <v>59.734000000000002</v>
      </c>
      <c r="G44" s="43">
        <v>435.45499999999998</v>
      </c>
      <c r="H44" s="43">
        <v>1107.6949999999999</v>
      </c>
      <c r="I44" s="43">
        <v>247.809</v>
      </c>
      <c r="J44" s="43">
        <v>532.35199999999998</v>
      </c>
      <c r="K44" s="43">
        <v>156.642</v>
      </c>
      <c r="L44" s="43">
        <v>861.71299999999997</v>
      </c>
      <c r="M44" s="43">
        <v>355.59899999999999</v>
      </c>
      <c r="N44" s="43">
        <v>271.20600000000002</v>
      </c>
      <c r="O44" s="43">
        <v>363.22199999999998</v>
      </c>
      <c r="P44" s="43">
        <v>0.90500000000000003</v>
      </c>
      <c r="Q44" s="44">
        <v>6065.6649999999991</v>
      </c>
      <c r="S44" s="49">
        <f t="shared" si="3"/>
        <v>41030</v>
      </c>
      <c r="T44" s="22">
        <f t="shared" si="4"/>
        <v>1.7112273324719762E-3</v>
      </c>
      <c r="U44" s="26">
        <f t="shared" si="5"/>
        <v>10361.999999999171</v>
      </c>
      <c r="W44" s="22">
        <f t="shared" si="6"/>
        <v>-1.157200500548905E-4</v>
      </c>
      <c r="X44" s="26">
        <f t="shared" si="7"/>
        <v>-144.99999999998181</v>
      </c>
      <c r="Y44" s="53">
        <f t="shared" si="0"/>
        <v>98.967338414094684</v>
      </c>
      <c r="AA44" s="22">
        <f t="shared" si="8"/>
        <v>-4.3329141419916617E-3</v>
      </c>
      <c r="AB44" s="26">
        <f t="shared" si="9"/>
        <v>-1895.0000000000387</v>
      </c>
      <c r="AC44" s="53">
        <f t="shared" si="1"/>
        <v>92.445047363080164</v>
      </c>
      <c r="AE44" s="22">
        <f t="shared" si="10"/>
        <v>1.8278443736581274E-3</v>
      </c>
      <c r="AF44" s="26">
        <f t="shared" si="11"/>
        <v>2020.9999999999582</v>
      </c>
      <c r="AG44" s="53">
        <f t="shared" si="2"/>
        <v>87.999882422665081</v>
      </c>
    </row>
    <row r="45" spans="1:33" x14ac:dyDescent="0.3">
      <c r="A45" s="40">
        <v>41061</v>
      </c>
      <c r="B45" s="41">
        <v>332.77</v>
      </c>
      <c r="C45" s="42">
        <v>13.629</v>
      </c>
      <c r="D45" s="42">
        <v>75.92</v>
      </c>
      <c r="E45" s="43">
        <v>1252.519</v>
      </c>
      <c r="F45" s="43">
        <v>59.933</v>
      </c>
      <c r="G45" s="43">
        <v>432.38400000000001</v>
      </c>
      <c r="H45" s="43">
        <v>1107.009</v>
      </c>
      <c r="I45" s="43">
        <v>247.173</v>
      </c>
      <c r="J45" s="43">
        <v>533.12699999999995</v>
      </c>
      <c r="K45" s="43">
        <v>157.00200000000001</v>
      </c>
      <c r="L45" s="43">
        <v>860.245</v>
      </c>
      <c r="M45" s="43">
        <v>356.92399999999998</v>
      </c>
      <c r="N45" s="43">
        <v>271.94799999999998</v>
      </c>
      <c r="O45" s="43">
        <v>363.77199999999999</v>
      </c>
      <c r="P45" s="43">
        <v>0.879</v>
      </c>
      <c r="Q45" s="44">
        <v>6065.2339999999995</v>
      </c>
      <c r="S45" s="49">
        <f t="shared" si="3"/>
        <v>41061</v>
      </c>
      <c r="T45" s="22">
        <f t="shared" si="4"/>
        <v>-7.1055688040777554E-5</v>
      </c>
      <c r="U45" s="26">
        <f t="shared" si="5"/>
        <v>-430.99999999958527</v>
      </c>
      <c r="W45" s="22">
        <f t="shared" si="6"/>
        <v>-2.8733820265158805E-4</v>
      </c>
      <c r="X45" s="26">
        <f t="shared" si="7"/>
        <v>-359.99999999989996</v>
      </c>
      <c r="Y45" s="53">
        <f t="shared" si="0"/>
        <v>98.938901316953562</v>
      </c>
      <c r="AA45" s="22">
        <f t="shared" si="8"/>
        <v>-7.0523934734931792E-3</v>
      </c>
      <c r="AB45" s="26">
        <f t="shared" si="9"/>
        <v>-3070.9999999999695</v>
      </c>
      <c r="AC45" s="53">
        <f t="shared" si="1"/>
        <v>91.793088514399997</v>
      </c>
      <c r="AE45" s="22">
        <f t="shared" si="10"/>
        <v>-6.1930405030263813E-4</v>
      </c>
      <c r="AF45" s="26">
        <f t="shared" si="11"/>
        <v>-685.99999999992178</v>
      </c>
      <c r="AG45" s="53">
        <f t="shared" si="2"/>
        <v>87.945383739054577</v>
      </c>
    </row>
    <row r="46" spans="1:33" x14ac:dyDescent="0.3">
      <c r="A46" s="40">
        <v>41091</v>
      </c>
      <c r="B46" s="41">
        <v>330.971</v>
      </c>
      <c r="C46" s="42">
        <v>13.42</v>
      </c>
      <c r="D46" s="42">
        <v>75.709000000000003</v>
      </c>
      <c r="E46" s="43">
        <v>1253.8109999999999</v>
      </c>
      <c r="F46" s="43">
        <v>60.05</v>
      </c>
      <c r="G46" s="43">
        <v>429.38099999999997</v>
      </c>
      <c r="H46" s="43">
        <v>1106.7149999999999</v>
      </c>
      <c r="I46" s="43">
        <v>247.428</v>
      </c>
      <c r="J46" s="43">
        <v>533.327</v>
      </c>
      <c r="K46" s="43">
        <v>157.35300000000001</v>
      </c>
      <c r="L46" s="43">
        <v>858.971</v>
      </c>
      <c r="M46" s="43">
        <v>357.93200000000002</v>
      </c>
      <c r="N46" s="43">
        <v>272.75</v>
      </c>
      <c r="O46" s="43">
        <v>364.44099999999997</v>
      </c>
      <c r="P46" s="43">
        <v>0.89200000000000002</v>
      </c>
      <c r="Q46" s="44">
        <v>6063.1509999999998</v>
      </c>
      <c r="S46" s="49">
        <f t="shared" si="3"/>
        <v>41091</v>
      </c>
      <c r="T46" s="22">
        <f t="shared" si="4"/>
        <v>-3.4343275131665241E-4</v>
      </c>
      <c r="U46" s="26">
        <f t="shared" si="5"/>
        <v>-2082.9999999996289</v>
      </c>
      <c r="W46" s="22">
        <f t="shared" si="6"/>
        <v>1.0315212783198469E-3</v>
      </c>
      <c r="X46" s="26">
        <f t="shared" si="7"/>
        <v>1291.9999999999163</v>
      </c>
      <c r="Y46" s="53">
        <f t="shared" si="0"/>
        <v>99.040958898915591</v>
      </c>
      <c r="AA46" s="22">
        <f t="shared" si="8"/>
        <v>-6.9452153641208492E-3</v>
      </c>
      <c r="AB46" s="26">
        <f t="shared" si="9"/>
        <v>-3003.0000000000427</v>
      </c>
      <c r="AC46" s="53">
        <f t="shared" si="1"/>
        <v>91.155565745729689</v>
      </c>
      <c r="AE46" s="22">
        <f t="shared" si="10"/>
        <v>-2.6558049663560901E-4</v>
      </c>
      <c r="AF46" s="26">
        <f t="shared" si="11"/>
        <v>-294.00000000009641</v>
      </c>
      <c r="AG46" s="53">
        <f t="shared" si="2"/>
        <v>87.922027160364351</v>
      </c>
    </row>
    <row r="47" spans="1:33" x14ac:dyDescent="0.3">
      <c r="A47" s="40">
        <v>41122</v>
      </c>
      <c r="B47" s="41">
        <v>331.149</v>
      </c>
      <c r="C47" s="42">
        <v>13.445</v>
      </c>
      <c r="D47" s="42">
        <v>76.052000000000007</v>
      </c>
      <c r="E47" s="43">
        <v>1254.8679999999999</v>
      </c>
      <c r="F47" s="43">
        <v>60.206000000000003</v>
      </c>
      <c r="G47" s="43">
        <v>424.66</v>
      </c>
      <c r="H47" s="43">
        <v>1107.5250000000001</v>
      </c>
      <c r="I47" s="43">
        <v>248.52699999999999</v>
      </c>
      <c r="J47" s="43">
        <v>533.625</v>
      </c>
      <c r="K47" s="43">
        <v>157.79</v>
      </c>
      <c r="L47" s="43">
        <v>854.62800000000004</v>
      </c>
      <c r="M47" s="43">
        <v>357.80900000000003</v>
      </c>
      <c r="N47" s="43">
        <v>273.56900000000002</v>
      </c>
      <c r="O47" s="43">
        <v>365.22699999999998</v>
      </c>
      <c r="P47" s="43">
        <v>0.88100000000000001</v>
      </c>
      <c r="Q47" s="44">
        <v>6059.9610000000002</v>
      </c>
      <c r="S47" s="49">
        <f t="shared" si="3"/>
        <v>41122</v>
      </c>
      <c r="T47" s="22">
        <f t="shared" si="4"/>
        <v>-5.2612907051130531E-4</v>
      </c>
      <c r="U47" s="26">
        <f t="shared" si="5"/>
        <v>-3189.9999999995998</v>
      </c>
      <c r="W47" s="22">
        <f t="shared" si="6"/>
        <v>8.430297708346135E-4</v>
      </c>
      <c r="X47" s="26">
        <f t="shared" si="7"/>
        <v>1057.0000000000164</v>
      </c>
      <c r="Y47" s="53">
        <f t="shared" si="0"/>
        <v>99.124453375799391</v>
      </c>
      <c r="AA47" s="22">
        <f t="shared" si="8"/>
        <v>-1.0994897305656171E-2</v>
      </c>
      <c r="AB47" s="26">
        <f t="shared" si="9"/>
        <v>-4720.9999999999472</v>
      </c>
      <c r="AC47" s="53">
        <f t="shared" si="1"/>
        <v>90.153319661516392</v>
      </c>
      <c r="AE47" s="22">
        <f t="shared" si="10"/>
        <v>7.3189574551735248E-4</v>
      </c>
      <c r="AF47" s="26">
        <f t="shared" si="11"/>
        <v>810.0000000001728</v>
      </c>
      <c r="AG47" s="53">
        <f t="shared" si="2"/>
        <v>87.98637691798028</v>
      </c>
    </row>
    <row r="48" spans="1:33" x14ac:dyDescent="0.3">
      <c r="A48" s="40">
        <v>41153</v>
      </c>
      <c r="B48" s="41">
        <v>332.15800000000002</v>
      </c>
      <c r="C48" s="42">
        <v>13.45</v>
      </c>
      <c r="D48" s="42">
        <v>76.132000000000005</v>
      </c>
      <c r="E48" s="43">
        <v>1254.57</v>
      </c>
      <c r="F48" s="43">
        <v>60.536000000000001</v>
      </c>
      <c r="G48" s="43">
        <v>420.83800000000002</v>
      </c>
      <c r="H48" s="43">
        <v>1108.0229999999999</v>
      </c>
      <c r="I48" s="43">
        <v>249.24799999999999</v>
      </c>
      <c r="J48" s="43">
        <v>533.80399999999997</v>
      </c>
      <c r="K48" s="43">
        <v>157.90899999999999</v>
      </c>
      <c r="L48" s="43">
        <v>853.91499999999996</v>
      </c>
      <c r="M48" s="43">
        <v>357.63099999999997</v>
      </c>
      <c r="N48" s="43">
        <v>274.27</v>
      </c>
      <c r="O48" s="43">
        <v>365.166</v>
      </c>
      <c r="P48" s="43">
        <v>0.88800000000000001</v>
      </c>
      <c r="Q48" s="44">
        <v>6058.5380000000005</v>
      </c>
      <c r="S48" s="49">
        <f t="shared" si="3"/>
        <v>41153</v>
      </c>
      <c r="T48" s="22">
        <f t="shared" si="4"/>
        <v>-2.3481999306596002E-4</v>
      </c>
      <c r="U48" s="26">
        <f t="shared" si="5"/>
        <v>-1422.9999999997744</v>
      </c>
      <c r="W48" s="22">
        <f t="shared" si="6"/>
        <v>-2.3747517667194185E-4</v>
      </c>
      <c r="X48" s="26">
        <f t="shared" si="7"/>
        <v>-298.00000000000182</v>
      </c>
      <c r="Y48" s="53">
        <f t="shared" si="0"/>
        <v>99.100913778721463</v>
      </c>
      <c r="AA48" s="22">
        <f t="shared" si="8"/>
        <v>-9.000141289502217E-3</v>
      </c>
      <c r="AB48" s="26">
        <f t="shared" si="9"/>
        <v>-3822.0000000000027</v>
      </c>
      <c r="AC48" s="53">
        <f t="shared" si="1"/>
        <v>89.341927046845086</v>
      </c>
      <c r="AE48" s="22">
        <f t="shared" si="10"/>
        <v>4.4965124940721246E-4</v>
      </c>
      <c r="AF48" s="26">
        <f t="shared" si="11"/>
        <v>497.99999999981992</v>
      </c>
      <c r="AG48" s="53">
        <f t="shared" si="2"/>
        <v>88.025940102292267</v>
      </c>
    </row>
    <row r="49" spans="1:33" x14ac:dyDescent="0.3">
      <c r="A49" s="40">
        <v>41183</v>
      </c>
      <c r="B49" s="41">
        <v>330.46899999999999</v>
      </c>
      <c r="C49" s="42">
        <v>13.499000000000001</v>
      </c>
      <c r="D49" s="42">
        <v>76.302000000000007</v>
      </c>
      <c r="E49" s="43">
        <v>1255.319</v>
      </c>
      <c r="F49" s="43">
        <v>60.692</v>
      </c>
      <c r="G49" s="43">
        <v>420.774</v>
      </c>
      <c r="H49" s="43">
        <v>1109.944</v>
      </c>
      <c r="I49" s="43">
        <v>249.91800000000001</v>
      </c>
      <c r="J49" s="43">
        <v>534.66</v>
      </c>
      <c r="K49" s="43">
        <v>158.244</v>
      </c>
      <c r="L49" s="43">
        <v>851.97199999999998</v>
      </c>
      <c r="M49" s="43">
        <v>359.54500000000002</v>
      </c>
      <c r="N49" s="43">
        <v>275.01900000000001</v>
      </c>
      <c r="O49" s="43">
        <v>366.17599999999999</v>
      </c>
      <c r="P49" s="43">
        <v>0.877</v>
      </c>
      <c r="Q49" s="44">
        <v>6063.4100000000008</v>
      </c>
      <c r="S49" s="49">
        <f t="shared" si="3"/>
        <v>41183</v>
      </c>
      <c r="T49" s="22">
        <f t="shared" si="4"/>
        <v>8.0415440160641616E-4</v>
      </c>
      <c r="U49" s="26">
        <f t="shared" si="5"/>
        <v>4872.0000000002983</v>
      </c>
      <c r="W49" s="22">
        <f t="shared" si="6"/>
        <v>5.9701730473382675E-4</v>
      </c>
      <c r="X49" s="26">
        <f t="shared" si="7"/>
        <v>749.00000000002365</v>
      </c>
      <c r="Y49" s="53">
        <f t="shared" si="0"/>
        <v>99.160078739162302</v>
      </c>
      <c r="AA49" s="22">
        <f t="shared" si="8"/>
        <v>-1.5207752151669141E-4</v>
      </c>
      <c r="AB49" s="26">
        <f t="shared" si="9"/>
        <v>-64.000000000021373</v>
      </c>
      <c r="AC49" s="53">
        <f t="shared" si="1"/>
        <v>89.328340148012288</v>
      </c>
      <c r="AE49" s="22">
        <f t="shared" si="10"/>
        <v>1.7337185238934794E-3</v>
      </c>
      <c r="AF49" s="26">
        <f t="shared" si="11"/>
        <v>1921.0000000000491</v>
      </c>
      <c r="AG49" s="53">
        <f t="shared" si="2"/>
        <v>88.178552305230752</v>
      </c>
    </row>
    <row r="50" spans="1:33" x14ac:dyDescent="0.3">
      <c r="A50" s="40">
        <v>41214</v>
      </c>
      <c r="B50" s="41">
        <v>331.48700000000002</v>
      </c>
      <c r="C50" s="42">
        <v>13.25</v>
      </c>
      <c r="D50" s="42">
        <v>76.373000000000005</v>
      </c>
      <c r="E50" s="43">
        <v>1257.6859999999999</v>
      </c>
      <c r="F50" s="43">
        <v>61.012</v>
      </c>
      <c r="G50" s="43">
        <v>421.03</v>
      </c>
      <c r="H50" s="43">
        <v>1111.076</v>
      </c>
      <c r="I50" s="43">
        <v>250.72499999999999</v>
      </c>
      <c r="J50" s="43">
        <v>534.98199999999997</v>
      </c>
      <c r="K50" s="43">
        <v>158.42400000000001</v>
      </c>
      <c r="L50" s="43">
        <v>849.17399999999998</v>
      </c>
      <c r="M50" s="43">
        <v>361.26799999999997</v>
      </c>
      <c r="N50" s="43">
        <v>275.90600000000001</v>
      </c>
      <c r="O50" s="43">
        <v>365.72899999999998</v>
      </c>
      <c r="P50" s="43">
        <v>0.877</v>
      </c>
      <c r="Q50" s="44">
        <v>6068.9990000000007</v>
      </c>
      <c r="S50" s="49">
        <f t="shared" si="3"/>
        <v>41214</v>
      </c>
      <c r="T50" s="22">
        <f t="shared" si="4"/>
        <v>9.2175854840759186E-4</v>
      </c>
      <c r="U50" s="26">
        <f t="shared" si="5"/>
        <v>5588.9999999999418</v>
      </c>
      <c r="W50" s="22">
        <f t="shared" si="6"/>
        <v>1.885576494898844E-3</v>
      </c>
      <c r="X50" s="26">
        <f t="shared" si="7"/>
        <v>2366.9999999999618</v>
      </c>
      <c r="Y50" s="53">
        <f t="shared" si="0"/>
        <v>99.347052652865187</v>
      </c>
      <c r="AA50" s="22">
        <f t="shared" si="8"/>
        <v>6.0840261042738319E-4</v>
      </c>
      <c r="AB50" s="26">
        <f t="shared" si="9"/>
        <v>255.99999999997181</v>
      </c>
      <c r="AC50" s="53">
        <f t="shared" si="1"/>
        <v>89.382687743343482</v>
      </c>
      <c r="AE50" s="22">
        <f t="shared" si="10"/>
        <v>1.0198712727849113E-3</v>
      </c>
      <c r="AF50" s="26">
        <f t="shared" si="11"/>
        <v>1132.0000000000618</v>
      </c>
      <c r="AG50" s="53">
        <f t="shared" si="2"/>
        <v>88.268483077602625</v>
      </c>
    </row>
    <row r="51" spans="1:33" x14ac:dyDescent="0.3">
      <c r="A51" s="40">
        <v>41244</v>
      </c>
      <c r="B51" s="41">
        <v>333.82499999999999</v>
      </c>
      <c r="C51" s="42">
        <v>13.253</v>
      </c>
      <c r="D51" s="42">
        <v>76.453999999999994</v>
      </c>
      <c r="E51" s="43">
        <v>1263.3810000000001</v>
      </c>
      <c r="F51" s="43">
        <v>61.216999999999999</v>
      </c>
      <c r="G51" s="43">
        <v>420.44600000000003</v>
      </c>
      <c r="H51" s="43">
        <v>1115.5820000000001</v>
      </c>
      <c r="I51" s="43">
        <v>251.249</v>
      </c>
      <c r="J51" s="43">
        <v>536.07799999999997</v>
      </c>
      <c r="K51" s="43">
        <v>158.52699999999999</v>
      </c>
      <c r="L51" s="43">
        <v>852.77300000000002</v>
      </c>
      <c r="M51" s="43">
        <v>363.44</v>
      </c>
      <c r="N51" s="43">
        <v>276.67099999999999</v>
      </c>
      <c r="O51" s="43">
        <v>366.97300000000001</v>
      </c>
      <c r="P51" s="43">
        <v>0.88300000000000001</v>
      </c>
      <c r="Q51" s="44">
        <v>6090.7519999999995</v>
      </c>
      <c r="S51" s="49">
        <f t="shared" si="3"/>
        <v>41244</v>
      </c>
      <c r="T51" s="22">
        <f t="shared" si="4"/>
        <v>3.5842813617201763E-3</v>
      </c>
      <c r="U51" s="26">
        <f t="shared" si="5"/>
        <v>21752.999999998792</v>
      </c>
      <c r="W51" s="22">
        <f t="shared" si="6"/>
        <v>4.5281572665991643E-3</v>
      </c>
      <c r="X51" s="26">
        <f t="shared" si="7"/>
        <v>5695.0000000001637</v>
      </c>
      <c r="Y51" s="53">
        <f t="shared" si="0"/>
        <v>99.796911731250475</v>
      </c>
      <c r="AA51" s="22">
        <f t="shared" si="8"/>
        <v>-1.3870745552572172E-3</v>
      </c>
      <c r="AB51" s="26">
        <f t="shared" si="9"/>
        <v>-583.99999999994634</v>
      </c>
      <c r="AC51" s="53">
        <f t="shared" si="1"/>
        <v>89.25870729149419</v>
      </c>
      <c r="AE51" s="22">
        <f t="shared" si="10"/>
        <v>4.0555281546896804E-3</v>
      </c>
      <c r="AF51" s="26">
        <f t="shared" si="11"/>
        <v>4506.0000000000855</v>
      </c>
      <c r="AG51" s="53">
        <f t="shared" si="2"/>
        <v>88.626458395895597</v>
      </c>
    </row>
    <row r="52" spans="1:33" x14ac:dyDescent="0.3">
      <c r="A52" s="40">
        <v>41275</v>
      </c>
      <c r="B52" s="41">
        <v>335</v>
      </c>
      <c r="C52" s="42">
        <v>13.327</v>
      </c>
      <c r="D52" s="42">
        <v>76.632999999999996</v>
      </c>
      <c r="E52" s="43">
        <v>1263.056</v>
      </c>
      <c r="F52" s="43">
        <v>61.530999999999999</v>
      </c>
      <c r="G52" s="43">
        <v>421.69600000000003</v>
      </c>
      <c r="H52" s="43">
        <v>1115.8879999999999</v>
      </c>
      <c r="I52" s="43">
        <v>253.41300000000001</v>
      </c>
      <c r="J52" s="43">
        <v>536.66700000000003</v>
      </c>
      <c r="K52" s="43">
        <v>158.971</v>
      </c>
      <c r="L52" s="43">
        <v>849.57299999999998</v>
      </c>
      <c r="M52" s="43">
        <v>360.46899999999999</v>
      </c>
      <c r="N52" s="43">
        <v>277.03399999999999</v>
      </c>
      <c r="O52" s="43">
        <v>366.23200000000003</v>
      </c>
      <c r="P52" s="43">
        <v>0.92</v>
      </c>
      <c r="Q52" s="44">
        <v>6090.41</v>
      </c>
      <c r="S52" s="49">
        <f t="shared" si="3"/>
        <v>41275</v>
      </c>
      <c r="T52" s="22">
        <f t="shared" si="4"/>
        <v>-5.6150701916557466E-5</v>
      </c>
      <c r="U52" s="26">
        <f t="shared" si="5"/>
        <v>-341.99999999964348</v>
      </c>
      <c r="W52" s="22">
        <f t="shared" si="6"/>
        <v>-2.5724623055123352E-4</v>
      </c>
      <c r="X52" s="26">
        <f t="shared" si="7"/>
        <v>-325.00000000004547</v>
      </c>
      <c r="Y52" s="53">
        <f t="shared" si="0"/>
        <v>99.771239351886962</v>
      </c>
      <c r="AA52" s="22">
        <f t="shared" si="8"/>
        <v>2.9730333978679191E-3</v>
      </c>
      <c r="AB52" s="26">
        <f t="shared" si="9"/>
        <v>1250</v>
      </c>
      <c r="AC52" s="53">
        <f t="shared" si="1"/>
        <v>89.524076409322319</v>
      </c>
      <c r="AE52" s="22">
        <f t="shared" si="10"/>
        <v>2.7429628660180505E-4</v>
      </c>
      <c r="AF52" s="26">
        <f t="shared" si="11"/>
        <v>305.99999999981264</v>
      </c>
      <c r="AG52" s="53">
        <f t="shared" si="2"/>
        <v>88.650768304328267</v>
      </c>
    </row>
    <row r="53" spans="1:33" x14ac:dyDescent="0.3">
      <c r="A53" s="40">
        <v>41306</v>
      </c>
      <c r="B53" s="41">
        <v>335.29300000000001</v>
      </c>
      <c r="C53" s="42">
        <v>13.238</v>
      </c>
      <c r="D53" s="42">
        <v>76.906000000000006</v>
      </c>
      <c r="E53" s="43">
        <v>1263.6120000000001</v>
      </c>
      <c r="F53" s="43">
        <v>61.646999999999998</v>
      </c>
      <c r="G53" s="43">
        <v>423.11200000000002</v>
      </c>
      <c r="H53" s="43">
        <v>1116.684</v>
      </c>
      <c r="I53" s="43">
        <v>252.51</v>
      </c>
      <c r="J53" s="43">
        <v>537.04899999999998</v>
      </c>
      <c r="K53" s="43">
        <v>159.011</v>
      </c>
      <c r="L53" s="43">
        <v>848.89200000000005</v>
      </c>
      <c r="M53" s="43">
        <v>365.13099999999997</v>
      </c>
      <c r="N53" s="43">
        <v>277.76499999999999</v>
      </c>
      <c r="O53" s="43">
        <v>366.24900000000002</v>
      </c>
      <c r="P53" s="43">
        <v>0.93100000000000005</v>
      </c>
      <c r="Q53" s="44">
        <v>6098.0300000000007</v>
      </c>
      <c r="S53" s="49">
        <f t="shared" si="3"/>
        <v>41306</v>
      </c>
      <c r="T53" s="22">
        <f t="shared" si="4"/>
        <v>1.2511472955023528E-3</v>
      </c>
      <c r="U53" s="26">
        <f t="shared" si="5"/>
        <v>7620.0000000008004</v>
      </c>
      <c r="W53" s="22">
        <f t="shared" si="6"/>
        <v>4.4020217630902359E-4</v>
      </c>
      <c r="X53" s="26">
        <f t="shared" si="7"/>
        <v>556.00000000004002</v>
      </c>
      <c r="Y53" s="53">
        <f t="shared" si="0"/>
        <v>99.815158868582699</v>
      </c>
      <c r="AA53" s="22">
        <f t="shared" si="8"/>
        <v>3.3578691758993084E-3</v>
      </c>
      <c r="AB53" s="26">
        <f t="shared" si="9"/>
        <v>1415.9999999999968</v>
      </c>
      <c r="AC53" s="53">
        <f t="shared" si="1"/>
        <v>89.824686545998034</v>
      </c>
      <c r="AE53" s="22">
        <f t="shared" si="10"/>
        <v>7.1333323774425139E-4</v>
      </c>
      <c r="AF53" s="26">
        <f t="shared" si="11"/>
        <v>796.00000000004911</v>
      </c>
      <c r="AG53" s="53">
        <f t="shared" si="2"/>
        <v>88.714005843911309</v>
      </c>
    </row>
    <row r="54" spans="1:33" x14ac:dyDescent="0.3">
      <c r="A54" s="40">
        <v>41334</v>
      </c>
      <c r="B54" s="41">
        <v>335.75299999999999</v>
      </c>
      <c r="C54" s="42">
        <v>12.856</v>
      </c>
      <c r="D54" s="42">
        <v>77.335999999999999</v>
      </c>
      <c r="E54" s="43">
        <v>1265.1690000000001</v>
      </c>
      <c r="F54" s="43">
        <v>61.77</v>
      </c>
      <c r="G54" s="43">
        <v>425.93</v>
      </c>
      <c r="H54" s="43">
        <v>1118.1949999999999</v>
      </c>
      <c r="I54" s="43">
        <v>252.11199999999999</v>
      </c>
      <c r="J54" s="43">
        <v>537.74699999999996</v>
      </c>
      <c r="K54" s="43">
        <v>159.49100000000001</v>
      </c>
      <c r="L54" s="43">
        <v>850.75599999999997</v>
      </c>
      <c r="M54" s="43">
        <v>364.05700000000002</v>
      </c>
      <c r="N54" s="43">
        <v>278.46800000000002</v>
      </c>
      <c r="O54" s="43">
        <v>364.89699999999999</v>
      </c>
      <c r="P54" s="43">
        <v>0.90600000000000003</v>
      </c>
      <c r="Q54" s="44">
        <v>6105.4430000000002</v>
      </c>
      <c r="S54" s="49">
        <f t="shared" si="3"/>
        <v>41334</v>
      </c>
      <c r="T54" s="22">
        <f t="shared" si="4"/>
        <v>1.2156384930870345E-3</v>
      </c>
      <c r="U54" s="26">
        <f t="shared" si="5"/>
        <v>7412.9999999995562</v>
      </c>
      <c r="W54" s="22">
        <f t="shared" si="6"/>
        <v>1.2321820305600806E-3</v>
      </c>
      <c r="X54" s="26">
        <f t="shared" si="7"/>
        <v>1557.0000000000164</v>
      </c>
      <c r="Y54" s="53">
        <f t="shared" si="0"/>
        <v>99.938149313718057</v>
      </c>
      <c r="AA54" s="22">
        <f t="shared" si="8"/>
        <v>6.6601750836656759E-3</v>
      </c>
      <c r="AB54" s="26">
        <f t="shared" si="9"/>
        <v>2817.9999999999836</v>
      </c>
      <c r="AC54" s="53">
        <f t="shared" si="1"/>
        <v>90.422934685229777</v>
      </c>
      <c r="AE54" s="22">
        <f t="shared" si="10"/>
        <v>1.3531133248081417E-3</v>
      </c>
      <c r="AF54" s="26">
        <f t="shared" si="11"/>
        <v>1510.9999999999673</v>
      </c>
      <c r="AG54" s="53">
        <f t="shared" si="2"/>
        <v>88.834045947315815</v>
      </c>
    </row>
    <row r="55" spans="1:33" x14ac:dyDescent="0.3">
      <c r="A55" s="40">
        <v>41365</v>
      </c>
      <c r="B55" s="41">
        <v>339.209</v>
      </c>
      <c r="C55" s="42">
        <v>13.112</v>
      </c>
      <c r="D55" s="42">
        <v>77.551000000000002</v>
      </c>
      <c r="E55" s="43">
        <v>1265.2650000000001</v>
      </c>
      <c r="F55" s="43">
        <v>62.09</v>
      </c>
      <c r="G55" s="43">
        <v>428.26100000000002</v>
      </c>
      <c r="H55" s="43">
        <v>1117.74</v>
      </c>
      <c r="I55" s="43">
        <v>251.44900000000001</v>
      </c>
      <c r="J55" s="43">
        <v>539.00599999999997</v>
      </c>
      <c r="K55" s="43">
        <v>159.72900000000001</v>
      </c>
      <c r="L55" s="43">
        <v>850.03599999999994</v>
      </c>
      <c r="M55" s="43">
        <v>366.27600000000001</v>
      </c>
      <c r="N55" s="43">
        <v>279.346</v>
      </c>
      <c r="O55" s="43">
        <v>365.572</v>
      </c>
      <c r="P55" s="43">
        <v>0.879</v>
      </c>
      <c r="Q55" s="44">
        <v>6115.5209999999997</v>
      </c>
      <c r="S55" s="49">
        <f t="shared" si="3"/>
        <v>41365</v>
      </c>
      <c r="T55" s="22">
        <f t="shared" si="4"/>
        <v>1.6506582732815911E-3</v>
      </c>
      <c r="U55" s="26">
        <f t="shared" si="5"/>
        <v>10077.99999999952</v>
      </c>
      <c r="W55" s="22">
        <f t="shared" si="6"/>
        <v>7.5879190843286537E-5</v>
      </c>
      <c r="X55" s="26">
        <f t="shared" si="7"/>
        <v>96.000000000003638</v>
      </c>
      <c r="Y55" s="53">
        <f t="shared" si="0"/>
        <v>99.945732539622369</v>
      </c>
      <c r="AA55" s="22">
        <f t="shared" si="8"/>
        <v>5.4727302608410522E-3</v>
      </c>
      <c r="AB55" s="26">
        <f t="shared" si="9"/>
        <v>2331.0000000000173</v>
      </c>
      <c r="AC55" s="53">
        <f t="shared" si="1"/>
        <v>90.917795016155679</v>
      </c>
      <c r="AE55" s="22">
        <f t="shared" si="10"/>
        <v>-4.0690577224899993E-4</v>
      </c>
      <c r="AF55" s="26">
        <f t="shared" si="11"/>
        <v>-454.99999999992724</v>
      </c>
      <c r="AG55" s="53">
        <f t="shared" si="2"/>
        <v>88.797898861247617</v>
      </c>
    </row>
    <row r="56" spans="1:33" x14ac:dyDescent="0.3">
      <c r="A56" s="40">
        <v>41395</v>
      </c>
      <c r="B56" s="41">
        <v>333.14100000000002</v>
      </c>
      <c r="C56" s="42">
        <v>13.271000000000001</v>
      </c>
      <c r="D56" s="42">
        <v>78.06</v>
      </c>
      <c r="E56" s="43">
        <v>1265.422</v>
      </c>
      <c r="F56" s="43">
        <v>62.406999999999996</v>
      </c>
      <c r="G56" s="43">
        <v>427.81299999999999</v>
      </c>
      <c r="H56" s="43">
        <v>1117.951</v>
      </c>
      <c r="I56" s="43">
        <v>250.642</v>
      </c>
      <c r="J56" s="43">
        <v>539.41700000000003</v>
      </c>
      <c r="K56" s="43">
        <v>159.72300000000001</v>
      </c>
      <c r="L56" s="43">
        <v>849.65</v>
      </c>
      <c r="M56" s="43">
        <v>364.77499999999998</v>
      </c>
      <c r="N56" s="43">
        <v>279.98599999999999</v>
      </c>
      <c r="O56" s="43">
        <v>365.892</v>
      </c>
      <c r="P56" s="43">
        <v>1.097</v>
      </c>
      <c r="Q56" s="44">
        <v>6109.2469999999985</v>
      </c>
      <c r="S56" s="49">
        <f t="shared" si="3"/>
        <v>41395</v>
      </c>
      <c r="T56" s="22">
        <f t="shared" si="4"/>
        <v>-1.0259142270955257E-3</v>
      </c>
      <c r="U56" s="26">
        <f t="shared" si="5"/>
        <v>-6274.0000000012515</v>
      </c>
      <c r="W56" s="22">
        <f t="shared" si="6"/>
        <v>1.2408467791336086E-4</v>
      </c>
      <c r="X56" s="26">
        <f t="shared" si="7"/>
        <v>156.99999999992542</v>
      </c>
      <c r="Y56" s="53">
        <f t="shared" si="0"/>
        <v>99.958134273653343</v>
      </c>
      <c r="AA56" s="22">
        <f t="shared" si="8"/>
        <v>-1.0460910519520805E-3</v>
      </c>
      <c r="AB56" s="26">
        <f t="shared" si="9"/>
        <v>-448.00000000003593</v>
      </c>
      <c r="AC56" s="53">
        <f t="shared" si="1"/>
        <v>90.822686724326076</v>
      </c>
      <c r="AE56" s="22">
        <f t="shared" si="10"/>
        <v>1.8877377565451603E-4</v>
      </c>
      <c r="AF56" s="26">
        <f t="shared" si="11"/>
        <v>211.00000000001273</v>
      </c>
      <c r="AG56" s="53">
        <f t="shared" si="2"/>
        <v>88.814661575885836</v>
      </c>
    </row>
    <row r="57" spans="1:33" x14ac:dyDescent="0.3">
      <c r="A57" s="40">
        <v>41426</v>
      </c>
      <c r="B57" s="41">
        <v>329.74900000000002</v>
      </c>
      <c r="C57" s="42">
        <v>13.359</v>
      </c>
      <c r="D57" s="42">
        <v>78.013000000000005</v>
      </c>
      <c r="E57" s="43">
        <v>1264.4580000000001</v>
      </c>
      <c r="F57" s="43">
        <v>62.654000000000003</v>
      </c>
      <c r="G57" s="43">
        <v>425.74900000000002</v>
      </c>
      <c r="H57" s="43">
        <v>1118.4390000000001</v>
      </c>
      <c r="I57" s="43">
        <v>251.76499999999999</v>
      </c>
      <c r="J57" s="43">
        <v>540.70799999999997</v>
      </c>
      <c r="K57" s="43">
        <v>159.26</v>
      </c>
      <c r="L57" s="43">
        <v>844.83699999999999</v>
      </c>
      <c r="M57" s="43">
        <v>366.00400000000002</v>
      </c>
      <c r="N57" s="43">
        <v>280.67</v>
      </c>
      <c r="O57" s="43">
        <v>366.71499999999997</v>
      </c>
      <c r="P57" s="43">
        <v>0.85099999999999998</v>
      </c>
      <c r="Q57" s="44">
        <v>6103.2309999999998</v>
      </c>
      <c r="S57" s="49">
        <f t="shared" si="3"/>
        <v>41426</v>
      </c>
      <c r="T57" s="22">
        <f t="shared" si="4"/>
        <v>-9.8473674415178181E-4</v>
      </c>
      <c r="U57" s="26">
        <f t="shared" si="5"/>
        <v>-6015.9999999987122</v>
      </c>
      <c r="W57" s="22">
        <f t="shared" si="6"/>
        <v>-7.6180120149638153E-4</v>
      </c>
      <c r="X57" s="26">
        <f t="shared" si="7"/>
        <v>-963.99999999994179</v>
      </c>
      <c r="Y57" s="53">
        <f t="shared" si="0"/>
        <v>99.881986046864341</v>
      </c>
      <c r="AA57" s="22">
        <f t="shared" si="8"/>
        <v>-4.824537823768682E-3</v>
      </c>
      <c r="AB57" s="26">
        <f t="shared" si="9"/>
        <v>-2063.9999999999645</v>
      </c>
      <c r="AC57" s="53">
        <f t="shared" si="1"/>
        <v>90.38450923696827</v>
      </c>
      <c r="AE57" s="22">
        <f t="shared" si="10"/>
        <v>4.3651287042112408E-4</v>
      </c>
      <c r="AF57" s="26">
        <f t="shared" si="11"/>
        <v>488.00000000005639</v>
      </c>
      <c r="AG57" s="53">
        <f t="shared" si="2"/>
        <v>88.853430318745794</v>
      </c>
    </row>
    <row r="58" spans="1:33" x14ac:dyDescent="0.3">
      <c r="A58" s="40">
        <v>41456</v>
      </c>
      <c r="B58" s="41">
        <v>328.22199999999998</v>
      </c>
      <c r="C58" s="42">
        <v>13.268000000000001</v>
      </c>
      <c r="D58" s="42">
        <v>78.587999999999994</v>
      </c>
      <c r="E58" s="43">
        <v>1265.3019999999999</v>
      </c>
      <c r="F58" s="43">
        <v>63.109000000000002</v>
      </c>
      <c r="G58" s="43">
        <v>427.08600000000001</v>
      </c>
      <c r="H58" s="43">
        <v>1119.165</v>
      </c>
      <c r="I58" s="43">
        <v>253.33699999999999</v>
      </c>
      <c r="J58" s="43">
        <v>541.78800000000001</v>
      </c>
      <c r="K58" s="43">
        <v>159.55000000000001</v>
      </c>
      <c r="L58" s="43">
        <v>845.48800000000006</v>
      </c>
      <c r="M58" s="43">
        <v>365.46300000000002</v>
      </c>
      <c r="N58" s="43">
        <v>281.39699999999999</v>
      </c>
      <c r="O58" s="43">
        <v>367.7</v>
      </c>
      <c r="P58" s="43">
        <v>0.88</v>
      </c>
      <c r="Q58" s="44">
        <v>6110.3429999999998</v>
      </c>
      <c r="S58" s="49">
        <f t="shared" si="3"/>
        <v>41456</v>
      </c>
      <c r="T58" s="22">
        <f t="shared" si="4"/>
        <v>1.1652844206617718E-3</v>
      </c>
      <c r="U58" s="26">
        <f t="shared" si="5"/>
        <v>7112.00000000008</v>
      </c>
      <c r="W58" s="22">
        <f t="shared" si="6"/>
        <v>6.6747966322311392E-4</v>
      </c>
      <c r="X58" s="26">
        <f t="shared" si="7"/>
        <v>843.99999999982356</v>
      </c>
      <c r="Y58" s="53">
        <f t="shared" si="0"/>
        <v>99.948655241272959</v>
      </c>
      <c r="AA58" s="22">
        <f t="shared" si="8"/>
        <v>3.1403479514924282E-3</v>
      </c>
      <c r="AB58" s="26">
        <f t="shared" si="9"/>
        <v>1336.9999999999891</v>
      </c>
      <c r="AC58" s="53">
        <f t="shared" si="1"/>
        <v>90.668348045397224</v>
      </c>
      <c r="AE58" s="22">
        <f t="shared" si="10"/>
        <v>6.4911899531394646E-4</v>
      </c>
      <c r="AF58" s="26">
        <f t="shared" si="11"/>
        <v>725.9999999998854</v>
      </c>
      <c r="AG58" s="53">
        <f t="shared" si="2"/>
        <v>88.911106768164501</v>
      </c>
    </row>
    <row r="59" spans="1:33" x14ac:dyDescent="0.3">
      <c r="A59" s="40">
        <v>41487</v>
      </c>
      <c r="B59" s="41">
        <v>327.27600000000001</v>
      </c>
      <c r="C59" s="42">
        <v>13.263</v>
      </c>
      <c r="D59" s="42">
        <v>78.959999999999994</v>
      </c>
      <c r="E59" s="43">
        <v>1265.2550000000001</v>
      </c>
      <c r="F59" s="43">
        <v>63.36</v>
      </c>
      <c r="G59" s="43">
        <v>427.74599999999998</v>
      </c>
      <c r="H59" s="43">
        <v>1120.558</v>
      </c>
      <c r="I59" s="43">
        <v>253.215</v>
      </c>
      <c r="J59" s="43">
        <v>542.29600000000005</v>
      </c>
      <c r="K59" s="43">
        <v>159.703</v>
      </c>
      <c r="L59" s="43">
        <v>855.601</v>
      </c>
      <c r="M59" s="43">
        <v>366.505</v>
      </c>
      <c r="N59" s="43">
        <v>282.14299999999997</v>
      </c>
      <c r="O59" s="43">
        <v>367.959</v>
      </c>
      <c r="P59" s="43">
        <v>0.86599999999999999</v>
      </c>
      <c r="Q59" s="44">
        <v>6124.7060000000001</v>
      </c>
      <c r="S59" s="49">
        <f t="shared" si="3"/>
        <v>41487</v>
      </c>
      <c r="T59" s="22">
        <f t="shared" si="4"/>
        <v>2.3506045405308207E-3</v>
      </c>
      <c r="U59" s="26">
        <f t="shared" si="5"/>
        <v>14363.000000000284</v>
      </c>
      <c r="W59" s="22">
        <f t="shared" si="6"/>
        <v>-3.7145282311912275E-5</v>
      </c>
      <c r="X59" s="26">
        <f t="shared" si="7"/>
        <v>-46.999999999798092</v>
      </c>
      <c r="Y59" s="53">
        <f t="shared" si="0"/>
        <v>99.944942620257336</v>
      </c>
      <c r="AA59" s="22">
        <f t="shared" si="8"/>
        <v>1.5453562046050529E-3</v>
      </c>
      <c r="AB59" s="26">
        <f t="shared" si="9"/>
        <v>659.99999999996817</v>
      </c>
      <c r="AC59" s="53">
        <f t="shared" si="1"/>
        <v>90.808462939610479</v>
      </c>
      <c r="AE59" s="22">
        <f t="shared" si="10"/>
        <v>1.2446779518660023E-3</v>
      </c>
      <c r="AF59" s="26">
        <f t="shared" si="11"/>
        <v>1393.0000000000291</v>
      </c>
      <c r="AG59" s="53">
        <f t="shared" si="2"/>
        <v>89.021772462434839</v>
      </c>
    </row>
    <row r="60" spans="1:33" x14ac:dyDescent="0.3">
      <c r="A60" s="40">
        <v>41518</v>
      </c>
      <c r="B60" s="41">
        <v>324.73200000000003</v>
      </c>
      <c r="C60" s="42">
        <v>13.25</v>
      </c>
      <c r="D60" s="42">
        <v>79.534000000000006</v>
      </c>
      <c r="E60" s="43">
        <v>1265.5820000000001</v>
      </c>
      <c r="F60" s="43">
        <v>63.575000000000003</v>
      </c>
      <c r="G60" s="43">
        <v>427.90600000000001</v>
      </c>
      <c r="H60" s="43">
        <v>1121.8789999999999</v>
      </c>
      <c r="I60" s="43">
        <v>253.85300000000001</v>
      </c>
      <c r="J60" s="43">
        <v>543.60500000000002</v>
      </c>
      <c r="K60" s="43">
        <v>159.923</v>
      </c>
      <c r="L60" s="43">
        <v>842.26099999999997</v>
      </c>
      <c r="M60" s="43">
        <v>367.00299999999999</v>
      </c>
      <c r="N60" s="43">
        <v>282.791</v>
      </c>
      <c r="O60" s="43">
        <v>368.73899999999998</v>
      </c>
      <c r="P60" s="43">
        <v>0.86699999999999999</v>
      </c>
      <c r="Q60" s="44">
        <v>6115.5</v>
      </c>
      <c r="S60" s="49">
        <f t="shared" si="3"/>
        <v>41518</v>
      </c>
      <c r="T60" s="22">
        <f t="shared" si="4"/>
        <v>-1.5030925566059672E-3</v>
      </c>
      <c r="U60" s="26">
        <f t="shared" si="5"/>
        <v>-9206.000000000131</v>
      </c>
      <c r="W60" s="22">
        <f t="shared" si="6"/>
        <v>2.5844592592005888E-4</v>
      </c>
      <c r="X60" s="26">
        <f t="shared" si="7"/>
        <v>326.99999999999818</v>
      </c>
      <c r="Y60" s="53">
        <f t="shared" si="0"/>
        <v>99.970772983493845</v>
      </c>
      <c r="AA60" s="22">
        <f t="shared" si="8"/>
        <v>3.7405376087673581E-4</v>
      </c>
      <c r="AB60" s="26">
        <f t="shared" si="9"/>
        <v>160.00000000002501</v>
      </c>
      <c r="AC60" s="53">
        <f t="shared" si="1"/>
        <v>90.842430186692496</v>
      </c>
      <c r="AE60" s="22">
        <f t="shared" si="10"/>
        <v>1.1788769523755072E-3</v>
      </c>
      <c r="AF60" s="26">
        <f t="shared" si="11"/>
        <v>1320.9999999999127</v>
      </c>
      <c r="AG60" s="53">
        <f t="shared" si="2"/>
        <v>89.126718178250414</v>
      </c>
    </row>
    <row r="61" spans="1:33" x14ac:dyDescent="0.3">
      <c r="A61" s="40">
        <v>41548</v>
      </c>
      <c r="B61" s="41">
        <v>317.32299999999998</v>
      </c>
      <c r="C61" s="42">
        <v>13.31</v>
      </c>
      <c r="D61" s="42">
        <v>79.885000000000005</v>
      </c>
      <c r="E61" s="43">
        <v>1265.952</v>
      </c>
      <c r="F61" s="43">
        <v>64.088999999999999</v>
      </c>
      <c r="G61" s="43">
        <v>431.18799999999999</v>
      </c>
      <c r="H61" s="43">
        <v>1122.26</v>
      </c>
      <c r="I61" s="43">
        <v>254.35300000000001</v>
      </c>
      <c r="J61" s="43">
        <v>544.49199999999996</v>
      </c>
      <c r="K61" s="43">
        <v>160.12100000000001</v>
      </c>
      <c r="L61" s="43">
        <v>843.505</v>
      </c>
      <c r="M61" s="43">
        <v>367.61599999999999</v>
      </c>
      <c r="N61" s="43">
        <v>283.62700000000001</v>
      </c>
      <c r="O61" s="43">
        <v>368.21499999999997</v>
      </c>
      <c r="P61" s="43">
        <v>0.87</v>
      </c>
      <c r="Q61" s="44">
        <v>6116.8060000000005</v>
      </c>
      <c r="S61" s="49">
        <f t="shared" si="3"/>
        <v>41548</v>
      </c>
      <c r="T61" s="22">
        <f t="shared" si="4"/>
        <v>2.1355571907455406E-4</v>
      </c>
      <c r="U61" s="26">
        <f t="shared" si="5"/>
        <v>1306.0000000004948</v>
      </c>
      <c r="W61" s="22">
        <f t="shared" si="6"/>
        <v>2.9235561188434289E-4</v>
      </c>
      <c r="X61" s="26">
        <f t="shared" si="7"/>
        <v>369.99999999989086</v>
      </c>
      <c r="Y61" s="54">
        <f t="shared" si="0"/>
        <v>100</v>
      </c>
      <c r="AA61" s="22">
        <f t="shared" si="8"/>
        <v>7.6699088117482273E-3</v>
      </c>
      <c r="AB61" s="26">
        <f t="shared" si="9"/>
        <v>3281.9999999999823</v>
      </c>
      <c r="AC61" s="53">
        <f t="shared" si="1"/>
        <v>91.539183342462039</v>
      </c>
      <c r="AE61" s="22">
        <f t="shared" si="10"/>
        <v>3.3960881699379719E-4</v>
      </c>
      <c r="AF61" s="26">
        <f t="shared" si="11"/>
        <v>381.00000000008549</v>
      </c>
      <c r="AG61" s="53">
        <f t="shared" si="2"/>
        <v>89.156986397573448</v>
      </c>
    </row>
    <row r="62" spans="1:33" x14ac:dyDescent="0.3">
      <c r="A62" s="40">
        <v>41579</v>
      </c>
      <c r="B62" s="41">
        <v>319.601</v>
      </c>
      <c r="C62" s="42">
        <v>13.429</v>
      </c>
      <c r="D62" s="42">
        <v>80.168000000000006</v>
      </c>
      <c r="E62" s="43">
        <v>1265.431</v>
      </c>
      <c r="F62" s="43">
        <v>64.216999999999999</v>
      </c>
      <c r="G62" s="43">
        <v>425.96199999999999</v>
      </c>
      <c r="H62" s="43">
        <v>1123.5219999999999</v>
      </c>
      <c r="I62" s="43">
        <v>254.68700000000001</v>
      </c>
      <c r="J62" s="43">
        <v>544.54</v>
      </c>
      <c r="K62" s="43">
        <v>160.03100000000001</v>
      </c>
      <c r="L62" s="43">
        <v>852.06799999999998</v>
      </c>
      <c r="M62" s="43">
        <v>368.74299999999999</v>
      </c>
      <c r="N62" s="43">
        <v>284.42599999999999</v>
      </c>
      <c r="O62" s="43">
        <v>368.97300000000001</v>
      </c>
      <c r="P62" s="43">
        <v>0.86599999999999999</v>
      </c>
      <c r="Q62" s="44">
        <v>6126.6640000000007</v>
      </c>
      <c r="S62" s="49">
        <f t="shared" si="3"/>
        <v>41579</v>
      </c>
      <c r="T62" s="22">
        <f t="shared" si="4"/>
        <v>1.6116254136555597E-3</v>
      </c>
      <c r="U62" s="26">
        <f t="shared" si="5"/>
        <v>9858.0000000001746</v>
      </c>
      <c r="W62" s="22">
        <f t="shared" si="6"/>
        <v>-4.1154798918119351E-4</v>
      </c>
      <c r="X62" s="26">
        <f t="shared" si="7"/>
        <v>-520.99999999995816</v>
      </c>
      <c r="Y62" s="53">
        <f t="shared" si="0"/>
        <v>99.958845201081886</v>
      </c>
      <c r="AA62" s="22">
        <f t="shared" si="8"/>
        <v>-1.2120003339610608E-2</v>
      </c>
      <c r="AB62" s="26">
        <f t="shared" si="9"/>
        <v>-5225.9999999999991</v>
      </c>
      <c r="AC62" s="53">
        <f t="shared" si="1"/>
        <v>90.429728134646169</v>
      </c>
      <c r="AE62" s="22">
        <f t="shared" si="10"/>
        <v>1.1245166004312246E-3</v>
      </c>
      <c r="AF62" s="26">
        <f t="shared" si="11"/>
        <v>1261.9999999999436</v>
      </c>
      <c r="AG62" s="53">
        <f t="shared" si="2"/>
        <v>89.257244908821946</v>
      </c>
    </row>
    <row r="63" spans="1:33" x14ac:dyDescent="0.3">
      <c r="A63" s="40">
        <v>41609</v>
      </c>
      <c r="B63" s="41">
        <v>325.86200000000002</v>
      </c>
      <c r="C63" s="42">
        <v>13.462999999999999</v>
      </c>
      <c r="D63" s="42">
        <v>80.900000000000006</v>
      </c>
      <c r="E63" s="43">
        <v>1264.9069999999999</v>
      </c>
      <c r="F63" s="43">
        <v>64.468999999999994</v>
      </c>
      <c r="G63" s="43">
        <v>425.03800000000001</v>
      </c>
      <c r="H63" s="43">
        <v>1125.546</v>
      </c>
      <c r="I63" s="43">
        <v>255.30099999999999</v>
      </c>
      <c r="J63" s="43">
        <v>544.51</v>
      </c>
      <c r="K63" s="43">
        <v>160.29499999999999</v>
      </c>
      <c r="L63" s="43">
        <v>837.23900000000003</v>
      </c>
      <c r="M63" s="43">
        <v>370.37799999999999</v>
      </c>
      <c r="N63" s="43">
        <v>285.17500000000001</v>
      </c>
      <c r="O63" s="43">
        <v>368.81799999999998</v>
      </c>
      <c r="P63" s="43">
        <v>0.85799999999999998</v>
      </c>
      <c r="Q63" s="44">
        <v>6122.7590000000009</v>
      </c>
      <c r="S63" s="49">
        <f t="shared" si="3"/>
        <v>41609</v>
      </c>
      <c r="T63" s="22">
        <f t="shared" si="4"/>
        <v>-6.3737786175310784E-4</v>
      </c>
      <c r="U63" s="26">
        <f t="shared" si="5"/>
        <v>-3904.9999999997453</v>
      </c>
      <c r="W63" s="22">
        <f t="shared" si="6"/>
        <v>-4.1408816442789487E-4</v>
      </c>
      <c r="X63" s="26">
        <f t="shared" si="7"/>
        <v>-524.0000000001146</v>
      </c>
      <c r="Y63" s="53">
        <f t="shared" si="0"/>
        <v>99.917453426354228</v>
      </c>
      <c r="AA63" s="22">
        <f t="shared" si="8"/>
        <v>-2.1692075818968704E-3</v>
      </c>
      <c r="AB63" s="26">
        <f t="shared" si="9"/>
        <v>-923.99999999997817</v>
      </c>
      <c r="AC63" s="53">
        <f t="shared" si="1"/>
        <v>90.233567282747615</v>
      </c>
      <c r="AE63" s="22">
        <f t="shared" si="10"/>
        <v>1.8014778526811437E-3</v>
      </c>
      <c r="AF63" s="26">
        <f t="shared" si="11"/>
        <v>2024.0000000001146</v>
      </c>
      <c r="AG63" s="53">
        <f t="shared" si="2"/>
        <v>89.418039858716526</v>
      </c>
    </row>
    <row r="64" spans="1:33" x14ac:dyDescent="0.3">
      <c r="A64" s="40">
        <v>41640</v>
      </c>
      <c r="B64" s="41">
        <v>325.209</v>
      </c>
      <c r="C64" s="42">
        <v>12.952</v>
      </c>
      <c r="D64" s="42">
        <v>81.453999999999994</v>
      </c>
      <c r="E64" s="43">
        <v>1260.3820000000001</v>
      </c>
      <c r="F64" s="43">
        <v>64.893000000000001</v>
      </c>
      <c r="G64" s="43">
        <v>422.69900000000001</v>
      </c>
      <c r="H64" s="43">
        <v>1126.838</v>
      </c>
      <c r="I64" s="43">
        <v>257.17399999999998</v>
      </c>
      <c r="J64" s="43">
        <v>544.68200000000002</v>
      </c>
      <c r="K64" s="43">
        <v>160.268</v>
      </c>
      <c r="L64" s="43">
        <v>836.61</v>
      </c>
      <c r="M64" s="43">
        <v>367.19799999999998</v>
      </c>
      <c r="N64" s="43">
        <v>285.96899999999999</v>
      </c>
      <c r="O64" s="43">
        <v>368.387</v>
      </c>
      <c r="P64" s="43">
        <v>0.89800000000000002</v>
      </c>
      <c r="Q64" s="44">
        <v>6115.6129999999994</v>
      </c>
      <c r="S64" s="49">
        <f t="shared" si="3"/>
        <v>41640</v>
      </c>
      <c r="T64" s="22">
        <f t="shared" si="4"/>
        <v>-1.1671209008882188E-3</v>
      </c>
      <c r="U64" s="26">
        <f t="shared" si="5"/>
        <v>-7146.0000000015498</v>
      </c>
      <c r="W64" s="22">
        <f t="shared" si="6"/>
        <v>-3.577338096792726E-3</v>
      </c>
      <c r="X64" s="26">
        <f t="shared" si="7"/>
        <v>-4524.9999999998636</v>
      </c>
      <c r="Y64" s="53">
        <f t="shared" si="0"/>
        <v>99.56001491367762</v>
      </c>
      <c r="AA64" s="22">
        <f t="shared" si="8"/>
        <v>-5.5030373754817452E-3</v>
      </c>
      <c r="AB64" s="26">
        <f t="shared" si="9"/>
        <v>-2338.9999999999986</v>
      </c>
      <c r="AC64" s="53">
        <f t="shared" si="1"/>
        <v>89.737008589467621</v>
      </c>
      <c r="AE64" s="22">
        <f t="shared" si="10"/>
        <v>1.1478873364569875E-3</v>
      </c>
      <c r="AF64" s="26">
        <f t="shared" si="11"/>
        <v>1291.9999999999163</v>
      </c>
      <c r="AG64" s="53">
        <f t="shared" si="2"/>
        <v>89.520681694321169</v>
      </c>
    </row>
    <row r="65" spans="1:33" x14ac:dyDescent="0.3">
      <c r="A65" s="40">
        <v>41671</v>
      </c>
      <c r="B65" s="41">
        <v>321.18400000000003</v>
      </c>
      <c r="C65" s="42">
        <v>12.944000000000001</v>
      </c>
      <c r="D65" s="42">
        <v>82.242000000000004</v>
      </c>
      <c r="E65" s="43">
        <v>1258.009</v>
      </c>
      <c r="F65" s="43">
        <v>65.052999999999997</v>
      </c>
      <c r="G65" s="43">
        <v>420.71300000000002</v>
      </c>
      <c r="H65" s="43">
        <v>1126.75</v>
      </c>
      <c r="I65" s="43">
        <v>256.077</v>
      </c>
      <c r="J65" s="43">
        <v>544.96</v>
      </c>
      <c r="K65" s="43">
        <v>160.476</v>
      </c>
      <c r="L65" s="43">
        <v>834.74300000000005</v>
      </c>
      <c r="M65" s="43">
        <v>370.262</v>
      </c>
      <c r="N65" s="43">
        <v>286.74599999999998</v>
      </c>
      <c r="O65" s="43">
        <v>368.45</v>
      </c>
      <c r="P65" s="43">
        <v>0.91200000000000003</v>
      </c>
      <c r="Q65" s="44">
        <v>6109.5210000000006</v>
      </c>
      <c r="S65" s="49">
        <f t="shared" si="3"/>
        <v>41671</v>
      </c>
      <c r="T65" s="22">
        <f t="shared" si="4"/>
        <v>-9.9613889891314589E-4</v>
      </c>
      <c r="U65" s="26">
        <f t="shared" si="5"/>
        <v>-6091.999999998734</v>
      </c>
      <c r="W65" s="22">
        <f t="shared" si="6"/>
        <v>-1.8827625275512627E-3</v>
      </c>
      <c r="X65" s="26">
        <f t="shared" si="7"/>
        <v>-2373.0000000000473</v>
      </c>
      <c r="Y65" s="53">
        <f t="shared" si="0"/>
        <v>99.372567048355705</v>
      </c>
      <c r="AA65" s="22">
        <f t="shared" si="8"/>
        <v>-4.6983787517831388E-3</v>
      </c>
      <c r="AB65" s="26">
        <f t="shared" si="9"/>
        <v>-1985.99999999999</v>
      </c>
      <c r="AC65" s="53">
        <f t="shared" si="1"/>
        <v>89.315390135062273</v>
      </c>
      <c r="AE65" s="22">
        <f t="shared" si="10"/>
        <v>-7.8094632946279496E-5</v>
      </c>
      <c r="AF65" s="26">
        <f t="shared" si="11"/>
        <v>-87.999999999965439</v>
      </c>
      <c r="AG65" s="53">
        <f t="shared" si="2"/>
        <v>89.513690609543133</v>
      </c>
    </row>
    <row r="66" spans="1:33" x14ac:dyDescent="0.3">
      <c r="A66" s="40">
        <v>41699</v>
      </c>
      <c r="B66" s="41">
        <v>320.89699999999999</v>
      </c>
      <c r="C66" s="42">
        <v>12.657999999999999</v>
      </c>
      <c r="D66" s="42">
        <v>82.631</v>
      </c>
      <c r="E66" s="43">
        <v>1253.2190000000001</v>
      </c>
      <c r="F66" s="43">
        <v>65.126000000000005</v>
      </c>
      <c r="G66" s="43">
        <v>417.82100000000003</v>
      </c>
      <c r="H66" s="43">
        <v>1121.395</v>
      </c>
      <c r="I66" s="43">
        <v>255.52600000000001</v>
      </c>
      <c r="J66" s="43">
        <v>543.63800000000003</v>
      </c>
      <c r="K66" s="43">
        <v>160.23099999999999</v>
      </c>
      <c r="L66" s="43">
        <v>830.26900000000001</v>
      </c>
      <c r="M66" s="43">
        <v>370.91199999999998</v>
      </c>
      <c r="N66" s="43">
        <v>286.67200000000003</v>
      </c>
      <c r="O66" s="43">
        <v>368.53899999999999</v>
      </c>
      <c r="P66" s="43">
        <v>0.89100000000000001</v>
      </c>
      <c r="Q66" s="44">
        <v>6090.4250000000002</v>
      </c>
      <c r="S66" s="49">
        <f t="shared" si="3"/>
        <v>41699</v>
      </c>
      <c r="T66" s="22">
        <f t="shared" si="4"/>
        <v>-3.1256132845767226E-3</v>
      </c>
      <c r="U66" s="26">
        <f t="shared" si="5"/>
        <v>-19096.000000000458</v>
      </c>
      <c r="W66" s="22">
        <f t="shared" si="6"/>
        <v>-3.807603920162661E-3</v>
      </c>
      <c r="X66" s="26">
        <f t="shared" si="7"/>
        <v>-4789.9999999999636</v>
      </c>
      <c r="Y66" s="53">
        <f t="shared" si="0"/>
        <v>98.994195672505754</v>
      </c>
      <c r="AA66" s="22">
        <f t="shared" si="8"/>
        <v>-6.8740447763677714E-3</v>
      </c>
      <c r="AB66" s="26">
        <f t="shared" si="9"/>
        <v>-2891.9999999999959</v>
      </c>
      <c r="AC66" s="53">
        <f t="shared" si="1"/>
        <v>88.701432144055104</v>
      </c>
      <c r="AE66" s="22">
        <f t="shared" si="10"/>
        <v>-4.7526070556911382E-3</v>
      </c>
      <c r="AF66" s="26">
        <f t="shared" si="11"/>
        <v>-5355.0000000000182</v>
      </c>
      <c r="AG66" s="53">
        <f t="shared" si="2"/>
        <v>89.088267211971271</v>
      </c>
    </row>
    <row r="67" spans="1:33" x14ac:dyDescent="0.3">
      <c r="A67" s="40">
        <v>41730</v>
      </c>
      <c r="B67" s="41">
        <v>322.77100000000002</v>
      </c>
      <c r="C67" s="42">
        <v>13.012</v>
      </c>
      <c r="D67" s="42">
        <v>83.298000000000002</v>
      </c>
      <c r="E67" s="43">
        <v>1252.2850000000001</v>
      </c>
      <c r="F67" s="43">
        <v>65.524000000000001</v>
      </c>
      <c r="G67" s="43">
        <v>417.55500000000001</v>
      </c>
      <c r="H67" s="43">
        <v>1121.6389999999999</v>
      </c>
      <c r="I67" s="43">
        <v>255.083</v>
      </c>
      <c r="J67" s="43">
        <v>544.80899999999997</v>
      </c>
      <c r="K67" s="43">
        <v>160.102</v>
      </c>
      <c r="L67" s="43">
        <v>830.52200000000005</v>
      </c>
      <c r="M67" s="43">
        <v>372.00200000000001</v>
      </c>
      <c r="N67" s="43">
        <v>287.12</v>
      </c>
      <c r="O67" s="43">
        <v>368.55700000000002</v>
      </c>
      <c r="P67" s="43">
        <v>0.88200000000000001</v>
      </c>
      <c r="Q67" s="44">
        <v>6095.1609999999991</v>
      </c>
      <c r="S67" s="49">
        <f t="shared" si="3"/>
        <v>41730</v>
      </c>
      <c r="T67" s="22">
        <f t="shared" si="4"/>
        <v>7.7761404171283743E-4</v>
      </c>
      <c r="U67" s="26">
        <f t="shared" si="5"/>
        <v>4735.9999999989668</v>
      </c>
      <c r="W67" s="22">
        <f t="shared" si="6"/>
        <v>-7.4528075300483998E-4</v>
      </c>
      <c r="X67" s="26">
        <f t="shared" si="7"/>
        <v>-933.99999999996908</v>
      </c>
      <c r="Y67" s="53">
        <f t="shared" si="0"/>
        <v>98.920417203811837</v>
      </c>
      <c r="AA67" s="22">
        <f t="shared" si="8"/>
        <v>-6.3663626289733877E-4</v>
      </c>
      <c r="AB67" s="26">
        <f t="shared" si="9"/>
        <v>-266.00000000001955</v>
      </c>
      <c r="AC67" s="53">
        <f t="shared" si="1"/>
        <v>88.644961595781282</v>
      </c>
      <c r="AE67" s="22">
        <f t="shared" si="10"/>
        <v>2.1758613155919981E-4</v>
      </c>
      <c r="AF67" s="26">
        <f t="shared" si="11"/>
        <v>243.99999999991451</v>
      </c>
      <c r="AG67" s="53">
        <f t="shared" si="2"/>
        <v>89.10765158340125</v>
      </c>
    </row>
    <row r="68" spans="1:33" x14ac:dyDescent="0.3">
      <c r="A68" s="40">
        <v>41760</v>
      </c>
      <c r="B68" s="41">
        <v>323.81900000000002</v>
      </c>
      <c r="C68" s="42">
        <v>13.186999999999999</v>
      </c>
      <c r="D68" s="42">
        <v>83.772000000000006</v>
      </c>
      <c r="E68" s="43">
        <v>1250.5250000000001</v>
      </c>
      <c r="F68" s="43">
        <v>65.888000000000005</v>
      </c>
      <c r="G68" s="43">
        <v>420.05399999999997</v>
      </c>
      <c r="H68" s="43">
        <v>1122.3219999999999</v>
      </c>
      <c r="I68" s="43">
        <v>255.72800000000001</v>
      </c>
      <c r="J68" s="43">
        <v>545.54499999999996</v>
      </c>
      <c r="K68" s="43">
        <v>160.05500000000001</v>
      </c>
      <c r="L68" s="43">
        <v>831.67899999999997</v>
      </c>
      <c r="M68" s="43">
        <v>373.76600000000002</v>
      </c>
      <c r="N68" s="43">
        <v>287.58499999999998</v>
      </c>
      <c r="O68" s="43">
        <v>369.32100000000003</v>
      </c>
      <c r="P68" s="43">
        <v>0.88600000000000001</v>
      </c>
      <c r="Q68" s="44">
        <v>6104.1320000000005</v>
      </c>
      <c r="S68" s="49">
        <f t="shared" si="3"/>
        <v>41760</v>
      </c>
      <c r="T68" s="22">
        <f t="shared" si="4"/>
        <v>1.4718233037653849E-3</v>
      </c>
      <c r="U68" s="26">
        <f t="shared" si="5"/>
        <v>8971.0000000013679</v>
      </c>
      <c r="W68" s="22">
        <f t="shared" si="6"/>
        <v>-1.4054308723653319E-3</v>
      </c>
      <c r="X68" s="26">
        <f t="shared" si="7"/>
        <v>-1759.9999999999909</v>
      </c>
      <c r="Y68" s="53">
        <f t="shared" si="0"/>
        <v>98.781391395566345</v>
      </c>
      <c r="AA68" s="22">
        <f t="shared" si="8"/>
        <v>5.9848403204367795E-3</v>
      </c>
      <c r="AB68" s="26">
        <f t="shared" si="9"/>
        <v>2498.9999999999668</v>
      </c>
      <c r="AC68" s="53">
        <f t="shared" si="1"/>
        <v>89.175487536143265</v>
      </c>
      <c r="AE68" s="22">
        <f t="shared" si="10"/>
        <v>6.0893032428444016E-4</v>
      </c>
      <c r="AF68" s="26">
        <f t="shared" si="11"/>
        <v>682.99999999999272</v>
      </c>
      <c r="AG68" s="53">
        <f t="shared" si="2"/>
        <v>89.161911934576139</v>
      </c>
    </row>
    <row r="69" spans="1:33" x14ac:dyDescent="0.3">
      <c r="A69" s="40">
        <v>41791</v>
      </c>
      <c r="B69" s="41">
        <v>326.36900000000003</v>
      </c>
      <c r="C69" s="42">
        <v>13.481999999999999</v>
      </c>
      <c r="D69" s="42">
        <v>84.32</v>
      </c>
      <c r="E69" s="43">
        <v>1249.4929999999999</v>
      </c>
      <c r="F69" s="43">
        <v>66.099999999999994</v>
      </c>
      <c r="G69" s="43">
        <v>422.56</v>
      </c>
      <c r="H69" s="43">
        <v>1123.2560000000001</v>
      </c>
      <c r="I69" s="43">
        <v>256.44299999999998</v>
      </c>
      <c r="J69" s="43">
        <v>546.81700000000001</v>
      </c>
      <c r="K69" s="43">
        <v>159.96</v>
      </c>
      <c r="L69" s="43">
        <v>830.71500000000003</v>
      </c>
      <c r="M69" s="43">
        <v>374.06299999999999</v>
      </c>
      <c r="N69" s="43">
        <v>288.43</v>
      </c>
      <c r="O69" s="43">
        <v>367.42</v>
      </c>
      <c r="P69" s="43">
        <v>0.88700000000000001</v>
      </c>
      <c r="Q69" s="44">
        <v>6110.3150000000005</v>
      </c>
      <c r="S69" s="49">
        <f t="shared" si="3"/>
        <v>41791</v>
      </c>
      <c r="T69" s="22">
        <f t="shared" si="4"/>
        <v>1.0129204283262361E-3</v>
      </c>
      <c r="U69" s="26">
        <f t="shared" si="5"/>
        <v>6182.9999999999927</v>
      </c>
      <c r="W69" s="22">
        <f t="shared" si="6"/>
        <v>-8.2525339357486516E-4</v>
      </c>
      <c r="X69" s="26">
        <f t="shared" si="7"/>
        <v>-1032.0000000001528</v>
      </c>
      <c r="Y69" s="53">
        <f t="shared" ref="Y69:Y132" si="12">E69/$E$61*100</f>
        <v>98.699871717095107</v>
      </c>
      <c r="AA69" s="22">
        <f t="shared" si="8"/>
        <v>5.9658996224296601E-3</v>
      </c>
      <c r="AB69" s="26">
        <f t="shared" si="9"/>
        <v>2506.0000000000286</v>
      </c>
      <c r="AC69" s="53">
        <f t="shared" ref="AC69:AC132" si="13">G69/$G$176*100</f>
        <v>89.707499543565135</v>
      </c>
      <c r="AE69" s="22">
        <f t="shared" si="10"/>
        <v>8.3220323579169531E-4</v>
      </c>
      <c r="AF69" s="26">
        <f t="shared" si="11"/>
        <v>934.00000000019645</v>
      </c>
      <c r="AG69" s="53">
        <f t="shared" ref="AG69:AG132" si="14">H69/$H$200*100</f>
        <v>89.236112766197479</v>
      </c>
    </row>
    <row r="70" spans="1:33" x14ac:dyDescent="0.3">
      <c r="A70" s="40">
        <v>41821</v>
      </c>
      <c r="B70" s="41">
        <v>328.49200000000002</v>
      </c>
      <c r="C70" s="42">
        <v>13.477</v>
      </c>
      <c r="D70" s="42">
        <v>84.531000000000006</v>
      </c>
      <c r="E70" s="43">
        <v>1247.424</v>
      </c>
      <c r="F70" s="43">
        <v>66.409000000000006</v>
      </c>
      <c r="G70" s="43">
        <v>423.02100000000002</v>
      </c>
      <c r="H70" s="43">
        <v>1123.7929999999999</v>
      </c>
      <c r="I70" s="43">
        <v>256.04599999999999</v>
      </c>
      <c r="J70" s="43">
        <v>545.98699999999997</v>
      </c>
      <c r="K70" s="43">
        <v>160.13200000000001</v>
      </c>
      <c r="L70" s="43">
        <v>828.87699999999995</v>
      </c>
      <c r="M70" s="43">
        <v>375.55099999999999</v>
      </c>
      <c r="N70" s="43">
        <v>289.029</v>
      </c>
      <c r="O70" s="43">
        <v>368.54899999999998</v>
      </c>
      <c r="P70" s="43">
        <v>0.88900000000000001</v>
      </c>
      <c r="Q70" s="44">
        <v>6112.2070000000003</v>
      </c>
      <c r="S70" s="49">
        <f t="shared" ref="S70:S133" si="15">A70</f>
        <v>41821</v>
      </c>
      <c r="T70" s="22">
        <f t="shared" ref="T70:T133" si="16">Q70/Q69-1</f>
        <v>3.0964033769120825E-4</v>
      </c>
      <c r="U70" s="26">
        <f t="shared" ref="U70:U133" si="17">(Q70-Q69)*1000</f>
        <v>1891.9999999998254</v>
      </c>
      <c r="W70" s="22">
        <f t="shared" ref="W70:W133" si="18">E70/E69-1</f>
        <v>-1.655871621529692E-3</v>
      </c>
      <c r="X70" s="26">
        <f t="shared" ref="X70:X133" si="19">(E70-E69)*1000</f>
        <v>-2068.99999999996</v>
      </c>
      <c r="Y70" s="53">
        <f t="shared" si="12"/>
        <v>98.536437400470163</v>
      </c>
      <c r="AA70" s="22">
        <f t="shared" ref="AA70:AA133" si="20">G70/G69-1</f>
        <v>1.0909693297993517E-3</v>
      </c>
      <c r="AB70" s="26">
        <f t="shared" ref="AB70:AB133" si="21">(G70-G69)*1000</f>
        <v>461.00000000001273</v>
      </c>
      <c r="AC70" s="53">
        <f t="shared" si="13"/>
        <v>89.805367674220136</v>
      </c>
      <c r="AE70" s="22">
        <f t="shared" ref="AE70:AE133" si="22">H70/H69-1</f>
        <v>4.7807445497705103E-4</v>
      </c>
      <c r="AF70" s="26">
        <f t="shared" ref="AF70:AF133" si="23">(H70-H69)*1000</f>
        <v>536.99999999980719</v>
      </c>
      <c r="AG70" s="53">
        <f t="shared" si="14"/>
        <v>89.278774272172441</v>
      </c>
    </row>
    <row r="71" spans="1:33" x14ac:dyDescent="0.3">
      <c r="A71" s="40">
        <v>41852</v>
      </c>
      <c r="B71" s="41">
        <v>328.54700000000003</v>
      </c>
      <c r="C71" s="42">
        <v>13.237</v>
      </c>
      <c r="D71" s="42">
        <v>85.015000000000001</v>
      </c>
      <c r="E71" s="43">
        <v>1245.7429999999999</v>
      </c>
      <c r="F71" s="43">
        <v>66.564999999999998</v>
      </c>
      <c r="G71" s="43">
        <v>424.30200000000002</v>
      </c>
      <c r="H71" s="43">
        <v>1123.306</v>
      </c>
      <c r="I71" s="43">
        <v>256.15699999999998</v>
      </c>
      <c r="J71" s="43">
        <v>546.28099999999995</v>
      </c>
      <c r="K71" s="43">
        <v>160.08500000000001</v>
      </c>
      <c r="L71" s="43">
        <v>825.03700000000003</v>
      </c>
      <c r="M71" s="43">
        <v>376.13600000000002</v>
      </c>
      <c r="N71" s="43">
        <v>289.57</v>
      </c>
      <c r="O71" s="43">
        <v>369.46300000000002</v>
      </c>
      <c r="P71" s="43">
        <v>0.90400000000000003</v>
      </c>
      <c r="Q71" s="44">
        <v>6110.3480000000009</v>
      </c>
      <c r="S71" s="49">
        <f t="shared" si="15"/>
        <v>41852</v>
      </c>
      <c r="T71" s="22">
        <f t="shared" si="16"/>
        <v>-3.0414545842438745E-4</v>
      </c>
      <c r="U71" s="26">
        <f t="shared" si="17"/>
        <v>-1858.9999999994689</v>
      </c>
      <c r="W71" s="22">
        <f t="shared" si="18"/>
        <v>-1.3475770868606185E-3</v>
      </c>
      <c r="X71" s="26">
        <f t="shared" si="19"/>
        <v>-1681.00000000004</v>
      </c>
      <c r="Y71" s="53">
        <f t="shared" si="12"/>
        <v>98.403651955208403</v>
      </c>
      <c r="AA71" s="22">
        <f t="shared" si="20"/>
        <v>3.028218457239662E-3</v>
      </c>
      <c r="AB71" s="26">
        <f t="shared" si="21"/>
        <v>1281.0000000000059</v>
      </c>
      <c r="AC71" s="53">
        <f t="shared" si="13"/>
        <v>90.07731794617041</v>
      </c>
      <c r="AE71" s="22">
        <f t="shared" si="22"/>
        <v>-4.3335382939724276E-4</v>
      </c>
      <c r="AF71" s="26">
        <f t="shared" si="23"/>
        <v>-486.99999999985266</v>
      </c>
      <c r="AG71" s="53">
        <f t="shared" si="14"/>
        <v>89.240084973457712</v>
      </c>
    </row>
    <row r="72" spans="1:33" x14ac:dyDescent="0.3">
      <c r="A72" s="40">
        <v>41883</v>
      </c>
      <c r="B72" s="41">
        <v>329.38499999999999</v>
      </c>
      <c r="C72" s="42">
        <v>13.343999999999999</v>
      </c>
      <c r="D72" s="42">
        <v>85.346000000000004</v>
      </c>
      <c r="E72" s="43">
        <v>1244.883</v>
      </c>
      <c r="F72" s="43">
        <v>66.706999999999994</v>
      </c>
      <c r="G72" s="43">
        <v>426.25099999999998</v>
      </c>
      <c r="H72" s="43">
        <v>1122.9349999999999</v>
      </c>
      <c r="I72" s="43">
        <v>255.79300000000001</v>
      </c>
      <c r="J72" s="43">
        <v>546.99</v>
      </c>
      <c r="K72" s="43">
        <v>158.12899999999999</v>
      </c>
      <c r="L72" s="43">
        <v>828.024</v>
      </c>
      <c r="M72" s="43">
        <v>378.97500000000002</v>
      </c>
      <c r="N72" s="43">
        <v>292.60899999999998</v>
      </c>
      <c r="O72" s="43">
        <v>369.82299999999998</v>
      </c>
      <c r="P72" s="43">
        <v>0.88200000000000001</v>
      </c>
      <c r="Q72" s="44">
        <v>6120.0760000000009</v>
      </c>
      <c r="S72" s="49">
        <f t="shared" si="15"/>
        <v>41883</v>
      </c>
      <c r="T72" s="22">
        <f t="shared" si="16"/>
        <v>1.5920533494981903E-3</v>
      </c>
      <c r="U72" s="26">
        <f t="shared" si="17"/>
        <v>9728.0000000000655</v>
      </c>
      <c r="W72" s="22">
        <f t="shared" si="18"/>
        <v>-6.9035105956838372E-4</v>
      </c>
      <c r="X72" s="26">
        <f t="shared" si="19"/>
        <v>-859.99999999989996</v>
      </c>
      <c r="Y72" s="53">
        <f t="shared" si="12"/>
        <v>98.335718889815723</v>
      </c>
      <c r="AA72" s="22">
        <f t="shared" si="20"/>
        <v>4.5934263802667186E-3</v>
      </c>
      <c r="AB72" s="26">
        <f t="shared" si="21"/>
        <v>1948.9999999999554</v>
      </c>
      <c r="AC72" s="53">
        <f t="shared" si="13"/>
        <v>90.491081474688031</v>
      </c>
      <c r="AE72" s="22">
        <f t="shared" si="22"/>
        <v>-3.30275098681998E-4</v>
      </c>
      <c r="AF72" s="26">
        <f t="shared" si="23"/>
        <v>-371.00000000009459</v>
      </c>
      <c r="AG72" s="53">
        <f t="shared" si="14"/>
        <v>89.210611195586708</v>
      </c>
    </row>
    <row r="73" spans="1:33" x14ac:dyDescent="0.3">
      <c r="A73" s="40">
        <v>41913</v>
      </c>
      <c r="B73" s="41">
        <v>330.87900000000002</v>
      </c>
      <c r="C73" s="42">
        <v>13.38</v>
      </c>
      <c r="D73" s="42">
        <v>85.930999999999997</v>
      </c>
      <c r="E73" s="43">
        <v>1244.05</v>
      </c>
      <c r="F73" s="43">
        <v>66.983999999999995</v>
      </c>
      <c r="G73" s="43">
        <v>429.36799999999999</v>
      </c>
      <c r="H73" s="43">
        <v>1123.075</v>
      </c>
      <c r="I73" s="43">
        <v>256.31099999999998</v>
      </c>
      <c r="J73" s="43">
        <v>546.50300000000004</v>
      </c>
      <c r="K73" s="43">
        <v>157.69</v>
      </c>
      <c r="L73" s="43">
        <v>827.72799999999995</v>
      </c>
      <c r="M73" s="43">
        <v>380.34899999999999</v>
      </c>
      <c r="N73" s="43">
        <v>293.09899999999999</v>
      </c>
      <c r="O73" s="43">
        <v>372.04</v>
      </c>
      <c r="P73" s="43">
        <v>0.88100000000000001</v>
      </c>
      <c r="Q73" s="44">
        <v>6128.2680000000009</v>
      </c>
      <c r="S73" s="49">
        <f t="shared" si="15"/>
        <v>41913</v>
      </c>
      <c r="T73" s="22">
        <f t="shared" si="16"/>
        <v>1.3385454690431065E-3</v>
      </c>
      <c r="U73" s="26">
        <f t="shared" si="17"/>
        <v>8192.0000000000073</v>
      </c>
      <c r="W73" s="22">
        <f t="shared" si="18"/>
        <v>-6.6913918818078955E-4</v>
      </c>
      <c r="X73" s="26">
        <f t="shared" si="19"/>
        <v>-833.00000000008367</v>
      </c>
      <c r="Y73" s="53">
        <f t="shared" si="12"/>
        <v>98.269918606708629</v>
      </c>
      <c r="AA73" s="22">
        <f t="shared" si="20"/>
        <v>7.3125928150314934E-3</v>
      </c>
      <c r="AB73" s="26">
        <f t="shared" si="21"/>
        <v>3117.0000000000186</v>
      </c>
      <c r="AC73" s="53">
        <f t="shared" si="13"/>
        <v>91.152805906904263</v>
      </c>
      <c r="AE73" s="22">
        <f t="shared" si="22"/>
        <v>1.2467328919307796E-4</v>
      </c>
      <c r="AF73" s="26">
        <f t="shared" si="23"/>
        <v>140.00000000010004</v>
      </c>
      <c r="AG73" s="53">
        <f t="shared" si="14"/>
        <v>89.221733375915392</v>
      </c>
    </row>
    <row r="74" spans="1:33" x14ac:dyDescent="0.3">
      <c r="A74" s="40">
        <v>41944</v>
      </c>
      <c r="B74" s="41">
        <v>330.899</v>
      </c>
      <c r="C74" s="42">
        <v>13.384</v>
      </c>
      <c r="D74" s="42">
        <v>86.512</v>
      </c>
      <c r="E74" s="43">
        <v>1243.212</v>
      </c>
      <c r="F74" s="43">
        <v>67.602000000000004</v>
      </c>
      <c r="G74" s="43">
        <v>431.77199999999999</v>
      </c>
      <c r="H74" s="43">
        <v>1123.5239999999999</v>
      </c>
      <c r="I74" s="43">
        <v>256.62400000000002</v>
      </c>
      <c r="J74" s="43">
        <v>547.23</v>
      </c>
      <c r="K74" s="43">
        <v>158.16200000000001</v>
      </c>
      <c r="L74" s="43">
        <v>830.03300000000002</v>
      </c>
      <c r="M74" s="43">
        <v>380.45400000000001</v>
      </c>
      <c r="N74" s="43">
        <v>293.55399999999997</v>
      </c>
      <c r="O74" s="43">
        <v>371.34199999999998</v>
      </c>
      <c r="P74" s="43">
        <v>0.89200000000000002</v>
      </c>
      <c r="Q74" s="44">
        <v>6135.1959999999999</v>
      </c>
      <c r="S74" s="49">
        <f t="shared" si="15"/>
        <v>41944</v>
      </c>
      <c r="T74" s="22">
        <f t="shared" si="16"/>
        <v>1.1304988619946776E-3</v>
      </c>
      <c r="U74" s="26">
        <f t="shared" si="17"/>
        <v>6927.9999999989741</v>
      </c>
      <c r="W74" s="22">
        <f t="shared" si="18"/>
        <v>-6.7360636630353632E-4</v>
      </c>
      <c r="X74" s="26">
        <f t="shared" si="19"/>
        <v>-837.99999999996544</v>
      </c>
      <c r="Y74" s="53">
        <f t="shared" si="12"/>
        <v>98.203723363919011</v>
      </c>
      <c r="AA74" s="22">
        <f t="shared" si="20"/>
        <v>5.5989267947309518E-3</v>
      </c>
      <c r="AB74" s="26">
        <f t="shared" si="21"/>
        <v>2403.9999999999964</v>
      </c>
      <c r="AC74" s="53">
        <f t="shared" si="13"/>
        <v>91.663163794311345</v>
      </c>
      <c r="AE74" s="22">
        <f t="shared" si="22"/>
        <v>3.9979520512867239E-4</v>
      </c>
      <c r="AF74" s="26">
        <f t="shared" si="23"/>
        <v>448.99999999984175</v>
      </c>
      <c r="AG74" s="53">
        <f t="shared" si="14"/>
        <v>89.257403797112346</v>
      </c>
    </row>
    <row r="75" spans="1:33" x14ac:dyDescent="0.3">
      <c r="A75" s="40">
        <v>41974</v>
      </c>
      <c r="B75" s="41">
        <v>330.21899999999999</v>
      </c>
      <c r="C75" s="42">
        <v>13.179</v>
      </c>
      <c r="D75" s="42">
        <v>87.120999999999995</v>
      </c>
      <c r="E75" s="43">
        <v>1242.6600000000001</v>
      </c>
      <c r="F75" s="43">
        <v>67.826999999999998</v>
      </c>
      <c r="G75" s="43">
        <v>433.59199999999998</v>
      </c>
      <c r="H75" s="43">
        <v>1124.498</v>
      </c>
      <c r="I75" s="43">
        <v>257.51600000000002</v>
      </c>
      <c r="J75" s="43">
        <v>548.50800000000004</v>
      </c>
      <c r="K75" s="43">
        <v>158.214</v>
      </c>
      <c r="L75" s="43">
        <v>830.34900000000005</v>
      </c>
      <c r="M75" s="43">
        <v>381.428</v>
      </c>
      <c r="N75" s="43">
        <v>294.28800000000001</v>
      </c>
      <c r="O75" s="43">
        <v>372.12799999999999</v>
      </c>
      <c r="P75" s="43">
        <v>0.90400000000000003</v>
      </c>
      <c r="Q75" s="44">
        <v>6142.4309999999996</v>
      </c>
      <c r="S75" s="49">
        <f t="shared" si="15"/>
        <v>41974</v>
      </c>
      <c r="T75" s="22">
        <f t="shared" si="16"/>
        <v>1.1792614286487701E-3</v>
      </c>
      <c r="U75" s="26">
        <f t="shared" si="17"/>
        <v>7234.9999999996726</v>
      </c>
      <c r="W75" s="22">
        <f t="shared" si="18"/>
        <v>-4.4401115819336923E-4</v>
      </c>
      <c r="X75" s="26">
        <f t="shared" si="19"/>
        <v>-551.99999999990723</v>
      </c>
      <c r="Y75" s="53">
        <f t="shared" si="12"/>
        <v>98.160119814969292</v>
      </c>
      <c r="AA75" s="22">
        <f t="shared" si="20"/>
        <v>4.215187645331353E-3</v>
      </c>
      <c r="AB75" s="26">
        <f t="shared" si="21"/>
        <v>1819.9999999999932</v>
      </c>
      <c r="AC75" s="53">
        <f t="shared" si="13"/>
        <v>92.049541229869106</v>
      </c>
      <c r="AE75" s="22">
        <f t="shared" si="22"/>
        <v>8.6691517048165245E-4</v>
      </c>
      <c r="AF75" s="26">
        <f t="shared" si="23"/>
        <v>974.00000000016007</v>
      </c>
      <c r="AG75" s="53">
        <f t="shared" si="14"/>
        <v>89.334782394541861</v>
      </c>
    </row>
    <row r="76" spans="1:33" x14ac:dyDescent="0.3">
      <c r="A76" s="40">
        <v>42005</v>
      </c>
      <c r="B76" s="41">
        <v>330.15100000000001</v>
      </c>
      <c r="C76" s="42">
        <v>13.007</v>
      </c>
      <c r="D76" s="42">
        <v>87.594999999999999</v>
      </c>
      <c r="E76" s="43">
        <v>1243.412</v>
      </c>
      <c r="F76" s="43">
        <v>67.938000000000002</v>
      </c>
      <c r="G76" s="43">
        <v>438.22500000000002</v>
      </c>
      <c r="H76" s="43">
        <v>1127.0999999999999</v>
      </c>
      <c r="I76" s="43">
        <v>261.28199999999998</v>
      </c>
      <c r="J76" s="43">
        <v>549.96799999999996</v>
      </c>
      <c r="K76" s="43">
        <v>158.34299999999999</v>
      </c>
      <c r="L76" s="43">
        <v>834.76499999999999</v>
      </c>
      <c r="M76" s="43">
        <v>382.68799999999999</v>
      </c>
      <c r="N76" s="43">
        <v>294.779</v>
      </c>
      <c r="O76" s="43">
        <v>373.41199999999998</v>
      </c>
      <c r="P76" s="43">
        <v>0.88700000000000001</v>
      </c>
      <c r="Q76" s="44">
        <v>6163.5520000000006</v>
      </c>
      <c r="S76" s="49">
        <f t="shared" si="15"/>
        <v>42005</v>
      </c>
      <c r="T76" s="22">
        <f t="shared" si="16"/>
        <v>3.4385408643582416E-3</v>
      </c>
      <c r="U76" s="26">
        <f t="shared" si="17"/>
        <v>21121.000000001004</v>
      </c>
      <c r="W76" s="22">
        <f t="shared" si="18"/>
        <v>6.0515346112377522E-4</v>
      </c>
      <c r="X76" s="26">
        <f t="shared" si="19"/>
        <v>751.99999999995271</v>
      </c>
      <c r="Y76" s="53">
        <f t="shared" si="12"/>
        <v>98.219521751219645</v>
      </c>
      <c r="AA76" s="22">
        <f t="shared" si="20"/>
        <v>1.0685160242809078E-2</v>
      </c>
      <c r="AB76" s="26">
        <f t="shared" si="21"/>
        <v>4633.0000000000382</v>
      </c>
      <c r="AC76" s="53">
        <f t="shared" si="13"/>
        <v>93.033105328187304</v>
      </c>
      <c r="AE76" s="22">
        <f t="shared" si="22"/>
        <v>2.3139214120433405E-3</v>
      </c>
      <c r="AF76" s="26">
        <f t="shared" si="23"/>
        <v>2601.9999999998618</v>
      </c>
      <c r="AG76" s="53">
        <f t="shared" si="14"/>
        <v>89.541496060364821</v>
      </c>
    </row>
    <row r="77" spans="1:33" x14ac:dyDescent="0.3">
      <c r="A77" s="40">
        <v>42036</v>
      </c>
      <c r="B77" s="41">
        <v>331.80399999999997</v>
      </c>
      <c r="C77" s="42">
        <v>13.11</v>
      </c>
      <c r="D77" s="42">
        <v>87.914000000000001</v>
      </c>
      <c r="E77" s="43">
        <v>1246.4739999999999</v>
      </c>
      <c r="F77" s="43">
        <v>68.162000000000006</v>
      </c>
      <c r="G77" s="43">
        <v>440.64</v>
      </c>
      <c r="H77" s="43">
        <v>1130.0609999999999</v>
      </c>
      <c r="I77" s="43">
        <v>261.81900000000002</v>
      </c>
      <c r="J77" s="43">
        <v>550.75800000000004</v>
      </c>
      <c r="K77" s="43">
        <v>158.58199999999999</v>
      </c>
      <c r="L77" s="43">
        <v>836.86400000000003</v>
      </c>
      <c r="M77" s="43">
        <v>381.81099999999998</v>
      </c>
      <c r="N77" s="43">
        <v>295.38799999999998</v>
      </c>
      <c r="O77" s="43">
        <v>373.67200000000003</v>
      </c>
      <c r="P77" s="43">
        <v>0.88800000000000001</v>
      </c>
      <c r="Q77" s="44">
        <v>6177.9469999999992</v>
      </c>
      <c r="S77" s="49">
        <f t="shared" si="15"/>
        <v>42036</v>
      </c>
      <c r="T77" s="22">
        <f t="shared" si="16"/>
        <v>2.3355039431804947E-3</v>
      </c>
      <c r="U77" s="26">
        <f t="shared" si="17"/>
        <v>14394.999999998618</v>
      </c>
      <c r="W77" s="22">
        <f t="shared" si="18"/>
        <v>2.4625787751766381E-3</v>
      </c>
      <c r="X77" s="26">
        <f t="shared" si="19"/>
        <v>3061.9999999998981</v>
      </c>
      <c r="Y77" s="53">
        <f t="shared" si="12"/>
        <v>98.461395060792185</v>
      </c>
      <c r="AA77" s="22">
        <f t="shared" si="20"/>
        <v>5.5108677049460209E-3</v>
      </c>
      <c r="AB77" s="26">
        <f t="shared" si="21"/>
        <v>2414.9999999999636</v>
      </c>
      <c r="AC77" s="53">
        <f t="shared" si="13"/>
        <v>93.545798463831247</v>
      </c>
      <c r="AE77" s="22">
        <f t="shared" si="22"/>
        <v>2.6270960873036042E-3</v>
      </c>
      <c r="AF77" s="26">
        <f t="shared" si="23"/>
        <v>2961.0000000000127</v>
      </c>
      <c r="AG77" s="53">
        <f t="shared" si="14"/>
        <v>89.776730174316327</v>
      </c>
    </row>
    <row r="78" spans="1:33" x14ac:dyDescent="0.3">
      <c r="A78" s="40">
        <v>42064</v>
      </c>
      <c r="B78" s="41">
        <v>328.887</v>
      </c>
      <c r="C78" s="42">
        <v>13.223000000000001</v>
      </c>
      <c r="D78" s="42">
        <v>88.063000000000002</v>
      </c>
      <c r="E78" s="43">
        <v>1246.433</v>
      </c>
      <c r="F78" s="43">
        <v>68.182000000000002</v>
      </c>
      <c r="G78" s="43">
        <v>445.93299999999999</v>
      </c>
      <c r="H78" s="43">
        <v>1132.0150000000001</v>
      </c>
      <c r="I78" s="43">
        <v>260.37299999999999</v>
      </c>
      <c r="J78" s="43">
        <v>551.13499999999999</v>
      </c>
      <c r="K78" s="43">
        <v>158.71100000000001</v>
      </c>
      <c r="L78" s="43">
        <v>838.10699999999997</v>
      </c>
      <c r="M78" s="43">
        <v>384.815</v>
      </c>
      <c r="N78" s="43">
        <v>296.35700000000003</v>
      </c>
      <c r="O78" s="43">
        <v>374.60300000000001</v>
      </c>
      <c r="P78" s="43">
        <v>0.89100000000000001</v>
      </c>
      <c r="Q78" s="44">
        <v>6187.7279999999992</v>
      </c>
      <c r="S78" s="49">
        <f t="shared" si="15"/>
        <v>42064</v>
      </c>
      <c r="T78" s="22">
        <f t="shared" si="16"/>
        <v>1.583212028202885E-3</v>
      </c>
      <c r="U78" s="26">
        <f t="shared" si="17"/>
        <v>9780.9999999999491</v>
      </c>
      <c r="W78" s="22">
        <f t="shared" si="18"/>
        <v>-3.2892783965010608E-5</v>
      </c>
      <c r="X78" s="26">
        <f t="shared" si="19"/>
        <v>-40.999999999939973</v>
      </c>
      <c r="Y78" s="53">
        <f t="shared" si="12"/>
        <v>98.458156391395562</v>
      </c>
      <c r="AA78" s="22">
        <f t="shared" si="20"/>
        <v>1.2012073347857699E-2</v>
      </c>
      <c r="AB78" s="26">
        <f t="shared" si="21"/>
        <v>5293.0000000000064</v>
      </c>
      <c r="AC78" s="53">
        <f t="shared" si="13"/>
        <v>94.669477456362699</v>
      </c>
      <c r="AE78" s="22">
        <f t="shared" si="22"/>
        <v>1.7291101984762136E-3</v>
      </c>
      <c r="AF78" s="26">
        <f t="shared" si="23"/>
        <v>1954.0000000001783</v>
      </c>
      <c r="AG78" s="53">
        <f t="shared" si="14"/>
        <v>89.931964034046587</v>
      </c>
    </row>
    <row r="79" spans="1:33" x14ac:dyDescent="0.3">
      <c r="A79" s="40">
        <v>42095</v>
      </c>
      <c r="B79" s="41">
        <v>331.32799999999997</v>
      </c>
      <c r="C79" s="42">
        <v>13.273</v>
      </c>
      <c r="D79" s="42">
        <v>88.013000000000005</v>
      </c>
      <c r="E79" s="43">
        <v>1251.8009999999999</v>
      </c>
      <c r="F79" s="43">
        <v>68.403999999999996</v>
      </c>
      <c r="G79" s="43">
        <v>452.77300000000002</v>
      </c>
      <c r="H79" s="43">
        <v>1137.3050000000001</v>
      </c>
      <c r="I79" s="43">
        <v>262.88900000000001</v>
      </c>
      <c r="J79" s="43">
        <v>554.05899999999997</v>
      </c>
      <c r="K79" s="43">
        <v>158.75</v>
      </c>
      <c r="L79" s="43">
        <v>842.60400000000004</v>
      </c>
      <c r="M79" s="43">
        <v>388.36399999999998</v>
      </c>
      <c r="N79" s="43">
        <v>297.45299999999997</v>
      </c>
      <c r="O79" s="43">
        <v>376.61599999999999</v>
      </c>
      <c r="P79" s="43">
        <v>0.86299999999999999</v>
      </c>
      <c r="Q79" s="44">
        <v>6224.4949999999999</v>
      </c>
      <c r="S79" s="49">
        <f t="shared" si="15"/>
        <v>42095</v>
      </c>
      <c r="T79" s="22">
        <f t="shared" si="16"/>
        <v>5.9419224633017187E-3</v>
      </c>
      <c r="U79" s="26">
        <f t="shared" si="17"/>
        <v>36767.000000000735</v>
      </c>
      <c r="W79" s="22">
        <f t="shared" si="18"/>
        <v>4.3066895693550933E-3</v>
      </c>
      <c r="X79" s="26">
        <f t="shared" si="19"/>
        <v>5367.9999999999382</v>
      </c>
      <c r="Y79" s="53">
        <f t="shared" si="12"/>
        <v>98.882185106544313</v>
      </c>
      <c r="AA79" s="22">
        <f t="shared" si="20"/>
        <v>1.5338627103174796E-2</v>
      </c>
      <c r="AB79" s="26">
        <f t="shared" si="21"/>
        <v>6840.0000000000318</v>
      </c>
      <c r="AC79" s="53">
        <f t="shared" si="13"/>
        <v>96.121577269118262</v>
      </c>
      <c r="AE79" s="22">
        <f t="shared" si="22"/>
        <v>4.6730829538477181E-3</v>
      </c>
      <c r="AF79" s="26">
        <f t="shared" si="23"/>
        <v>5289.9999999999636</v>
      </c>
      <c r="AG79" s="53">
        <f t="shared" si="14"/>
        <v>90.352223562180129</v>
      </c>
    </row>
    <row r="80" spans="1:33" x14ac:dyDescent="0.3">
      <c r="A80" s="40">
        <v>42125</v>
      </c>
      <c r="B80" s="41">
        <v>326.78899999999999</v>
      </c>
      <c r="C80" s="42">
        <v>13.381</v>
      </c>
      <c r="D80" s="42">
        <v>88.012</v>
      </c>
      <c r="E80" s="43">
        <v>1254.799</v>
      </c>
      <c r="F80" s="43">
        <v>68.97</v>
      </c>
      <c r="G80" s="43">
        <v>457.22800000000001</v>
      </c>
      <c r="H80" s="43">
        <v>1139.0429999999999</v>
      </c>
      <c r="I80" s="43">
        <v>262.41699999999997</v>
      </c>
      <c r="J80" s="43">
        <v>555.202</v>
      </c>
      <c r="K80" s="43">
        <v>158.92699999999999</v>
      </c>
      <c r="L80" s="43">
        <v>840.029</v>
      </c>
      <c r="M80" s="43">
        <v>388.25200000000001</v>
      </c>
      <c r="N80" s="43">
        <v>298.39400000000001</v>
      </c>
      <c r="O80" s="43">
        <v>376.24900000000002</v>
      </c>
      <c r="P80" s="43">
        <v>0.83199999999999996</v>
      </c>
      <c r="Q80" s="44">
        <v>6228.5239999999994</v>
      </c>
      <c r="S80" s="49">
        <f t="shared" si="15"/>
        <v>42125</v>
      </c>
      <c r="T80" s="22">
        <f t="shared" si="16"/>
        <v>6.4728142604342231E-4</v>
      </c>
      <c r="U80" s="26">
        <f t="shared" si="17"/>
        <v>4028.9999999995416</v>
      </c>
      <c r="W80" s="22">
        <f t="shared" si="18"/>
        <v>2.3949493569666025E-3</v>
      </c>
      <c r="X80" s="26">
        <f t="shared" si="19"/>
        <v>2998.0000000000473</v>
      </c>
      <c r="Y80" s="53">
        <f t="shared" si="12"/>
        <v>99.119002932180678</v>
      </c>
      <c r="AA80" s="22">
        <f t="shared" si="20"/>
        <v>9.8393676301369304E-3</v>
      </c>
      <c r="AB80" s="26">
        <f t="shared" si="21"/>
        <v>4454.9999999999836</v>
      </c>
      <c r="AC80" s="53">
        <f t="shared" si="13"/>
        <v>97.067352805057723</v>
      </c>
      <c r="AE80" s="22">
        <f t="shared" si="22"/>
        <v>1.5281740606081229E-3</v>
      </c>
      <c r="AF80" s="26">
        <f t="shared" si="23"/>
        <v>1737.999999999829</v>
      </c>
      <c r="AG80" s="53">
        <f t="shared" si="14"/>
        <v>90.490297486546126</v>
      </c>
    </row>
    <row r="81" spans="1:33" x14ac:dyDescent="0.3">
      <c r="A81" s="40">
        <v>42156</v>
      </c>
      <c r="B81" s="41">
        <v>323.70100000000002</v>
      </c>
      <c r="C81" s="42">
        <v>13.146000000000001</v>
      </c>
      <c r="D81" s="42">
        <v>87.751000000000005</v>
      </c>
      <c r="E81" s="43">
        <v>1255.4259999999999</v>
      </c>
      <c r="F81" s="43">
        <v>69.072000000000003</v>
      </c>
      <c r="G81" s="43">
        <v>463.65300000000002</v>
      </c>
      <c r="H81" s="43">
        <v>1142.269</v>
      </c>
      <c r="I81" s="43">
        <v>263.38900000000001</v>
      </c>
      <c r="J81" s="43">
        <v>556.37699999999995</v>
      </c>
      <c r="K81" s="43">
        <v>159.738</v>
      </c>
      <c r="L81" s="43">
        <v>846.5</v>
      </c>
      <c r="M81" s="43">
        <v>388.54199999999997</v>
      </c>
      <c r="N81" s="43">
        <v>299.399</v>
      </c>
      <c r="O81" s="43">
        <v>377.70299999999997</v>
      </c>
      <c r="P81" s="43">
        <v>0.82799999999999996</v>
      </c>
      <c r="Q81" s="44">
        <v>6247.4940000000015</v>
      </c>
      <c r="S81" s="49">
        <f t="shared" si="15"/>
        <v>42156</v>
      </c>
      <c r="T81" s="22">
        <f t="shared" si="16"/>
        <v>3.045665393599295E-3</v>
      </c>
      <c r="U81" s="26">
        <f t="shared" si="17"/>
        <v>18970.000000002074</v>
      </c>
      <c r="W81" s="22">
        <f t="shared" si="18"/>
        <v>4.996816223155065E-4</v>
      </c>
      <c r="X81" s="26">
        <f t="shared" si="19"/>
        <v>626.99999999995271</v>
      </c>
      <c r="Y81" s="53">
        <f t="shared" si="12"/>
        <v>99.168530876368138</v>
      </c>
      <c r="AA81" s="22">
        <f t="shared" si="20"/>
        <v>1.405207030190625E-2</v>
      </c>
      <c r="AB81" s="26">
        <f t="shared" si="21"/>
        <v>6425.0000000000109</v>
      </c>
      <c r="AC81" s="53">
        <f t="shared" si="13"/>
        <v>98.43135007069435</v>
      </c>
      <c r="AE81" s="22">
        <f t="shared" si="22"/>
        <v>2.8322021205522407E-3</v>
      </c>
      <c r="AF81" s="26">
        <f t="shared" si="23"/>
        <v>3226.0000000001128</v>
      </c>
      <c r="AG81" s="53">
        <f t="shared" si="14"/>
        <v>90.746584298976913</v>
      </c>
    </row>
    <row r="82" spans="1:33" x14ac:dyDescent="0.3">
      <c r="A82" s="40">
        <v>42186</v>
      </c>
      <c r="B82" s="41">
        <v>323.85899999999998</v>
      </c>
      <c r="C82" s="42">
        <v>12.781000000000001</v>
      </c>
      <c r="D82" s="42">
        <v>87.695999999999998</v>
      </c>
      <c r="E82" s="43">
        <v>1256.4169999999999</v>
      </c>
      <c r="F82" s="43">
        <v>69.599000000000004</v>
      </c>
      <c r="G82" s="43">
        <v>463.27199999999999</v>
      </c>
      <c r="H82" s="43">
        <v>1144.02</v>
      </c>
      <c r="I82" s="43">
        <v>264.05399999999997</v>
      </c>
      <c r="J82" s="43">
        <v>557.72699999999998</v>
      </c>
      <c r="K82" s="43">
        <v>160.149</v>
      </c>
      <c r="L82" s="43">
        <v>845.05700000000002</v>
      </c>
      <c r="M82" s="43">
        <v>389.43099999999998</v>
      </c>
      <c r="N82" s="43">
        <v>300.91800000000001</v>
      </c>
      <c r="O82" s="43">
        <v>377.46699999999998</v>
      </c>
      <c r="P82" s="43">
        <v>0.83099999999999996</v>
      </c>
      <c r="Q82" s="44">
        <v>6253.2779999999993</v>
      </c>
      <c r="S82" s="49">
        <f t="shared" si="15"/>
        <v>42186</v>
      </c>
      <c r="T82" s="22">
        <f t="shared" si="16"/>
        <v>9.2581121326373861E-4</v>
      </c>
      <c r="U82" s="26">
        <f t="shared" si="17"/>
        <v>5783.9999999978318</v>
      </c>
      <c r="W82" s="22">
        <f t="shared" si="18"/>
        <v>7.8937348756524806E-4</v>
      </c>
      <c r="X82" s="26">
        <f t="shared" si="19"/>
        <v>990.99999999998545</v>
      </c>
      <c r="Y82" s="53">
        <f t="shared" si="12"/>
        <v>99.246811885442725</v>
      </c>
      <c r="AA82" s="22">
        <f t="shared" si="20"/>
        <v>-8.2173522008921474E-4</v>
      </c>
      <c r="AB82" s="26">
        <f t="shared" si="21"/>
        <v>-381.00000000002865</v>
      </c>
      <c r="AC82" s="53">
        <f t="shared" si="13"/>
        <v>98.350465563580329</v>
      </c>
      <c r="AE82" s="22">
        <f t="shared" si="22"/>
        <v>1.5329138758033434E-3</v>
      </c>
      <c r="AF82" s="26">
        <f t="shared" si="23"/>
        <v>1750.9999999999764</v>
      </c>
      <c r="AG82" s="53">
        <f t="shared" si="14"/>
        <v>90.885690997230569</v>
      </c>
    </row>
    <row r="83" spans="1:33" x14ac:dyDescent="0.3">
      <c r="A83" s="40">
        <v>42217</v>
      </c>
      <c r="B83" s="41">
        <v>323.05200000000002</v>
      </c>
      <c r="C83" s="42">
        <v>12.935</v>
      </c>
      <c r="D83" s="42">
        <v>87.710999999999999</v>
      </c>
      <c r="E83" s="43">
        <v>1256.982</v>
      </c>
      <c r="F83" s="43">
        <v>69.734999999999999</v>
      </c>
      <c r="G83" s="43">
        <v>460.09300000000002</v>
      </c>
      <c r="H83" s="43">
        <v>1145.3610000000001</v>
      </c>
      <c r="I83" s="43">
        <v>264.964</v>
      </c>
      <c r="J83" s="43">
        <v>559.19899999999996</v>
      </c>
      <c r="K83" s="43">
        <v>160.25200000000001</v>
      </c>
      <c r="L83" s="43">
        <v>856.46199999999999</v>
      </c>
      <c r="M83" s="43">
        <v>390.505</v>
      </c>
      <c r="N83" s="43">
        <v>301.738</v>
      </c>
      <c r="O83" s="43">
        <v>377.14600000000002</v>
      </c>
      <c r="P83" s="43">
        <v>0.80300000000000005</v>
      </c>
      <c r="Q83" s="44">
        <v>6266.9379999999992</v>
      </c>
      <c r="S83" s="49">
        <f t="shared" si="15"/>
        <v>42217</v>
      </c>
      <c r="T83" s="22">
        <f t="shared" si="16"/>
        <v>2.1844542974100989E-3</v>
      </c>
      <c r="U83" s="26">
        <f t="shared" si="17"/>
        <v>13659.999999999854</v>
      </c>
      <c r="W83" s="22">
        <f t="shared" si="18"/>
        <v>4.496914639009475E-4</v>
      </c>
      <c r="X83" s="26">
        <f t="shared" si="19"/>
        <v>565.00000000005457</v>
      </c>
      <c r="Y83" s="53">
        <f t="shared" si="12"/>
        <v>99.291442329566991</v>
      </c>
      <c r="AA83" s="22">
        <f t="shared" si="20"/>
        <v>-6.8620594380838229E-3</v>
      </c>
      <c r="AB83" s="26">
        <f t="shared" si="21"/>
        <v>-3178.9999999999736</v>
      </c>
      <c r="AC83" s="53">
        <f t="shared" si="13"/>
        <v>97.675578823119807</v>
      </c>
      <c r="AE83" s="22">
        <f t="shared" si="22"/>
        <v>1.1721823045052204E-3</v>
      </c>
      <c r="AF83" s="26">
        <f t="shared" si="23"/>
        <v>1341.0000000001219</v>
      </c>
      <c r="AG83" s="53">
        <f t="shared" si="14"/>
        <v>90.992225595950259</v>
      </c>
    </row>
    <row r="84" spans="1:33" x14ac:dyDescent="0.3">
      <c r="A84" s="40">
        <v>42248</v>
      </c>
      <c r="B84" s="41">
        <v>321.964</v>
      </c>
      <c r="C84" s="42">
        <v>13.019</v>
      </c>
      <c r="D84" s="42">
        <v>87.492000000000004</v>
      </c>
      <c r="E84" s="43">
        <v>1258.3209999999999</v>
      </c>
      <c r="F84" s="43">
        <v>69.846999999999994</v>
      </c>
      <c r="G84" s="43">
        <v>458.69499999999999</v>
      </c>
      <c r="H84" s="43">
        <v>1146.818</v>
      </c>
      <c r="I84" s="43">
        <v>265.45699999999999</v>
      </c>
      <c r="J84" s="43">
        <v>560.88699999999994</v>
      </c>
      <c r="K84" s="43">
        <v>160.69</v>
      </c>
      <c r="L84" s="43">
        <v>846.35900000000004</v>
      </c>
      <c r="M84" s="43">
        <v>390.90699999999998</v>
      </c>
      <c r="N84" s="43">
        <v>302.42399999999998</v>
      </c>
      <c r="O84" s="43">
        <v>376.85599999999999</v>
      </c>
      <c r="P84" s="43">
        <v>0.80300000000000005</v>
      </c>
      <c r="Q84" s="44">
        <v>6260.5389999999998</v>
      </c>
      <c r="S84" s="49">
        <f t="shared" si="15"/>
        <v>42248</v>
      </c>
      <c r="T84" s="22">
        <f t="shared" si="16"/>
        <v>-1.0210728109962819E-3</v>
      </c>
      <c r="U84" s="26">
        <f t="shared" si="17"/>
        <v>-6398.9999999994325</v>
      </c>
      <c r="W84" s="22">
        <f t="shared" si="18"/>
        <v>1.0652499399355086E-3</v>
      </c>
      <c r="X84" s="26">
        <f t="shared" si="19"/>
        <v>1338.9999999999418</v>
      </c>
      <c r="Y84" s="53">
        <f t="shared" si="12"/>
        <v>99.397212532544671</v>
      </c>
      <c r="AA84" s="22">
        <f t="shared" si="20"/>
        <v>-3.0385161260876314E-3</v>
      </c>
      <c r="AB84" s="26">
        <f t="shared" si="21"/>
        <v>-1398.0000000000246</v>
      </c>
      <c r="AC84" s="53">
        <f t="shared" si="13"/>
        <v>97.378790001740825</v>
      </c>
      <c r="AE84" s="22">
        <f t="shared" si="22"/>
        <v>1.2720880141718904E-3</v>
      </c>
      <c r="AF84" s="26">
        <f t="shared" si="23"/>
        <v>1456.9999999998799</v>
      </c>
      <c r="AG84" s="53">
        <f t="shared" si="14"/>
        <v>91.107975715513689</v>
      </c>
    </row>
    <row r="85" spans="1:33" x14ac:dyDescent="0.3">
      <c r="A85" s="40">
        <v>42278</v>
      </c>
      <c r="B85" s="41">
        <v>316.642</v>
      </c>
      <c r="C85" s="42">
        <v>13.026999999999999</v>
      </c>
      <c r="D85" s="42">
        <v>87.078000000000003</v>
      </c>
      <c r="E85" s="43">
        <v>1257.4069999999999</v>
      </c>
      <c r="F85" s="43">
        <v>69.968999999999994</v>
      </c>
      <c r="G85" s="43">
        <v>454.55599999999998</v>
      </c>
      <c r="H85" s="43">
        <v>1148.175</v>
      </c>
      <c r="I85" s="43">
        <v>265.47399999999999</v>
      </c>
      <c r="J85" s="43">
        <v>561.95799999999997</v>
      </c>
      <c r="K85" s="43">
        <v>161.11099999999999</v>
      </c>
      <c r="L85" s="43">
        <v>856.30799999999999</v>
      </c>
      <c r="M85" s="43">
        <v>391.49299999999999</v>
      </c>
      <c r="N85" s="43">
        <v>303.19200000000001</v>
      </c>
      <c r="O85" s="43">
        <v>377.024</v>
      </c>
      <c r="P85" s="43">
        <v>0.83399999999999996</v>
      </c>
      <c r="Q85" s="44">
        <v>6264.2480000000005</v>
      </c>
      <c r="S85" s="49">
        <f t="shared" si="15"/>
        <v>42278</v>
      </c>
      <c r="T85" s="22">
        <f t="shared" si="16"/>
        <v>5.92441002284394E-4</v>
      </c>
      <c r="U85" s="26">
        <f t="shared" si="17"/>
        <v>3709.0000000007421</v>
      </c>
      <c r="W85" s="22">
        <f t="shared" si="18"/>
        <v>-7.2636473523046696E-4</v>
      </c>
      <c r="X85" s="26">
        <f t="shared" si="19"/>
        <v>-913.99999999998727</v>
      </c>
      <c r="Y85" s="53">
        <f t="shared" si="12"/>
        <v>99.325013902580821</v>
      </c>
      <c r="AA85" s="22">
        <f t="shared" si="20"/>
        <v>-9.0234251517893327E-3</v>
      </c>
      <c r="AB85" s="26">
        <f t="shared" si="21"/>
        <v>-4139.00000000001</v>
      </c>
      <c r="AC85" s="53">
        <f t="shared" si="13"/>
        <v>96.500099778788311</v>
      </c>
      <c r="AE85" s="22">
        <f t="shared" si="22"/>
        <v>1.1832740678991982E-3</v>
      </c>
      <c r="AF85" s="26">
        <f t="shared" si="23"/>
        <v>1356.9999999999709</v>
      </c>
      <c r="AG85" s="53">
        <f t="shared" si="14"/>
        <v>91.215781420556638</v>
      </c>
    </row>
    <row r="86" spans="1:33" x14ac:dyDescent="0.3">
      <c r="A86" s="40">
        <v>42309</v>
      </c>
      <c r="B86" s="41">
        <v>315.88200000000001</v>
      </c>
      <c r="C86" s="42">
        <v>13.063000000000001</v>
      </c>
      <c r="D86" s="42">
        <v>86.356999999999999</v>
      </c>
      <c r="E86" s="43">
        <v>1255.326</v>
      </c>
      <c r="F86" s="43">
        <v>70.11</v>
      </c>
      <c r="G86" s="43">
        <v>446.63299999999998</v>
      </c>
      <c r="H86" s="43">
        <v>1149.1310000000001</v>
      </c>
      <c r="I86" s="43">
        <v>264.47199999999998</v>
      </c>
      <c r="J86" s="43">
        <v>561.24699999999996</v>
      </c>
      <c r="K86" s="43">
        <v>161.57499999999999</v>
      </c>
      <c r="L86" s="43">
        <v>855.91499999999996</v>
      </c>
      <c r="M86" s="43">
        <v>391.97800000000001</v>
      </c>
      <c r="N86" s="43">
        <v>304.154</v>
      </c>
      <c r="O86" s="43">
        <v>376.98399999999998</v>
      </c>
      <c r="P86" s="43">
        <v>0.80500000000000005</v>
      </c>
      <c r="Q86" s="44">
        <v>6253.6320000000014</v>
      </c>
      <c r="S86" s="49">
        <f t="shared" si="15"/>
        <v>42309</v>
      </c>
      <c r="T86" s="22">
        <f t="shared" si="16"/>
        <v>-1.6946966339772551E-3</v>
      </c>
      <c r="U86" s="26">
        <f t="shared" si="17"/>
        <v>-10615.999999999076</v>
      </c>
      <c r="W86" s="22">
        <f t="shared" si="18"/>
        <v>-1.6549931724572087E-3</v>
      </c>
      <c r="X86" s="26">
        <f t="shared" si="19"/>
        <v>-2080.9999999999036</v>
      </c>
      <c r="Y86" s="53">
        <f t="shared" si="12"/>
        <v>99.16063168271782</v>
      </c>
      <c r="AA86" s="22">
        <f t="shared" si="20"/>
        <v>-1.7430195619461686E-2</v>
      </c>
      <c r="AB86" s="26">
        <f t="shared" si="21"/>
        <v>-7923.0000000000018</v>
      </c>
      <c r="AC86" s="53">
        <f t="shared" si="13"/>
        <v>94.818084162346466</v>
      </c>
      <c r="AE86" s="22">
        <f t="shared" si="22"/>
        <v>8.3262568859288066E-4</v>
      </c>
      <c r="AF86" s="26">
        <f t="shared" si="23"/>
        <v>956.00000000013097</v>
      </c>
      <c r="AG86" s="53">
        <f t="shared" si="14"/>
        <v>91.291730023372466</v>
      </c>
    </row>
    <row r="87" spans="1:33" x14ac:dyDescent="0.3">
      <c r="A87" s="40">
        <v>42339</v>
      </c>
      <c r="B87" s="41">
        <v>316.54199999999997</v>
      </c>
      <c r="C87" s="42">
        <v>12.846</v>
      </c>
      <c r="D87" s="42">
        <v>85.747</v>
      </c>
      <c r="E87" s="43">
        <v>1252.1410000000001</v>
      </c>
      <c r="F87" s="43">
        <v>70.209000000000003</v>
      </c>
      <c r="G87" s="43">
        <v>432.49099999999999</v>
      </c>
      <c r="H87" s="43">
        <v>1149.1590000000001</v>
      </c>
      <c r="I87" s="43">
        <v>264.75700000000001</v>
      </c>
      <c r="J87" s="43">
        <v>561.31200000000001</v>
      </c>
      <c r="K87" s="43">
        <v>162.053</v>
      </c>
      <c r="L87" s="43">
        <v>840.97199999999998</v>
      </c>
      <c r="M87" s="43">
        <v>392.11099999999999</v>
      </c>
      <c r="N87" s="43">
        <v>304.93599999999998</v>
      </c>
      <c r="O87" s="43">
        <v>376.49099999999999</v>
      </c>
      <c r="P87" s="43">
        <v>0.78300000000000003</v>
      </c>
      <c r="Q87" s="44">
        <v>6222.55</v>
      </c>
      <c r="S87" s="49">
        <f t="shared" si="15"/>
        <v>42339</v>
      </c>
      <c r="T87" s="22">
        <f t="shared" si="16"/>
        <v>-4.9702316989552742E-3</v>
      </c>
      <c r="U87" s="26">
        <f t="shared" si="17"/>
        <v>-31082.000000001244</v>
      </c>
      <c r="W87" s="22">
        <f t="shared" si="18"/>
        <v>-2.5371895427960256E-3</v>
      </c>
      <c r="X87" s="26">
        <f t="shared" si="19"/>
        <v>-3184.9999999999454</v>
      </c>
      <c r="Y87" s="53">
        <f t="shared" si="12"/>
        <v>98.909042364955397</v>
      </c>
      <c r="AA87" s="22">
        <f t="shared" si="20"/>
        <v>-3.1663580613165654E-2</v>
      </c>
      <c r="AB87" s="26">
        <f t="shared" si="21"/>
        <v>-14141.999999999996</v>
      </c>
      <c r="AC87" s="53">
        <f t="shared" si="13"/>
        <v>91.815804110886077</v>
      </c>
      <c r="AE87" s="22">
        <f t="shared" si="22"/>
        <v>2.436623848800501E-5</v>
      </c>
      <c r="AF87" s="26">
        <f t="shared" si="23"/>
        <v>28.000000000020009</v>
      </c>
      <c r="AG87" s="53">
        <f t="shared" si="14"/>
        <v>91.293954459438211</v>
      </c>
    </row>
    <row r="88" spans="1:33" x14ac:dyDescent="0.3">
      <c r="A88" s="40">
        <v>42370</v>
      </c>
      <c r="B88" s="41">
        <v>315.43599999999998</v>
      </c>
      <c r="C88" s="42">
        <v>12.803000000000001</v>
      </c>
      <c r="D88" s="42">
        <v>85.105000000000004</v>
      </c>
      <c r="E88" s="43">
        <v>1246.5709999999999</v>
      </c>
      <c r="F88" s="43">
        <v>70.356999999999999</v>
      </c>
      <c r="G88" s="43">
        <v>421.642</v>
      </c>
      <c r="H88" s="43">
        <v>1150.5999999999999</v>
      </c>
      <c r="I88" s="43">
        <v>264.45800000000003</v>
      </c>
      <c r="J88" s="43">
        <v>561.57899999999995</v>
      </c>
      <c r="K88" s="43">
        <v>162.73500000000001</v>
      </c>
      <c r="L88" s="43">
        <v>839.96</v>
      </c>
      <c r="M88" s="43">
        <v>392.24700000000001</v>
      </c>
      <c r="N88" s="43">
        <v>306.03100000000001</v>
      </c>
      <c r="O88" s="43">
        <v>378.05099999999999</v>
      </c>
      <c r="P88" s="43">
        <v>0.79200000000000004</v>
      </c>
      <c r="Q88" s="44">
        <v>6208.3670000000002</v>
      </c>
      <c r="S88" s="49">
        <f t="shared" si="15"/>
        <v>42370</v>
      </c>
      <c r="T88" s="22">
        <f t="shared" si="16"/>
        <v>-2.2792906445107119E-3</v>
      </c>
      <c r="U88" s="26">
        <f t="shared" si="17"/>
        <v>-14182.999999999993</v>
      </c>
      <c r="W88" s="22">
        <f t="shared" si="18"/>
        <v>-4.4483808133430891E-3</v>
      </c>
      <c r="X88" s="26">
        <f t="shared" si="19"/>
        <v>-5570.0000000001637</v>
      </c>
      <c r="Y88" s="53">
        <f t="shared" si="12"/>
        <v>98.469057278632988</v>
      </c>
      <c r="AA88" s="22">
        <f t="shared" si="20"/>
        <v>-2.5084915061816315E-2</v>
      </c>
      <c r="AB88" s="26">
        <f t="shared" si="21"/>
        <v>-10848.999999999989</v>
      </c>
      <c r="AC88" s="53">
        <f t="shared" si="13"/>
        <v>89.512612463432134</v>
      </c>
      <c r="AE88" s="22">
        <f t="shared" si="22"/>
        <v>1.2539605050301272E-3</v>
      </c>
      <c r="AF88" s="26">
        <f t="shared" si="23"/>
        <v>1440.9999999998035</v>
      </c>
      <c r="AG88" s="53">
        <f t="shared" si="14"/>
        <v>91.408433472678354</v>
      </c>
    </row>
    <row r="89" spans="1:33" x14ac:dyDescent="0.3">
      <c r="A89" s="40">
        <v>42401</v>
      </c>
      <c r="B89" s="41">
        <v>313.93700000000001</v>
      </c>
      <c r="C89" s="42">
        <v>12.95</v>
      </c>
      <c r="D89" s="42">
        <v>84.828000000000003</v>
      </c>
      <c r="E89" s="43">
        <v>1243.9359999999999</v>
      </c>
      <c r="F89" s="43">
        <v>70.451999999999998</v>
      </c>
      <c r="G89" s="43">
        <v>415.15899999999999</v>
      </c>
      <c r="H89" s="43">
        <v>1153.0999999999999</v>
      </c>
      <c r="I89" s="43">
        <v>264.30799999999999</v>
      </c>
      <c r="J89" s="43">
        <v>561.49800000000005</v>
      </c>
      <c r="K89" s="43">
        <v>162.79</v>
      </c>
      <c r="L89" s="43">
        <v>840.63300000000004</v>
      </c>
      <c r="M89" s="43">
        <v>395.44900000000001</v>
      </c>
      <c r="N89" s="43">
        <v>307.07600000000002</v>
      </c>
      <c r="O89" s="43">
        <v>379.55399999999997</v>
      </c>
      <c r="P89" s="43">
        <v>0.81899999999999995</v>
      </c>
      <c r="Q89" s="44">
        <v>6206.4889999999996</v>
      </c>
      <c r="S89" s="49">
        <f t="shared" si="15"/>
        <v>42401</v>
      </c>
      <c r="T89" s="22">
        <f t="shared" si="16"/>
        <v>-3.0249500391976714E-4</v>
      </c>
      <c r="U89" s="26">
        <f t="shared" si="17"/>
        <v>-1878.0000000006112</v>
      </c>
      <c r="W89" s="22">
        <f t="shared" si="18"/>
        <v>-2.1137985722433639E-3</v>
      </c>
      <c r="X89" s="26">
        <f t="shared" si="19"/>
        <v>-2634.9999999999909</v>
      </c>
      <c r="Y89" s="53">
        <f t="shared" si="12"/>
        <v>98.260913525947274</v>
      </c>
      <c r="AA89" s="22">
        <f t="shared" si="20"/>
        <v>-1.5375602999701199E-2</v>
      </c>
      <c r="AB89" s="26">
        <f t="shared" si="21"/>
        <v>-6483.0000000000036</v>
      </c>
      <c r="AC89" s="53">
        <f t="shared" si="13"/>
        <v>88.136302070728306</v>
      </c>
      <c r="AE89" s="22">
        <f t="shared" si="22"/>
        <v>2.1727794194332795E-3</v>
      </c>
      <c r="AF89" s="26">
        <f t="shared" si="23"/>
        <v>2500</v>
      </c>
      <c r="AG89" s="53">
        <f t="shared" si="14"/>
        <v>91.607043835690433</v>
      </c>
    </row>
    <row r="90" spans="1:33" x14ac:dyDescent="0.3">
      <c r="A90" s="40">
        <v>42430</v>
      </c>
      <c r="B90" s="41">
        <v>316.52</v>
      </c>
      <c r="C90" s="42">
        <v>12.872999999999999</v>
      </c>
      <c r="D90" s="42">
        <v>84.251999999999995</v>
      </c>
      <c r="E90" s="43">
        <v>1238.94</v>
      </c>
      <c r="F90" s="43">
        <v>70.387</v>
      </c>
      <c r="G90" s="43">
        <v>409.23399999999998</v>
      </c>
      <c r="H90" s="43">
        <v>1154.673</v>
      </c>
      <c r="I90" s="43">
        <v>264.61799999999999</v>
      </c>
      <c r="J90" s="43">
        <v>561</v>
      </c>
      <c r="K90" s="43">
        <v>163.172</v>
      </c>
      <c r="L90" s="43">
        <v>838.53399999999999</v>
      </c>
      <c r="M90" s="43">
        <v>397.077</v>
      </c>
      <c r="N90" s="43">
        <v>307.76</v>
      </c>
      <c r="O90" s="43">
        <v>379.12799999999999</v>
      </c>
      <c r="P90" s="43">
        <v>0.78600000000000003</v>
      </c>
      <c r="Q90" s="44">
        <v>6198.9539999999988</v>
      </c>
      <c r="S90" s="49">
        <f t="shared" si="15"/>
        <v>42430</v>
      </c>
      <c r="T90" s="22">
        <f t="shared" si="16"/>
        <v>-1.2140519382215498E-3</v>
      </c>
      <c r="U90" s="26">
        <f t="shared" si="17"/>
        <v>-7535.000000000764</v>
      </c>
      <c r="W90" s="22">
        <f t="shared" si="18"/>
        <v>-4.0162837959507591E-3</v>
      </c>
      <c r="X90" s="26">
        <f t="shared" si="19"/>
        <v>-4995.9999999998672</v>
      </c>
      <c r="Y90" s="53">
        <f t="shared" si="12"/>
        <v>97.866269811177673</v>
      </c>
      <c r="AA90" s="22">
        <f t="shared" si="20"/>
        <v>-1.427164050399965E-2</v>
      </c>
      <c r="AB90" s="26">
        <f t="shared" si="21"/>
        <v>-5925.0000000000109</v>
      </c>
      <c r="AC90" s="53">
        <f t="shared" si="13"/>
        <v>86.878452452222945</v>
      </c>
      <c r="AE90" s="22">
        <f t="shared" si="22"/>
        <v>1.3641488162345894E-3</v>
      </c>
      <c r="AF90" s="26">
        <f t="shared" si="23"/>
        <v>1573.0000000000928</v>
      </c>
      <c r="AG90" s="53">
        <f t="shared" si="14"/>
        <v>91.73200947609763</v>
      </c>
    </row>
    <row r="91" spans="1:33" x14ac:dyDescent="0.3">
      <c r="A91" s="40">
        <v>42461</v>
      </c>
      <c r="B91" s="41">
        <v>314.529</v>
      </c>
      <c r="C91" s="42">
        <v>12.785</v>
      </c>
      <c r="D91" s="42">
        <v>82.852999999999994</v>
      </c>
      <c r="E91" s="43">
        <v>1236.5630000000001</v>
      </c>
      <c r="F91" s="43">
        <v>70.355999999999995</v>
      </c>
      <c r="G91" s="43">
        <v>406.40199999999999</v>
      </c>
      <c r="H91" s="43">
        <v>1155.021</v>
      </c>
      <c r="I91" s="43">
        <v>264.80099999999999</v>
      </c>
      <c r="J91" s="43">
        <v>560.40700000000004</v>
      </c>
      <c r="K91" s="43">
        <v>163.464</v>
      </c>
      <c r="L91" s="43">
        <v>836.66200000000003</v>
      </c>
      <c r="M91" s="43">
        <v>396.565</v>
      </c>
      <c r="N91" s="43">
        <v>308.649</v>
      </c>
      <c r="O91" s="43">
        <v>378.85199999999998</v>
      </c>
      <c r="P91" s="43">
        <v>0.76700000000000002</v>
      </c>
      <c r="Q91" s="44">
        <v>6188.6759999999995</v>
      </c>
      <c r="S91" s="49">
        <f t="shared" si="15"/>
        <v>42461</v>
      </c>
      <c r="T91" s="22">
        <f t="shared" si="16"/>
        <v>-1.6580216597831265E-3</v>
      </c>
      <c r="U91" s="26">
        <f t="shared" si="17"/>
        <v>-10277.999999999338</v>
      </c>
      <c r="W91" s="22">
        <f t="shared" si="18"/>
        <v>-1.9185755565240825E-3</v>
      </c>
      <c r="X91" s="26">
        <f t="shared" si="19"/>
        <v>-2376.9999999999527</v>
      </c>
      <c r="Y91" s="53">
        <f t="shared" si="12"/>
        <v>97.678505978109769</v>
      </c>
      <c r="AA91" s="22">
        <f t="shared" si="20"/>
        <v>-6.9202461183577313E-3</v>
      </c>
      <c r="AB91" s="26">
        <f t="shared" si="21"/>
        <v>-2831.9999999999936</v>
      </c>
      <c r="AC91" s="53">
        <f t="shared" si="13"/>
        <v>86.277232178871515</v>
      </c>
      <c r="AE91" s="22">
        <f t="shared" si="22"/>
        <v>3.013840282053426E-4</v>
      </c>
      <c r="AF91" s="26">
        <f t="shared" si="23"/>
        <v>347.99999999995634</v>
      </c>
      <c r="AG91" s="53">
        <f t="shared" si="14"/>
        <v>91.759656038628918</v>
      </c>
    </row>
    <row r="92" spans="1:33" x14ac:dyDescent="0.3">
      <c r="A92" s="40">
        <v>42491</v>
      </c>
      <c r="B92" s="41">
        <v>316.21300000000002</v>
      </c>
      <c r="C92" s="42">
        <v>12.677</v>
      </c>
      <c r="D92" s="42">
        <v>82.575000000000003</v>
      </c>
      <c r="E92" s="43">
        <v>1229.934</v>
      </c>
      <c r="F92" s="43">
        <v>70.412999999999997</v>
      </c>
      <c r="G92" s="43">
        <v>405.56299999999999</v>
      </c>
      <c r="H92" s="43">
        <v>1154.0319999999999</v>
      </c>
      <c r="I92" s="43">
        <v>265.00599999999997</v>
      </c>
      <c r="J92" s="43">
        <v>559.35599999999999</v>
      </c>
      <c r="K92" s="43">
        <v>163.535</v>
      </c>
      <c r="L92" s="43">
        <v>833.39599999999996</v>
      </c>
      <c r="M92" s="43">
        <v>396.85399999999998</v>
      </c>
      <c r="N92" s="43">
        <v>309.42200000000003</v>
      </c>
      <c r="O92" s="43">
        <v>379.81799999999998</v>
      </c>
      <c r="P92" s="43">
        <v>0.72599999999999998</v>
      </c>
      <c r="Q92" s="44">
        <v>6179.52</v>
      </c>
      <c r="S92" s="49">
        <f t="shared" si="15"/>
        <v>42491</v>
      </c>
      <c r="T92" s="22">
        <f t="shared" si="16"/>
        <v>-1.4794763855788817E-3</v>
      </c>
      <c r="U92" s="26">
        <f t="shared" si="17"/>
        <v>-9155.9999999990396</v>
      </c>
      <c r="W92" s="22">
        <f t="shared" si="18"/>
        <v>-5.3608267431584089E-3</v>
      </c>
      <c r="X92" s="26">
        <f t="shared" si="19"/>
        <v>-6629.0000000001328</v>
      </c>
      <c r="Y92" s="53">
        <f t="shared" si="12"/>
        <v>97.154868431030565</v>
      </c>
      <c r="AA92" s="22">
        <f t="shared" si="20"/>
        <v>-2.0644583442011033E-3</v>
      </c>
      <c r="AB92" s="26">
        <f t="shared" si="21"/>
        <v>-838.99999999999864</v>
      </c>
      <c r="AC92" s="53">
        <f t="shared" si="13"/>
        <v>86.099116426985276</v>
      </c>
      <c r="AE92" s="22">
        <f t="shared" si="22"/>
        <v>-8.5626148788642276E-4</v>
      </c>
      <c r="AF92" s="26">
        <f t="shared" si="23"/>
        <v>-989.00000000003274</v>
      </c>
      <c r="AG92" s="53">
        <f t="shared" si="14"/>
        <v>91.68108577902133</v>
      </c>
    </row>
    <row r="93" spans="1:33" x14ac:dyDescent="0.3">
      <c r="A93" s="40">
        <v>42522</v>
      </c>
      <c r="B93" s="41">
        <v>318.41300000000001</v>
      </c>
      <c r="C93" s="42">
        <v>12.622</v>
      </c>
      <c r="D93" s="42">
        <v>82.366</v>
      </c>
      <c r="E93" s="43">
        <v>1226.9090000000001</v>
      </c>
      <c r="F93" s="43">
        <v>70.597999999999999</v>
      </c>
      <c r="G93" s="43">
        <v>404.71899999999999</v>
      </c>
      <c r="H93" s="43">
        <v>1153.837</v>
      </c>
      <c r="I93" s="43">
        <v>264.50099999999998</v>
      </c>
      <c r="J93" s="43">
        <v>558.58500000000004</v>
      </c>
      <c r="K93" s="43">
        <v>163.298</v>
      </c>
      <c r="L93" s="43">
        <v>829.375</v>
      </c>
      <c r="M93" s="43">
        <v>396.916</v>
      </c>
      <c r="N93" s="43">
        <v>309.25599999999997</v>
      </c>
      <c r="O93" s="43">
        <v>379.53300000000002</v>
      </c>
      <c r="P93" s="43">
        <v>0.72499999999999998</v>
      </c>
      <c r="Q93" s="44">
        <v>6171.6530000000012</v>
      </c>
      <c r="S93" s="49">
        <f t="shared" si="15"/>
        <v>42522</v>
      </c>
      <c r="T93" s="22">
        <f t="shared" si="16"/>
        <v>-1.2730762259850481E-3</v>
      </c>
      <c r="U93" s="26">
        <f t="shared" si="17"/>
        <v>-7866.9999999992797</v>
      </c>
      <c r="W93" s="22">
        <f t="shared" si="18"/>
        <v>-2.4594815656774349E-3</v>
      </c>
      <c r="X93" s="26">
        <f t="shared" si="19"/>
        <v>-3024.9999999998636</v>
      </c>
      <c r="Y93" s="53">
        <f t="shared" si="12"/>
        <v>96.915917823108629</v>
      </c>
      <c r="AA93" s="22">
        <f t="shared" si="20"/>
        <v>-2.0810576901738598E-3</v>
      </c>
      <c r="AB93" s="26">
        <f t="shared" si="21"/>
        <v>-843.99999999999409</v>
      </c>
      <c r="AC93" s="53">
        <f t="shared" si="13"/>
        <v>85.919939198627731</v>
      </c>
      <c r="AE93" s="22">
        <f t="shared" si="22"/>
        <v>-1.68972784116872E-4</v>
      </c>
      <c r="AF93" s="26">
        <f t="shared" si="23"/>
        <v>-194.99999999993634</v>
      </c>
      <c r="AG93" s="53">
        <f t="shared" si="14"/>
        <v>91.665594170706385</v>
      </c>
    </row>
    <row r="94" spans="1:33" x14ac:dyDescent="0.3">
      <c r="A94" s="40">
        <v>42552</v>
      </c>
      <c r="B94" s="41">
        <v>318.14999999999998</v>
      </c>
      <c r="C94" s="42">
        <v>12.798999999999999</v>
      </c>
      <c r="D94" s="42">
        <v>82.028999999999996</v>
      </c>
      <c r="E94" s="43">
        <v>1223.4159999999999</v>
      </c>
      <c r="F94" s="43">
        <v>70.778000000000006</v>
      </c>
      <c r="G94" s="43">
        <v>404.46699999999998</v>
      </c>
      <c r="H94" s="43">
        <v>1154.614</v>
      </c>
      <c r="I94" s="43">
        <v>264.45999999999998</v>
      </c>
      <c r="J94" s="43">
        <v>558.32399999999996</v>
      </c>
      <c r="K94" s="43">
        <v>163.27600000000001</v>
      </c>
      <c r="L94" s="43">
        <v>829.27300000000002</v>
      </c>
      <c r="M94" s="43">
        <v>396.92399999999998</v>
      </c>
      <c r="N94" s="43">
        <v>310.25599999999997</v>
      </c>
      <c r="O94" s="43">
        <v>379.68900000000002</v>
      </c>
      <c r="P94" s="43">
        <v>0.79800000000000004</v>
      </c>
      <c r="Q94" s="44">
        <v>6169.2530000000006</v>
      </c>
      <c r="S94" s="49">
        <f t="shared" si="15"/>
        <v>42552</v>
      </c>
      <c r="T94" s="22">
        <f t="shared" si="16"/>
        <v>-3.8887474717075321E-4</v>
      </c>
      <c r="U94" s="26">
        <f t="shared" si="17"/>
        <v>-2400.0000000005457</v>
      </c>
      <c r="W94" s="22">
        <f t="shared" si="18"/>
        <v>-2.8469919121957288E-3</v>
      </c>
      <c r="X94" s="26">
        <f t="shared" si="19"/>
        <v>-3493.0000000001655</v>
      </c>
      <c r="Y94" s="53">
        <f t="shared" si="12"/>
        <v>96.639998988903216</v>
      </c>
      <c r="AA94" s="22">
        <f t="shared" si="20"/>
        <v>-6.2265423664320529E-4</v>
      </c>
      <c r="AB94" s="26">
        <f t="shared" si="21"/>
        <v>-252.00000000000955</v>
      </c>
      <c r="AC94" s="53">
        <f t="shared" si="13"/>
        <v>85.866440784473568</v>
      </c>
      <c r="AE94" s="22">
        <f t="shared" si="22"/>
        <v>6.7340534234916483E-4</v>
      </c>
      <c r="AF94" s="26">
        <f t="shared" si="23"/>
        <v>777.00000000004366</v>
      </c>
      <c r="AG94" s="53">
        <f t="shared" si="14"/>
        <v>91.727322271530554</v>
      </c>
    </row>
    <row r="95" spans="1:33" x14ac:dyDescent="0.3">
      <c r="A95" s="40">
        <v>42583</v>
      </c>
      <c r="B95" s="41">
        <v>320.39600000000002</v>
      </c>
      <c r="C95" s="42">
        <v>12.561</v>
      </c>
      <c r="D95" s="42">
        <v>81.433000000000007</v>
      </c>
      <c r="E95" s="43">
        <v>1220.0119999999999</v>
      </c>
      <c r="F95" s="43">
        <v>70.997</v>
      </c>
      <c r="G95" s="43">
        <v>406.726</v>
      </c>
      <c r="H95" s="43">
        <v>1155.8699999999999</v>
      </c>
      <c r="I95" s="43">
        <v>264.34500000000003</v>
      </c>
      <c r="J95" s="43">
        <v>558.19100000000003</v>
      </c>
      <c r="K95" s="43">
        <v>163.37100000000001</v>
      </c>
      <c r="L95" s="43">
        <v>826.98299999999995</v>
      </c>
      <c r="M95" s="43">
        <v>397.488</v>
      </c>
      <c r="N95" s="43">
        <v>310.947</v>
      </c>
      <c r="O95" s="43">
        <v>379.66800000000001</v>
      </c>
      <c r="P95" s="43">
        <v>0.79400000000000004</v>
      </c>
      <c r="Q95" s="44">
        <v>6169.7820000000002</v>
      </c>
      <c r="S95" s="49">
        <f t="shared" si="15"/>
        <v>42583</v>
      </c>
      <c r="T95" s="22">
        <f t="shared" si="16"/>
        <v>8.574782068415665E-5</v>
      </c>
      <c r="U95" s="26">
        <f t="shared" si="17"/>
        <v>528.99999999954161</v>
      </c>
      <c r="W95" s="22">
        <f t="shared" si="18"/>
        <v>-2.7823732892163777E-3</v>
      </c>
      <c r="X95" s="26">
        <f t="shared" si="19"/>
        <v>-3403.9999999999964</v>
      </c>
      <c r="Y95" s="53">
        <f t="shared" si="12"/>
        <v>96.371110437046582</v>
      </c>
      <c r="AA95" s="22">
        <f t="shared" si="20"/>
        <v>5.5851280821426208E-3</v>
      </c>
      <c r="AB95" s="26">
        <f t="shared" si="21"/>
        <v>2259.0000000000146</v>
      </c>
      <c r="AC95" s="53">
        <f t="shared" si="13"/>
        <v>86.346015854212581</v>
      </c>
      <c r="AE95" s="22">
        <f t="shared" si="22"/>
        <v>1.0878094324162646E-3</v>
      </c>
      <c r="AF95" s="26">
        <f t="shared" si="23"/>
        <v>1255.9999999998581</v>
      </c>
      <c r="AG95" s="53">
        <f t="shared" si="14"/>
        <v>91.827104117907808</v>
      </c>
    </row>
    <row r="96" spans="1:33" x14ac:dyDescent="0.3">
      <c r="A96" s="40">
        <v>42614</v>
      </c>
      <c r="B96" s="41">
        <v>321.22399999999999</v>
      </c>
      <c r="C96" s="42">
        <v>12.503</v>
      </c>
      <c r="D96" s="42">
        <v>80.989999999999995</v>
      </c>
      <c r="E96" s="43">
        <v>1216.7260000000001</v>
      </c>
      <c r="F96" s="43">
        <v>71.03</v>
      </c>
      <c r="G96" s="43">
        <v>408.30200000000002</v>
      </c>
      <c r="H96" s="43">
        <v>1157.675</v>
      </c>
      <c r="I96" s="43">
        <v>265.37099999999998</v>
      </c>
      <c r="J96" s="43">
        <v>558.06700000000001</v>
      </c>
      <c r="K96" s="43">
        <v>163.20599999999999</v>
      </c>
      <c r="L96" s="43">
        <v>826.88499999999999</v>
      </c>
      <c r="M96" s="43">
        <v>397.76499999999999</v>
      </c>
      <c r="N96" s="43">
        <v>311.78199999999998</v>
      </c>
      <c r="O96" s="43">
        <v>380.64800000000002</v>
      </c>
      <c r="P96" s="43">
        <v>0.78600000000000003</v>
      </c>
      <c r="Q96" s="44">
        <v>6172.9600000000009</v>
      </c>
      <c r="S96" s="49">
        <f t="shared" si="15"/>
        <v>42614</v>
      </c>
      <c r="T96" s="22">
        <f t="shared" si="16"/>
        <v>5.150911328797303E-4</v>
      </c>
      <c r="U96" s="26">
        <f t="shared" si="17"/>
        <v>3178.0000000007931</v>
      </c>
      <c r="W96" s="22">
        <f t="shared" si="18"/>
        <v>-2.6934161303330262E-3</v>
      </c>
      <c r="X96" s="26">
        <f t="shared" si="19"/>
        <v>-3285.9999999998308</v>
      </c>
      <c r="Y96" s="53">
        <f t="shared" si="12"/>
        <v>96.111542933697336</v>
      </c>
      <c r="AA96" s="22">
        <f t="shared" si="20"/>
        <v>3.8748444899023848E-3</v>
      </c>
      <c r="AB96" s="26">
        <f t="shared" si="21"/>
        <v>1576.0000000000218</v>
      </c>
      <c r="AC96" s="53">
        <f t="shared" si="13"/>
        <v>86.680593237970299</v>
      </c>
      <c r="AE96" s="22">
        <f t="shared" si="22"/>
        <v>1.5615942969364749E-3</v>
      </c>
      <c r="AF96" s="26">
        <f t="shared" si="23"/>
        <v>1805.0000000000637</v>
      </c>
      <c r="AG96" s="53">
        <f t="shared" si="14"/>
        <v>91.970500800002526</v>
      </c>
    </row>
    <row r="97" spans="1:33" x14ac:dyDescent="0.3">
      <c r="A97" s="40">
        <v>42644</v>
      </c>
      <c r="B97" s="41">
        <v>328.42500000000001</v>
      </c>
      <c r="C97" s="42">
        <v>12.416</v>
      </c>
      <c r="D97" s="42">
        <v>80.923000000000002</v>
      </c>
      <c r="E97" s="43">
        <v>1213.4659999999999</v>
      </c>
      <c r="F97" s="43">
        <v>71.114999999999995</v>
      </c>
      <c r="G97" s="43">
        <v>409.78399999999999</v>
      </c>
      <c r="H97" s="43">
        <v>1159.7539999999999</v>
      </c>
      <c r="I97" s="43">
        <v>265.64699999999999</v>
      </c>
      <c r="J97" s="43">
        <v>557.82100000000003</v>
      </c>
      <c r="K97" s="43">
        <v>163.268</v>
      </c>
      <c r="L97" s="43">
        <v>825.80799999999999</v>
      </c>
      <c r="M97" s="43">
        <v>397.87099999999998</v>
      </c>
      <c r="N97" s="43">
        <v>312.75</v>
      </c>
      <c r="O97" s="43">
        <v>380.93599999999998</v>
      </c>
      <c r="P97" s="43">
        <v>0.78400000000000003</v>
      </c>
      <c r="Q97" s="44">
        <v>6180.7679999999991</v>
      </c>
      <c r="S97" s="49">
        <f t="shared" si="15"/>
        <v>42644</v>
      </c>
      <c r="T97" s="22">
        <f t="shared" si="16"/>
        <v>1.264871309711646E-3</v>
      </c>
      <c r="U97" s="26">
        <f t="shared" si="17"/>
        <v>7807.9999999981737</v>
      </c>
      <c r="W97" s="22">
        <f t="shared" si="18"/>
        <v>-2.6793213919980019E-3</v>
      </c>
      <c r="X97" s="26">
        <f t="shared" si="19"/>
        <v>-3260.0000000002183</v>
      </c>
      <c r="Y97" s="53">
        <f t="shared" si="12"/>
        <v>95.854029220697143</v>
      </c>
      <c r="AA97" s="22">
        <f t="shared" si="20"/>
        <v>3.6296662764325749E-3</v>
      </c>
      <c r="AB97" s="26">
        <f t="shared" si="21"/>
        <v>1481.9999999999709</v>
      </c>
      <c r="AC97" s="53">
        <f t="shared" si="13"/>
        <v>86.995214864067322</v>
      </c>
      <c r="AE97" s="22">
        <f t="shared" si="22"/>
        <v>1.7958408016065519E-3</v>
      </c>
      <c r="AF97" s="26">
        <f t="shared" si="23"/>
        <v>2078.9999999999509</v>
      </c>
      <c r="AG97" s="53">
        <f t="shared" si="14"/>
        <v>92.135665177883368</v>
      </c>
    </row>
    <row r="98" spans="1:33" x14ac:dyDescent="0.3">
      <c r="A98" s="40">
        <v>42675</v>
      </c>
      <c r="B98" s="41">
        <v>324.423</v>
      </c>
      <c r="C98" s="42">
        <v>12.724</v>
      </c>
      <c r="D98" s="42">
        <v>80.605000000000004</v>
      </c>
      <c r="E98" s="43">
        <v>1208.5260000000001</v>
      </c>
      <c r="F98" s="43">
        <v>71.31</v>
      </c>
      <c r="G98" s="43">
        <v>413.661</v>
      </c>
      <c r="H98" s="43">
        <v>1161.3889999999999</v>
      </c>
      <c r="I98" s="43">
        <v>266.923</v>
      </c>
      <c r="J98" s="43">
        <v>560.803</v>
      </c>
      <c r="K98" s="43">
        <v>163.131</v>
      </c>
      <c r="L98" s="43">
        <v>826.37</v>
      </c>
      <c r="M98" s="43">
        <v>398.86799999999999</v>
      </c>
      <c r="N98" s="43">
        <v>313.66199999999998</v>
      </c>
      <c r="O98" s="43">
        <v>381.56200000000001</v>
      </c>
      <c r="P98" s="43">
        <v>0.79900000000000004</v>
      </c>
      <c r="Q98" s="44">
        <v>6184.7560000000003</v>
      </c>
      <c r="S98" s="49">
        <f t="shared" si="15"/>
        <v>42675</v>
      </c>
      <c r="T98" s="22">
        <f t="shared" si="16"/>
        <v>6.4522725978410911E-4</v>
      </c>
      <c r="U98" s="26">
        <f t="shared" si="17"/>
        <v>3988.0000000011933</v>
      </c>
      <c r="W98" s="22">
        <f t="shared" si="18"/>
        <v>-4.0709834474140782E-3</v>
      </c>
      <c r="X98" s="26">
        <f t="shared" si="19"/>
        <v>-4939.9999999998272</v>
      </c>
      <c r="Y98" s="53">
        <f t="shared" si="12"/>
        <v>95.463809054371737</v>
      </c>
      <c r="AA98" s="22">
        <f t="shared" si="20"/>
        <v>9.4610819358491582E-3</v>
      </c>
      <c r="AB98" s="26">
        <f t="shared" si="21"/>
        <v>3877.0000000000095</v>
      </c>
      <c r="AC98" s="53">
        <f t="shared" si="13"/>
        <v>87.818283719923073</v>
      </c>
      <c r="AE98" s="22">
        <f t="shared" si="22"/>
        <v>1.4097817295737336E-3</v>
      </c>
      <c r="AF98" s="26">
        <f t="shared" si="23"/>
        <v>1634.9999999999909</v>
      </c>
      <c r="AG98" s="53">
        <f t="shared" si="14"/>
        <v>92.26555635529327</v>
      </c>
    </row>
    <row r="99" spans="1:33" x14ac:dyDescent="0.3">
      <c r="A99" s="40">
        <v>42705</v>
      </c>
      <c r="B99" s="41">
        <v>322.8</v>
      </c>
      <c r="C99" s="42">
        <v>12.855</v>
      </c>
      <c r="D99" s="42">
        <v>80.42</v>
      </c>
      <c r="E99" s="43">
        <v>1206.499</v>
      </c>
      <c r="F99" s="43">
        <v>71.588999999999999</v>
      </c>
      <c r="G99" s="43">
        <v>418.12599999999998</v>
      </c>
      <c r="H99" s="43">
        <v>1161.8340000000001</v>
      </c>
      <c r="I99" s="43">
        <v>266.73500000000001</v>
      </c>
      <c r="J99" s="43">
        <v>560.38599999999997</v>
      </c>
      <c r="K99" s="43">
        <v>163.05199999999999</v>
      </c>
      <c r="L99" s="43">
        <v>827.66899999999998</v>
      </c>
      <c r="M99" s="43">
        <v>399.25299999999999</v>
      </c>
      <c r="N99" s="43">
        <v>314.52499999999998</v>
      </c>
      <c r="O99" s="43">
        <v>379.70600000000002</v>
      </c>
      <c r="P99" s="43">
        <v>0.80100000000000005</v>
      </c>
      <c r="Q99" s="44">
        <v>6186.2499999999991</v>
      </c>
      <c r="S99" s="49">
        <f t="shared" si="15"/>
        <v>42705</v>
      </c>
      <c r="T99" s="22">
        <f t="shared" si="16"/>
        <v>2.4156167195577005E-4</v>
      </c>
      <c r="U99" s="26">
        <f t="shared" si="17"/>
        <v>1493.9999999987776</v>
      </c>
      <c r="W99" s="22">
        <f t="shared" si="18"/>
        <v>-1.6772498067895159E-3</v>
      </c>
      <c r="X99" s="26">
        <f t="shared" si="19"/>
        <v>-2027.0000000000437</v>
      </c>
      <c r="Y99" s="53">
        <f t="shared" si="12"/>
        <v>95.303692399079907</v>
      </c>
      <c r="AA99" s="22">
        <f t="shared" si="20"/>
        <v>1.0793862607304083E-2</v>
      </c>
      <c r="AB99" s="26">
        <f t="shared" si="21"/>
        <v>4464.9999999999745</v>
      </c>
      <c r="AC99" s="53">
        <f t="shared" si="13"/>
        <v>88.766182208805162</v>
      </c>
      <c r="AE99" s="22">
        <f t="shared" si="22"/>
        <v>3.8316188632769865E-4</v>
      </c>
      <c r="AF99" s="26">
        <f t="shared" si="23"/>
        <v>445.00000000016371</v>
      </c>
      <c r="AG99" s="53">
        <f t="shared" si="14"/>
        <v>92.300908999909439</v>
      </c>
    </row>
    <row r="100" spans="1:33" x14ac:dyDescent="0.3">
      <c r="A100" s="40">
        <v>42736</v>
      </c>
      <c r="B100" s="41">
        <v>322.36</v>
      </c>
      <c r="C100" s="42">
        <v>12.765000000000001</v>
      </c>
      <c r="D100" s="42">
        <v>80.043000000000006</v>
      </c>
      <c r="E100" s="43">
        <v>1204.78</v>
      </c>
      <c r="F100" s="43">
        <v>72.081999999999994</v>
      </c>
      <c r="G100" s="43">
        <v>421.11399999999998</v>
      </c>
      <c r="H100" s="43">
        <v>1162.742</v>
      </c>
      <c r="I100" s="43">
        <v>267.15800000000002</v>
      </c>
      <c r="J100" s="43">
        <v>559.39800000000002</v>
      </c>
      <c r="K100" s="43">
        <v>163.155</v>
      </c>
      <c r="L100" s="43">
        <v>829.40200000000004</v>
      </c>
      <c r="M100" s="43">
        <v>398.803</v>
      </c>
      <c r="N100" s="43">
        <v>315.38200000000001</v>
      </c>
      <c r="O100" s="43">
        <v>382.721</v>
      </c>
      <c r="P100" s="43">
        <v>0.84899999999999998</v>
      </c>
      <c r="Q100" s="44">
        <v>6192.753999999999</v>
      </c>
      <c r="S100" s="49">
        <f t="shared" si="15"/>
        <v>42736</v>
      </c>
      <c r="T100" s="22">
        <f t="shared" si="16"/>
        <v>1.0513639119014151E-3</v>
      </c>
      <c r="U100" s="26">
        <f t="shared" si="17"/>
        <v>6503.9999999999054</v>
      </c>
      <c r="W100" s="22">
        <f t="shared" si="18"/>
        <v>-1.4247836094353206E-3</v>
      </c>
      <c r="X100" s="26">
        <f t="shared" si="19"/>
        <v>-1719.0000000000509</v>
      </c>
      <c r="Y100" s="53">
        <f t="shared" si="12"/>
        <v>95.167905260231038</v>
      </c>
      <c r="AA100" s="22">
        <f t="shared" si="20"/>
        <v>7.1461712498146479E-3</v>
      </c>
      <c r="AB100" s="26">
        <f t="shared" si="21"/>
        <v>2987.9999999999995</v>
      </c>
      <c r="AC100" s="53">
        <f t="shared" si="13"/>
        <v>89.400520548061536</v>
      </c>
      <c r="AE100" s="22">
        <f t="shared" si="22"/>
        <v>7.8152300586831203E-4</v>
      </c>
      <c r="AF100" s="26">
        <f t="shared" si="23"/>
        <v>907.99999999990177</v>
      </c>
      <c r="AG100" s="53">
        <f t="shared" si="14"/>
        <v>92.373044283755405</v>
      </c>
    </row>
    <row r="101" spans="1:33" x14ac:dyDescent="0.3">
      <c r="A101" s="40">
        <v>42767</v>
      </c>
      <c r="B101" s="41">
        <v>323.19299999999998</v>
      </c>
      <c r="C101" s="42">
        <v>12.895</v>
      </c>
      <c r="D101" s="42">
        <v>78.997</v>
      </c>
      <c r="E101" s="43">
        <v>1201.4960000000001</v>
      </c>
      <c r="F101" s="43">
        <v>72.311000000000007</v>
      </c>
      <c r="G101" s="43">
        <v>423.95800000000003</v>
      </c>
      <c r="H101" s="43">
        <v>1161.5450000000001</v>
      </c>
      <c r="I101" s="43">
        <v>266.40800000000002</v>
      </c>
      <c r="J101" s="43">
        <v>558.78</v>
      </c>
      <c r="K101" s="43">
        <v>163.29</v>
      </c>
      <c r="L101" s="43">
        <v>828.62900000000002</v>
      </c>
      <c r="M101" s="43">
        <v>398.20100000000002</v>
      </c>
      <c r="N101" s="43">
        <v>316.13499999999999</v>
      </c>
      <c r="O101" s="43">
        <v>382.72699999999998</v>
      </c>
      <c r="P101" s="43">
        <v>0.83699999999999997</v>
      </c>
      <c r="Q101" s="44">
        <v>6189.402</v>
      </c>
      <c r="S101" s="49">
        <f t="shared" si="15"/>
        <v>42767</v>
      </c>
      <c r="T101" s="22">
        <f t="shared" si="16"/>
        <v>-5.4127775784396093E-4</v>
      </c>
      <c r="U101" s="26">
        <f t="shared" si="17"/>
        <v>-3351.9999999989523</v>
      </c>
      <c r="W101" s="22">
        <f t="shared" si="18"/>
        <v>-2.7258088613687503E-3</v>
      </c>
      <c r="X101" s="26">
        <f t="shared" si="19"/>
        <v>-3283.9999999998781</v>
      </c>
      <c r="Y101" s="53">
        <f t="shared" si="12"/>
        <v>94.908495740754802</v>
      </c>
      <c r="AA101" s="22">
        <f t="shared" si="20"/>
        <v>6.7535156750904157E-3</v>
      </c>
      <c r="AB101" s="26">
        <f t="shared" si="21"/>
        <v>2844.0000000000509</v>
      </c>
      <c r="AC101" s="53">
        <f t="shared" si="13"/>
        <v>90.004288364944117</v>
      </c>
      <c r="AE101" s="22">
        <f t="shared" si="22"/>
        <v>-1.0294631139151633E-3</v>
      </c>
      <c r="AF101" s="26">
        <f t="shared" si="23"/>
        <v>-1196.999999999889</v>
      </c>
      <c r="AG101" s="53">
        <f t="shared" si="14"/>
        <v>92.277949641945227</v>
      </c>
    </row>
    <row r="102" spans="1:33" x14ac:dyDescent="0.3">
      <c r="A102" s="40">
        <v>42795</v>
      </c>
      <c r="B102" s="41">
        <v>322.33800000000002</v>
      </c>
      <c r="C102" s="42">
        <v>12.922000000000001</v>
      </c>
      <c r="D102" s="42">
        <v>78.363</v>
      </c>
      <c r="E102" s="43">
        <v>1201.164</v>
      </c>
      <c r="F102" s="43">
        <v>72.417000000000002</v>
      </c>
      <c r="G102" s="43">
        <v>429.59699999999998</v>
      </c>
      <c r="H102" s="43">
        <v>1162.232</v>
      </c>
      <c r="I102" s="43">
        <v>266.709</v>
      </c>
      <c r="J102" s="43">
        <v>558.37099999999998</v>
      </c>
      <c r="K102" s="43">
        <v>163.48699999999999</v>
      </c>
      <c r="L102" s="43">
        <v>831.12800000000004</v>
      </c>
      <c r="M102" s="43">
        <v>402.25700000000001</v>
      </c>
      <c r="N102" s="43">
        <v>317.005</v>
      </c>
      <c r="O102" s="43">
        <v>382.91300000000001</v>
      </c>
      <c r="P102" s="43">
        <v>0.77</v>
      </c>
      <c r="Q102" s="44">
        <v>6201.6729999999989</v>
      </c>
      <c r="S102" s="49">
        <f t="shared" si="15"/>
        <v>42795</v>
      </c>
      <c r="T102" s="22">
        <f t="shared" si="16"/>
        <v>1.9825824853514362E-3</v>
      </c>
      <c r="U102" s="26">
        <f t="shared" si="17"/>
        <v>12270.999999998821</v>
      </c>
      <c r="W102" s="22">
        <f t="shared" si="18"/>
        <v>-2.7632218500939221E-4</v>
      </c>
      <c r="X102" s="26">
        <f t="shared" si="19"/>
        <v>-332.00000000010732</v>
      </c>
      <c r="Y102" s="53">
        <f t="shared" si="12"/>
        <v>94.882270417835741</v>
      </c>
      <c r="AA102" s="22">
        <f t="shared" si="20"/>
        <v>1.3300845838502662E-2</v>
      </c>
      <c r="AB102" s="26">
        <f t="shared" si="21"/>
        <v>5638.9999999999527</v>
      </c>
      <c r="AC102" s="53">
        <f t="shared" si="13"/>
        <v>91.201421529290386</v>
      </c>
      <c r="AE102" s="22">
        <f t="shared" si="22"/>
        <v>5.914536242674906E-4</v>
      </c>
      <c r="AF102" s="26">
        <f t="shared" si="23"/>
        <v>686.99999999989814</v>
      </c>
      <c r="AG102" s="53">
        <f t="shared" si="14"/>
        <v>92.332527769700945</v>
      </c>
    </row>
    <row r="103" spans="1:33" x14ac:dyDescent="0.3">
      <c r="A103" s="40">
        <v>42826</v>
      </c>
      <c r="B103" s="41">
        <v>319.50200000000001</v>
      </c>
      <c r="C103" s="42">
        <v>13.003</v>
      </c>
      <c r="D103" s="42">
        <v>78.122</v>
      </c>
      <c r="E103" s="43">
        <v>1199.067</v>
      </c>
      <c r="F103" s="43">
        <v>72.375</v>
      </c>
      <c r="G103" s="43">
        <v>432.30099999999999</v>
      </c>
      <c r="H103" s="43">
        <v>1162.367</v>
      </c>
      <c r="I103" s="43">
        <v>267.72000000000003</v>
      </c>
      <c r="J103" s="43">
        <v>558.36400000000003</v>
      </c>
      <c r="K103" s="43">
        <v>163.19999999999999</v>
      </c>
      <c r="L103" s="43">
        <v>828.83799999999997</v>
      </c>
      <c r="M103" s="43">
        <v>401.375</v>
      </c>
      <c r="N103" s="43">
        <v>317.60300000000001</v>
      </c>
      <c r="O103" s="43">
        <v>383.89299999999997</v>
      </c>
      <c r="P103" s="43">
        <v>0.74199999999999999</v>
      </c>
      <c r="Q103" s="44">
        <v>6198.4719999999998</v>
      </c>
      <c r="S103" s="49">
        <f t="shared" si="15"/>
        <v>42826</v>
      </c>
      <c r="T103" s="22">
        <f t="shared" si="16"/>
        <v>-5.161510450485407E-4</v>
      </c>
      <c r="U103" s="26">
        <f t="shared" si="17"/>
        <v>-3200.9999999991123</v>
      </c>
      <c r="W103" s="22">
        <f t="shared" si="18"/>
        <v>-1.7458065676293488E-3</v>
      </c>
      <c r="X103" s="26">
        <f t="shared" si="19"/>
        <v>-2096.99999999998</v>
      </c>
      <c r="Y103" s="53">
        <f t="shared" si="12"/>
        <v>94.716624326988693</v>
      </c>
      <c r="AA103" s="22">
        <f t="shared" si="20"/>
        <v>6.2942711424893716E-3</v>
      </c>
      <c r="AB103" s="26">
        <f t="shared" si="21"/>
        <v>2704.0000000000077</v>
      </c>
      <c r="AC103" s="53">
        <f t="shared" si="13"/>
        <v>91.775468004976204</v>
      </c>
      <c r="AE103" s="22">
        <f t="shared" si="22"/>
        <v>1.1615581054380542E-4</v>
      </c>
      <c r="AF103" s="26">
        <f t="shared" si="23"/>
        <v>134.99999999999091</v>
      </c>
      <c r="AG103" s="53">
        <f t="shared" si="14"/>
        <v>92.3432527293036</v>
      </c>
    </row>
    <row r="104" spans="1:33" x14ac:dyDescent="0.3">
      <c r="A104" s="40">
        <v>42856</v>
      </c>
      <c r="B104" s="41">
        <v>320.36200000000002</v>
      </c>
      <c r="C104" s="42">
        <v>12.95</v>
      </c>
      <c r="D104" s="42">
        <v>78.025000000000006</v>
      </c>
      <c r="E104" s="43">
        <v>1196.7329999999999</v>
      </c>
      <c r="F104" s="43">
        <v>72.594999999999999</v>
      </c>
      <c r="G104" s="43">
        <v>437.00900000000001</v>
      </c>
      <c r="H104" s="43">
        <v>1165.461</v>
      </c>
      <c r="I104" s="43">
        <v>269.58999999999997</v>
      </c>
      <c r="J104" s="43">
        <v>558.75800000000004</v>
      </c>
      <c r="K104" s="43">
        <v>163.309</v>
      </c>
      <c r="L104" s="43">
        <v>831.34799999999996</v>
      </c>
      <c r="M104" s="43">
        <v>402.68099999999998</v>
      </c>
      <c r="N104" s="43">
        <v>318.45800000000003</v>
      </c>
      <c r="O104" s="43">
        <v>384.827</v>
      </c>
      <c r="P104" s="43">
        <v>0.73199999999999998</v>
      </c>
      <c r="Q104" s="44">
        <v>6212.8379999999997</v>
      </c>
      <c r="S104" s="49">
        <f t="shared" si="15"/>
        <v>42856</v>
      </c>
      <c r="T104" s="22">
        <f t="shared" si="16"/>
        <v>2.3176679672023415E-3</v>
      </c>
      <c r="U104" s="26">
        <f t="shared" si="17"/>
        <v>14365.999999999985</v>
      </c>
      <c r="W104" s="22">
        <f t="shared" si="18"/>
        <v>-1.9465134141796181E-3</v>
      </c>
      <c r="X104" s="26">
        <f t="shared" si="19"/>
        <v>-2334.00000000006</v>
      </c>
      <c r="Y104" s="53">
        <f t="shared" si="12"/>
        <v>94.532257147190407</v>
      </c>
      <c r="AA104" s="22">
        <f t="shared" si="20"/>
        <v>1.089056004959521E-2</v>
      </c>
      <c r="AB104" s="26">
        <f t="shared" si="21"/>
        <v>4708.0000000000273</v>
      </c>
      <c r="AC104" s="53">
        <f t="shared" si="13"/>
        <v>92.77495425036409</v>
      </c>
      <c r="AE104" s="22">
        <f t="shared" si="22"/>
        <v>2.6618099102950765E-3</v>
      </c>
      <c r="AF104" s="26">
        <f t="shared" si="23"/>
        <v>3094.0000000000509</v>
      </c>
      <c r="AG104" s="53">
        <f t="shared" si="14"/>
        <v>92.589052914567347</v>
      </c>
    </row>
    <row r="105" spans="1:33" x14ac:dyDescent="0.3">
      <c r="A105" s="40">
        <v>42887</v>
      </c>
      <c r="B105" s="41">
        <v>322.32</v>
      </c>
      <c r="C105" s="42">
        <v>12.832000000000001</v>
      </c>
      <c r="D105" s="42">
        <v>77.751999999999995</v>
      </c>
      <c r="E105" s="43">
        <v>1195.248</v>
      </c>
      <c r="F105" s="43">
        <v>72.741</v>
      </c>
      <c r="G105" s="43">
        <v>443.92399999999998</v>
      </c>
      <c r="H105" s="43">
        <v>1166.646</v>
      </c>
      <c r="I105" s="43">
        <v>270.70499999999998</v>
      </c>
      <c r="J105" s="43">
        <v>558.80399999999997</v>
      </c>
      <c r="K105" s="43">
        <v>163.33000000000001</v>
      </c>
      <c r="L105" s="43">
        <v>834.24</v>
      </c>
      <c r="M105" s="43">
        <v>403.91800000000001</v>
      </c>
      <c r="N105" s="43">
        <v>319.49700000000001</v>
      </c>
      <c r="O105" s="43">
        <v>384.74900000000002</v>
      </c>
      <c r="P105" s="43">
        <v>0.747</v>
      </c>
      <c r="Q105" s="44">
        <v>6227.4529999999995</v>
      </c>
      <c r="S105" s="49">
        <f t="shared" si="15"/>
        <v>42887</v>
      </c>
      <c r="T105" s="22">
        <f t="shared" si="16"/>
        <v>2.3523871055384227E-3</v>
      </c>
      <c r="U105" s="26">
        <f t="shared" si="17"/>
        <v>14614.999999999782</v>
      </c>
      <c r="W105" s="22">
        <f t="shared" si="18"/>
        <v>-1.2408782911476068E-3</v>
      </c>
      <c r="X105" s="26">
        <f t="shared" si="19"/>
        <v>-1484.9999999999</v>
      </c>
      <c r="Y105" s="53">
        <f t="shared" si="12"/>
        <v>94.414954121483291</v>
      </c>
      <c r="AA105" s="22">
        <f t="shared" si="20"/>
        <v>1.5823472743124123E-2</v>
      </c>
      <c r="AB105" s="26">
        <f t="shared" si="21"/>
        <v>6914.9999999999636</v>
      </c>
      <c r="AC105" s="53">
        <f t="shared" si="13"/>
        <v>94.242976210189326</v>
      </c>
      <c r="AE105" s="22">
        <f t="shared" si="22"/>
        <v>1.016765039756784E-3</v>
      </c>
      <c r="AF105" s="26">
        <f t="shared" si="23"/>
        <v>1184.9999999999454</v>
      </c>
      <c r="AG105" s="53">
        <f t="shared" si="14"/>
        <v>92.683194226635067</v>
      </c>
    </row>
    <row r="106" spans="1:33" x14ac:dyDescent="0.3">
      <c r="A106" s="40">
        <v>42917</v>
      </c>
      <c r="B106" s="41">
        <v>322.35599999999999</v>
      </c>
      <c r="C106" s="42">
        <v>12.648</v>
      </c>
      <c r="D106" s="42">
        <v>77.893000000000001</v>
      </c>
      <c r="E106" s="43">
        <v>1193.846</v>
      </c>
      <c r="F106" s="43">
        <v>72.959000000000003</v>
      </c>
      <c r="G106" s="43">
        <v>447.21600000000001</v>
      </c>
      <c r="H106" s="43">
        <v>1168.001</v>
      </c>
      <c r="I106" s="43">
        <v>271.66500000000002</v>
      </c>
      <c r="J106" s="43">
        <v>559.34400000000005</v>
      </c>
      <c r="K106" s="43">
        <v>163.19</v>
      </c>
      <c r="L106" s="43">
        <v>834.94200000000001</v>
      </c>
      <c r="M106" s="43">
        <v>405.08800000000002</v>
      </c>
      <c r="N106" s="43">
        <v>320.09300000000002</v>
      </c>
      <c r="O106" s="43">
        <v>385.59699999999998</v>
      </c>
      <c r="P106" s="43">
        <v>0.77100000000000002</v>
      </c>
      <c r="Q106" s="44">
        <v>6235.6089999999986</v>
      </c>
      <c r="S106" s="49">
        <f t="shared" si="15"/>
        <v>42917</v>
      </c>
      <c r="T106" s="22">
        <f t="shared" si="16"/>
        <v>1.3096847137985534E-3</v>
      </c>
      <c r="U106" s="26">
        <f t="shared" si="17"/>
        <v>8155.9999999990396</v>
      </c>
      <c r="W106" s="22">
        <f t="shared" si="18"/>
        <v>-1.1729783275102879E-3</v>
      </c>
      <c r="X106" s="26">
        <f t="shared" si="19"/>
        <v>-1402.0000000000437</v>
      </c>
      <c r="Y106" s="53">
        <f t="shared" si="12"/>
        <v>94.304207426505897</v>
      </c>
      <c r="AA106" s="22">
        <f t="shared" si="20"/>
        <v>7.4156837656897956E-3</v>
      </c>
      <c r="AB106" s="26">
        <f t="shared" si="21"/>
        <v>3292.00000000003</v>
      </c>
      <c r="AC106" s="53">
        <f t="shared" si="13"/>
        <v>94.94185231890151</v>
      </c>
      <c r="AE106" s="22">
        <f t="shared" si="22"/>
        <v>1.1614491456706233E-3</v>
      </c>
      <c r="AF106" s="26">
        <f t="shared" si="23"/>
        <v>1355.0000000000182</v>
      </c>
      <c r="AG106" s="53">
        <f t="shared" si="14"/>
        <v>92.790841043387616</v>
      </c>
    </row>
    <row r="107" spans="1:33" x14ac:dyDescent="0.3">
      <c r="A107" s="40">
        <v>42948</v>
      </c>
      <c r="B107" s="41">
        <v>319.363</v>
      </c>
      <c r="C107" s="42">
        <v>12.967000000000001</v>
      </c>
      <c r="D107" s="42">
        <v>77.975999999999999</v>
      </c>
      <c r="E107" s="43">
        <v>1192.6010000000001</v>
      </c>
      <c r="F107" s="43">
        <v>73.233000000000004</v>
      </c>
      <c r="G107" s="43">
        <v>449.31799999999998</v>
      </c>
      <c r="H107" s="43">
        <v>1168.634</v>
      </c>
      <c r="I107" s="43">
        <v>271.65899999999999</v>
      </c>
      <c r="J107" s="43">
        <v>559.35699999999997</v>
      </c>
      <c r="K107" s="43">
        <v>163.202</v>
      </c>
      <c r="L107" s="43">
        <v>834.31700000000001</v>
      </c>
      <c r="M107" s="43">
        <v>404.84</v>
      </c>
      <c r="N107" s="43">
        <v>320.65300000000002</v>
      </c>
      <c r="O107" s="43">
        <v>386.12900000000002</v>
      </c>
      <c r="P107" s="43">
        <v>0.80600000000000005</v>
      </c>
      <c r="Q107" s="44">
        <v>6235.0550000000003</v>
      </c>
      <c r="S107" s="49">
        <f t="shared" si="15"/>
        <v>42948</v>
      </c>
      <c r="T107" s="22">
        <f t="shared" si="16"/>
        <v>-8.8844569952728492E-5</v>
      </c>
      <c r="U107" s="26">
        <f t="shared" si="17"/>
        <v>-553.99999999826832</v>
      </c>
      <c r="W107" s="22">
        <f t="shared" si="18"/>
        <v>-1.0428480725318545E-3</v>
      </c>
      <c r="X107" s="26">
        <f t="shared" si="19"/>
        <v>-1244.9999999998909</v>
      </c>
      <c r="Y107" s="53">
        <f t="shared" si="12"/>
        <v>94.20586246555952</v>
      </c>
      <c r="AA107" s="22">
        <f t="shared" si="20"/>
        <v>4.7001896175449254E-3</v>
      </c>
      <c r="AB107" s="26">
        <f t="shared" si="21"/>
        <v>2101.9999999999754</v>
      </c>
      <c r="AC107" s="53">
        <f t="shared" si="13"/>
        <v>95.38809702744129</v>
      </c>
      <c r="AE107" s="22">
        <f t="shared" si="22"/>
        <v>5.4195159079495347E-4</v>
      </c>
      <c r="AF107" s="26">
        <f t="shared" si="23"/>
        <v>633.0000000000382</v>
      </c>
      <c r="AG107" s="53">
        <f t="shared" si="14"/>
        <v>92.841129187302272</v>
      </c>
    </row>
    <row r="108" spans="1:33" x14ac:dyDescent="0.3">
      <c r="A108" s="40">
        <v>42979</v>
      </c>
      <c r="B108" s="41">
        <v>321.65699999999998</v>
      </c>
      <c r="C108" s="42">
        <v>13.015000000000001</v>
      </c>
      <c r="D108" s="42">
        <v>78.034000000000006</v>
      </c>
      <c r="E108" s="43">
        <v>1190.999</v>
      </c>
      <c r="F108" s="43">
        <v>73.403000000000006</v>
      </c>
      <c r="G108" s="43">
        <v>454.05200000000002</v>
      </c>
      <c r="H108" s="43">
        <v>1169.9739999999999</v>
      </c>
      <c r="I108" s="43">
        <v>272.38099999999997</v>
      </c>
      <c r="J108" s="43">
        <v>559.65200000000004</v>
      </c>
      <c r="K108" s="43">
        <v>163.001</v>
      </c>
      <c r="L108" s="43">
        <v>834.80700000000002</v>
      </c>
      <c r="M108" s="43">
        <v>405.30700000000002</v>
      </c>
      <c r="N108" s="43">
        <v>321.55</v>
      </c>
      <c r="O108" s="43">
        <v>387.19400000000002</v>
      </c>
      <c r="P108" s="43">
        <v>0.81699999999999995</v>
      </c>
      <c r="Q108" s="44">
        <v>6245.8429999999998</v>
      </c>
      <c r="S108" s="49">
        <f t="shared" si="15"/>
        <v>42979</v>
      </c>
      <c r="T108" s="22">
        <f t="shared" si="16"/>
        <v>1.7302172955970807E-3</v>
      </c>
      <c r="U108" s="26">
        <f t="shared" si="17"/>
        <v>10787.999999999556</v>
      </c>
      <c r="W108" s="22">
        <f t="shared" si="18"/>
        <v>-1.3432824557417788E-3</v>
      </c>
      <c r="X108" s="26">
        <f t="shared" si="19"/>
        <v>-1602.0000000000891</v>
      </c>
      <c r="Y108" s="53">
        <f t="shared" si="12"/>
        <v>94.07931738328152</v>
      </c>
      <c r="AA108" s="22">
        <f t="shared" si="20"/>
        <v>1.0535967844600203E-2</v>
      </c>
      <c r="AB108" s="26">
        <f t="shared" si="21"/>
        <v>4734.0000000000373</v>
      </c>
      <c r="AC108" s="53">
        <f t="shared" si="13"/>
        <v>96.393102950480014</v>
      </c>
      <c r="AE108" s="22">
        <f t="shared" si="22"/>
        <v>1.1466378695126345E-3</v>
      </c>
      <c r="AF108" s="26">
        <f t="shared" si="23"/>
        <v>1339.9999999999181</v>
      </c>
      <c r="AG108" s="53">
        <f t="shared" si="14"/>
        <v>92.947584341876748</v>
      </c>
    </row>
    <row r="109" spans="1:33" x14ac:dyDescent="0.3">
      <c r="A109" s="40">
        <v>43009</v>
      </c>
      <c r="B109" s="41">
        <v>321.68900000000002</v>
      </c>
      <c r="C109" s="42">
        <v>12.84</v>
      </c>
      <c r="D109" s="42">
        <v>77.766999999999996</v>
      </c>
      <c r="E109" s="43">
        <v>1192.0719999999999</v>
      </c>
      <c r="F109" s="43">
        <v>73.534000000000006</v>
      </c>
      <c r="G109" s="43">
        <v>457.12700000000001</v>
      </c>
      <c r="H109" s="43">
        <v>1173.3530000000001</v>
      </c>
      <c r="I109" s="43">
        <v>273.21600000000001</v>
      </c>
      <c r="J109" s="43">
        <v>560.31200000000001</v>
      </c>
      <c r="K109" s="43">
        <v>162.94399999999999</v>
      </c>
      <c r="L109" s="43">
        <v>836.53700000000003</v>
      </c>
      <c r="M109" s="43">
        <v>405.98599999999999</v>
      </c>
      <c r="N109" s="43">
        <v>322.36099999999999</v>
      </c>
      <c r="O109" s="43">
        <v>386.82</v>
      </c>
      <c r="P109" s="43">
        <v>0.70499999999999996</v>
      </c>
      <c r="Q109" s="44">
        <v>6257.2629999999999</v>
      </c>
      <c r="S109" s="49">
        <f t="shared" si="15"/>
        <v>43009</v>
      </c>
      <c r="T109" s="22">
        <f t="shared" si="16"/>
        <v>1.8284161161272738E-3</v>
      </c>
      <c r="U109" s="26">
        <f t="shared" si="17"/>
        <v>11420.000000000073</v>
      </c>
      <c r="W109" s="22">
        <f t="shared" si="18"/>
        <v>9.0092435006239313E-4</v>
      </c>
      <c r="X109" s="26">
        <f t="shared" si="19"/>
        <v>1072.9999999998654</v>
      </c>
      <c r="Y109" s="53">
        <f t="shared" si="12"/>
        <v>94.164075731149353</v>
      </c>
      <c r="AA109" s="22">
        <f t="shared" si="20"/>
        <v>6.7723520654021652E-3</v>
      </c>
      <c r="AB109" s="26">
        <f t="shared" si="21"/>
        <v>3074.9999999999886</v>
      </c>
      <c r="AC109" s="53">
        <f t="shared" si="13"/>
        <v>97.045910980337212</v>
      </c>
      <c r="AE109" s="22">
        <f t="shared" si="22"/>
        <v>2.888098367997971E-3</v>
      </c>
      <c r="AF109" s="26">
        <f t="shared" si="23"/>
        <v>3379.0000000001328</v>
      </c>
      <c r="AG109" s="53">
        <f t="shared" si="14"/>
        <v>93.216026108523877</v>
      </c>
    </row>
    <row r="110" spans="1:33" x14ac:dyDescent="0.3">
      <c r="A110" s="40">
        <v>43040</v>
      </c>
      <c r="B110" s="41">
        <v>321.685</v>
      </c>
      <c r="C110" s="42">
        <v>12.775</v>
      </c>
      <c r="D110" s="42">
        <v>78.191000000000003</v>
      </c>
      <c r="E110" s="43">
        <v>1193.213</v>
      </c>
      <c r="F110" s="43">
        <v>73.754999999999995</v>
      </c>
      <c r="G110" s="43">
        <v>460.41</v>
      </c>
      <c r="H110" s="43">
        <v>1176.098</v>
      </c>
      <c r="I110" s="43">
        <v>273.98500000000001</v>
      </c>
      <c r="J110" s="43">
        <v>560.73500000000001</v>
      </c>
      <c r="K110" s="43">
        <v>163.06899999999999</v>
      </c>
      <c r="L110" s="43">
        <v>837.96600000000001</v>
      </c>
      <c r="M110" s="43">
        <v>406.738</v>
      </c>
      <c r="N110" s="43">
        <v>323.19</v>
      </c>
      <c r="O110" s="43">
        <v>387.077</v>
      </c>
      <c r="P110" s="43">
        <v>0.72099999999999997</v>
      </c>
      <c r="Q110" s="44">
        <v>6269.6080000000002</v>
      </c>
      <c r="S110" s="49">
        <f t="shared" si="15"/>
        <v>43040</v>
      </c>
      <c r="T110" s="22">
        <f t="shared" si="16"/>
        <v>1.9729073238572425E-3</v>
      </c>
      <c r="U110" s="26">
        <f t="shared" si="17"/>
        <v>12345.000000000255</v>
      </c>
      <c r="W110" s="22">
        <f t="shared" si="18"/>
        <v>9.5715695025133662E-4</v>
      </c>
      <c r="X110" s="26">
        <f t="shared" si="19"/>
        <v>1141.0000000000764</v>
      </c>
      <c r="Y110" s="53">
        <f t="shared" si="12"/>
        <v>94.254205530699423</v>
      </c>
      <c r="AA110" s="22">
        <f t="shared" si="20"/>
        <v>7.1818116190904835E-3</v>
      </c>
      <c r="AB110" s="26">
        <f t="shared" si="21"/>
        <v>3283.0000000000155</v>
      </c>
      <c r="AC110" s="53">
        <f t="shared" si="13"/>
        <v>97.742876431401044</v>
      </c>
      <c r="AE110" s="22">
        <f t="shared" si="22"/>
        <v>2.3394494240009944E-3</v>
      </c>
      <c r="AF110" s="26">
        <f t="shared" si="23"/>
        <v>2744.9999999998909</v>
      </c>
      <c r="AG110" s="53">
        <f t="shared" si="14"/>
        <v>93.434100287111136</v>
      </c>
    </row>
    <row r="111" spans="1:33" x14ac:dyDescent="0.3">
      <c r="A111" s="40">
        <v>43070</v>
      </c>
      <c r="B111" s="41">
        <v>326.05599999999998</v>
      </c>
      <c r="C111" s="42">
        <v>12.324</v>
      </c>
      <c r="D111" s="42">
        <v>78.120999999999995</v>
      </c>
      <c r="E111" s="43">
        <v>1192.6780000000001</v>
      </c>
      <c r="F111" s="43">
        <v>74.072999999999993</v>
      </c>
      <c r="G111" s="43">
        <v>461.81599999999997</v>
      </c>
      <c r="H111" s="43">
        <v>1177.8240000000001</v>
      </c>
      <c r="I111" s="43">
        <v>273.72699999999998</v>
      </c>
      <c r="J111" s="43">
        <v>560.78099999999995</v>
      </c>
      <c r="K111" s="43">
        <v>163.274</v>
      </c>
      <c r="L111" s="43">
        <v>840.99900000000002</v>
      </c>
      <c r="M111" s="43">
        <v>407.04700000000003</v>
      </c>
      <c r="N111" s="43">
        <v>323.81200000000001</v>
      </c>
      <c r="O111" s="43">
        <v>387.50900000000001</v>
      </c>
      <c r="P111" s="43">
        <v>0.72199999999999998</v>
      </c>
      <c r="Q111" s="44">
        <v>6280.762999999999</v>
      </c>
      <c r="S111" s="49">
        <f t="shared" si="15"/>
        <v>43070</v>
      </c>
      <c r="T111" s="22">
        <f t="shared" si="16"/>
        <v>1.7792180946558656E-3</v>
      </c>
      <c r="U111" s="26">
        <f t="shared" si="17"/>
        <v>11154.999999998836</v>
      </c>
      <c r="W111" s="22">
        <f t="shared" si="18"/>
        <v>-4.4836923499813608E-4</v>
      </c>
      <c r="X111" s="26">
        <f t="shared" si="19"/>
        <v>-534.99999999985448</v>
      </c>
      <c r="Y111" s="53">
        <f t="shared" si="12"/>
        <v>94.211944844670271</v>
      </c>
      <c r="AA111" s="22">
        <f t="shared" si="20"/>
        <v>3.0537998740252092E-3</v>
      </c>
      <c r="AB111" s="26">
        <f t="shared" si="21"/>
        <v>1405.9999999999491</v>
      </c>
      <c r="AC111" s="53">
        <f t="shared" si="13"/>
        <v>98.041363615134102</v>
      </c>
      <c r="AE111" s="22">
        <f t="shared" si="22"/>
        <v>1.4675647777651069E-3</v>
      </c>
      <c r="AF111" s="26">
        <f t="shared" si="23"/>
        <v>1726.0000000001128</v>
      </c>
      <c r="AG111" s="53">
        <f t="shared" si="14"/>
        <v>93.571220881734675</v>
      </c>
    </row>
    <row r="112" spans="1:33" x14ac:dyDescent="0.3">
      <c r="A112" s="40">
        <v>43101</v>
      </c>
      <c r="B112" s="41">
        <v>324.51</v>
      </c>
      <c r="C112" s="42">
        <v>13.073</v>
      </c>
      <c r="D112" s="42">
        <v>77.918000000000006</v>
      </c>
      <c r="E112" s="43">
        <v>1190.1849999999999</v>
      </c>
      <c r="F112" s="43">
        <v>74.113</v>
      </c>
      <c r="G112" s="43">
        <v>462.10899999999998</v>
      </c>
      <c r="H112" s="43">
        <v>1178.308</v>
      </c>
      <c r="I112" s="43">
        <v>272.596</v>
      </c>
      <c r="J112" s="43">
        <v>560.49900000000002</v>
      </c>
      <c r="K112" s="43">
        <v>163.44800000000001</v>
      </c>
      <c r="L112" s="43">
        <v>839.92399999999998</v>
      </c>
      <c r="M112" s="43">
        <v>406.63799999999998</v>
      </c>
      <c r="N112" s="43">
        <v>324.43299999999999</v>
      </c>
      <c r="O112" s="43">
        <v>386.66</v>
      </c>
      <c r="P112" s="43">
        <v>0.70499999999999996</v>
      </c>
      <c r="Q112" s="44">
        <v>6275.1189999999997</v>
      </c>
      <c r="S112" s="49">
        <f t="shared" si="15"/>
        <v>43101</v>
      </c>
      <c r="T112" s="22">
        <f t="shared" si="16"/>
        <v>-8.9861693555370881E-4</v>
      </c>
      <c r="U112" s="26">
        <f t="shared" si="17"/>
        <v>-5643.9999999993233</v>
      </c>
      <c r="W112" s="22">
        <f t="shared" si="18"/>
        <v>-2.0902540333603836E-3</v>
      </c>
      <c r="X112" s="26">
        <f t="shared" si="19"/>
        <v>-2493.0000000001655</v>
      </c>
      <c r="Y112" s="53">
        <f t="shared" si="12"/>
        <v>94.015017946967973</v>
      </c>
      <c r="AA112" s="22">
        <f t="shared" si="20"/>
        <v>6.3445181630772396E-4</v>
      </c>
      <c r="AB112" s="26">
        <f t="shared" si="21"/>
        <v>293.00000000000637</v>
      </c>
      <c r="AC112" s="53">
        <f t="shared" si="13"/>
        <v>98.103566136353024</v>
      </c>
      <c r="AE112" s="22">
        <f t="shared" si="22"/>
        <v>4.1092726926938994E-4</v>
      </c>
      <c r="AF112" s="26">
        <f t="shared" si="23"/>
        <v>483.9999999999236</v>
      </c>
      <c r="AG112" s="53">
        <f t="shared" si="14"/>
        <v>93.609671848013804</v>
      </c>
    </row>
    <row r="113" spans="1:33" x14ac:dyDescent="0.3">
      <c r="A113" s="40">
        <v>43132</v>
      </c>
      <c r="B113" s="41">
        <v>323.41000000000003</v>
      </c>
      <c r="C113" s="42">
        <v>12.864000000000001</v>
      </c>
      <c r="D113" s="42">
        <v>78.150000000000006</v>
      </c>
      <c r="E113" s="43">
        <v>1187.0150000000001</v>
      </c>
      <c r="F113" s="43">
        <v>74.147999999999996</v>
      </c>
      <c r="G113" s="43">
        <v>462.64299999999997</v>
      </c>
      <c r="H113" s="43">
        <v>1176.828</v>
      </c>
      <c r="I113" s="43">
        <v>272.52499999999998</v>
      </c>
      <c r="J113" s="43">
        <v>560.18700000000001</v>
      </c>
      <c r="K113" s="43">
        <v>163.34700000000001</v>
      </c>
      <c r="L113" s="43">
        <v>839.79899999999998</v>
      </c>
      <c r="M113" s="43">
        <v>407.05200000000002</v>
      </c>
      <c r="N113" s="43">
        <v>324.685</v>
      </c>
      <c r="O113" s="43">
        <v>387.06200000000001</v>
      </c>
      <c r="P113" s="43">
        <v>0.73299999999999998</v>
      </c>
      <c r="Q113" s="44">
        <v>6270.4480000000003</v>
      </c>
      <c r="S113" s="49">
        <f t="shared" si="15"/>
        <v>43132</v>
      </c>
      <c r="T113" s="22">
        <f t="shared" si="16"/>
        <v>-7.4436835381119781E-4</v>
      </c>
      <c r="U113" s="26">
        <f t="shared" si="17"/>
        <v>-4670.999999999367</v>
      </c>
      <c r="W113" s="22">
        <f t="shared" si="18"/>
        <v>-2.6634514802319487E-3</v>
      </c>
      <c r="X113" s="26">
        <f t="shared" si="19"/>
        <v>-3169.9999999998454</v>
      </c>
      <c r="Y113" s="53">
        <f t="shared" si="12"/>
        <v>93.764613508253078</v>
      </c>
      <c r="AA113" s="22">
        <f t="shared" si="20"/>
        <v>1.1555715210047612E-3</v>
      </c>
      <c r="AB113" s="26">
        <f t="shared" si="21"/>
        <v>533.99999999999181</v>
      </c>
      <c r="AC113" s="53">
        <f t="shared" si="13"/>
        <v>98.21693182348919</v>
      </c>
      <c r="AE113" s="22">
        <f t="shared" si="22"/>
        <v>-1.2560383193528368E-3</v>
      </c>
      <c r="AF113" s="26">
        <f t="shared" si="23"/>
        <v>-1480.0000000000182</v>
      </c>
      <c r="AG113" s="53">
        <f t="shared" si="14"/>
        <v>93.492094513110658</v>
      </c>
    </row>
    <row r="114" spans="1:33" x14ac:dyDescent="0.3">
      <c r="A114" s="40">
        <v>43160</v>
      </c>
      <c r="B114" s="41">
        <v>323.15800000000002</v>
      </c>
      <c r="C114" s="42">
        <v>12.831</v>
      </c>
      <c r="D114" s="42">
        <v>78.209000000000003</v>
      </c>
      <c r="E114" s="43">
        <v>1185.048</v>
      </c>
      <c r="F114" s="43">
        <v>74.176000000000002</v>
      </c>
      <c r="G114" s="43">
        <v>465.65</v>
      </c>
      <c r="H114" s="43">
        <v>1178.0060000000001</v>
      </c>
      <c r="I114" s="43">
        <v>272.87400000000002</v>
      </c>
      <c r="J114" s="43">
        <v>561.13900000000001</v>
      </c>
      <c r="K114" s="43">
        <v>163.41900000000001</v>
      </c>
      <c r="L114" s="43">
        <v>842.40200000000004</v>
      </c>
      <c r="M114" s="43">
        <v>408.48899999999998</v>
      </c>
      <c r="N114" s="43">
        <v>325.29500000000002</v>
      </c>
      <c r="O114" s="43">
        <v>387.55099999999999</v>
      </c>
      <c r="P114" s="43">
        <v>0.72499999999999998</v>
      </c>
      <c r="Q114" s="44">
        <v>6278.9720000000007</v>
      </c>
      <c r="S114" s="49">
        <f t="shared" si="15"/>
        <v>43160</v>
      </c>
      <c r="T114" s="22">
        <f t="shared" si="16"/>
        <v>1.3593925027366449E-3</v>
      </c>
      <c r="U114" s="26">
        <f t="shared" si="17"/>
        <v>8524.000000000342</v>
      </c>
      <c r="W114" s="22">
        <f t="shared" si="18"/>
        <v>-1.6570978462783215E-3</v>
      </c>
      <c r="X114" s="26">
        <f t="shared" si="19"/>
        <v>-1967.0000000000982</v>
      </c>
      <c r="Y114" s="53">
        <f t="shared" si="12"/>
        <v>93.609236369151432</v>
      </c>
      <c r="AA114" s="22">
        <f t="shared" si="20"/>
        <v>6.4996120118536727E-3</v>
      </c>
      <c r="AB114" s="26">
        <f t="shared" si="21"/>
        <v>3007.000000000005</v>
      </c>
      <c r="AC114" s="53">
        <f t="shared" si="13"/>
        <v>98.855303773336558</v>
      </c>
      <c r="AE114" s="22">
        <f t="shared" si="22"/>
        <v>1.0009958974463995E-3</v>
      </c>
      <c r="AF114" s="26">
        <f t="shared" si="23"/>
        <v>1178.000000000111</v>
      </c>
      <c r="AG114" s="53">
        <f t="shared" si="14"/>
        <v>93.585679716161962</v>
      </c>
    </row>
    <row r="115" spans="1:33" x14ac:dyDescent="0.3">
      <c r="A115" s="40">
        <v>43191</v>
      </c>
      <c r="B115" s="41">
        <v>322.04000000000002</v>
      </c>
      <c r="C115" s="42">
        <v>12.962</v>
      </c>
      <c r="D115" s="42">
        <v>81.051000000000002</v>
      </c>
      <c r="E115" s="43">
        <v>1182.2149999999999</v>
      </c>
      <c r="F115" s="43">
        <v>74.224000000000004</v>
      </c>
      <c r="G115" s="43">
        <v>465.51100000000002</v>
      </c>
      <c r="H115" s="43">
        <v>1178.058</v>
      </c>
      <c r="I115" s="43">
        <v>273.83</v>
      </c>
      <c r="J115" s="43">
        <v>561.64800000000002</v>
      </c>
      <c r="K115" s="43">
        <v>163.649</v>
      </c>
      <c r="L115" s="43">
        <v>843.40800000000002</v>
      </c>
      <c r="M115" s="43">
        <v>409.11399999999998</v>
      </c>
      <c r="N115" s="43">
        <v>325.66000000000003</v>
      </c>
      <c r="O115" s="43">
        <v>387.72800000000001</v>
      </c>
      <c r="P115" s="43">
        <v>0.69499999999999995</v>
      </c>
      <c r="Q115" s="44">
        <v>6281.7929999999997</v>
      </c>
      <c r="S115" s="49">
        <f t="shared" si="15"/>
        <v>43191</v>
      </c>
      <c r="T115" s="22">
        <f t="shared" si="16"/>
        <v>4.492773657851501E-4</v>
      </c>
      <c r="U115" s="26">
        <f t="shared" si="17"/>
        <v>2820.9999999990032</v>
      </c>
      <c r="W115" s="22">
        <f t="shared" si="18"/>
        <v>-2.3906204643188156E-3</v>
      </c>
      <c r="X115" s="26">
        <f t="shared" si="19"/>
        <v>-2833.0000000000837</v>
      </c>
      <c r="Y115" s="53">
        <f t="shared" si="12"/>
        <v>93.385452213038093</v>
      </c>
      <c r="AA115" s="22">
        <f t="shared" si="20"/>
        <v>-2.9850746268644812E-4</v>
      </c>
      <c r="AB115" s="26">
        <f t="shared" si="21"/>
        <v>-138.99999999995316</v>
      </c>
      <c r="AC115" s="53">
        <f t="shared" si="13"/>
        <v>98.825794727434086</v>
      </c>
      <c r="AE115" s="22">
        <f t="shared" si="22"/>
        <v>4.4142389767021228E-5</v>
      </c>
      <c r="AF115" s="26">
        <f t="shared" si="23"/>
        <v>51.999999999907232</v>
      </c>
      <c r="AG115" s="53">
        <f t="shared" si="14"/>
        <v>93.58981081171261</v>
      </c>
    </row>
    <row r="116" spans="1:33" x14ac:dyDescent="0.3">
      <c r="A116" s="40">
        <v>43221</v>
      </c>
      <c r="B116" s="41">
        <v>322.00700000000001</v>
      </c>
      <c r="C116" s="42">
        <v>12.795999999999999</v>
      </c>
      <c r="D116" s="42">
        <v>81.578999999999994</v>
      </c>
      <c r="E116" s="43">
        <v>1177.758</v>
      </c>
      <c r="F116" s="43">
        <v>74.234999999999999</v>
      </c>
      <c r="G116" s="43">
        <v>464.71199999999999</v>
      </c>
      <c r="H116" s="43">
        <v>1176.3409999999999</v>
      </c>
      <c r="I116" s="43">
        <v>273.99200000000002</v>
      </c>
      <c r="J116" s="43">
        <v>560.39200000000005</v>
      </c>
      <c r="K116" s="43">
        <v>163.65799999999999</v>
      </c>
      <c r="L116" s="43">
        <v>844.03800000000001</v>
      </c>
      <c r="M116" s="43">
        <v>409.77199999999999</v>
      </c>
      <c r="N116" s="43">
        <v>326.08800000000002</v>
      </c>
      <c r="O116" s="43">
        <v>387.27100000000002</v>
      </c>
      <c r="P116" s="43">
        <v>0.66900000000000004</v>
      </c>
      <c r="Q116" s="44">
        <v>6275.3079999999991</v>
      </c>
      <c r="S116" s="49">
        <f t="shared" si="15"/>
        <v>43221</v>
      </c>
      <c r="T116" s="22">
        <f t="shared" si="16"/>
        <v>-1.0323485667229626E-3</v>
      </c>
      <c r="U116" s="26">
        <f t="shared" si="17"/>
        <v>-6485.0000000005821</v>
      </c>
      <c r="W116" s="22">
        <f t="shared" si="18"/>
        <v>-3.7700418282629045E-3</v>
      </c>
      <c r="X116" s="26">
        <f t="shared" si="19"/>
        <v>-4456.9999999998799</v>
      </c>
      <c r="Y116" s="53">
        <f t="shared" si="12"/>
        <v>93.033385152043678</v>
      </c>
      <c r="AA116" s="22">
        <f t="shared" si="20"/>
        <v>-1.7163933827557543E-3</v>
      </c>
      <c r="AB116" s="26">
        <f t="shared" si="21"/>
        <v>-799.00000000003502</v>
      </c>
      <c r="AC116" s="53">
        <f t="shared" si="13"/>
        <v>98.656170787318331</v>
      </c>
      <c r="AE116" s="22">
        <f t="shared" si="22"/>
        <v>-1.4574834176246387E-3</v>
      </c>
      <c r="AF116" s="26">
        <f t="shared" si="23"/>
        <v>-1717.0000000000982</v>
      </c>
      <c r="AG116" s="53">
        <f t="shared" si="14"/>
        <v>93.4534052143959</v>
      </c>
    </row>
    <row r="117" spans="1:33" x14ac:dyDescent="0.3">
      <c r="A117" s="40">
        <v>43252</v>
      </c>
      <c r="B117" s="41">
        <v>321.33499999999998</v>
      </c>
      <c r="C117" s="42">
        <v>12.798999999999999</v>
      </c>
      <c r="D117" s="42">
        <v>81.391000000000005</v>
      </c>
      <c r="E117" s="43">
        <v>1170.607</v>
      </c>
      <c r="F117" s="43">
        <v>74.126000000000005</v>
      </c>
      <c r="G117" s="43">
        <v>460.97199999999998</v>
      </c>
      <c r="H117" s="43">
        <v>1173.125</v>
      </c>
      <c r="I117" s="43">
        <v>273.15100000000001</v>
      </c>
      <c r="J117" s="43">
        <v>558.70899999999995</v>
      </c>
      <c r="K117" s="43">
        <v>163.58500000000001</v>
      </c>
      <c r="L117" s="43">
        <v>840.56</v>
      </c>
      <c r="M117" s="43">
        <v>410.49299999999999</v>
      </c>
      <c r="N117" s="43">
        <v>326.17200000000003</v>
      </c>
      <c r="O117" s="43">
        <v>386.65699999999998</v>
      </c>
      <c r="P117" s="43">
        <v>0.64500000000000002</v>
      </c>
      <c r="Q117" s="44">
        <v>6254.327000000002</v>
      </c>
      <c r="S117" s="49">
        <f t="shared" si="15"/>
        <v>43252</v>
      </c>
      <c r="T117" s="22">
        <f t="shared" si="16"/>
        <v>-3.3434215499855702E-3</v>
      </c>
      <c r="U117" s="26">
        <f t="shared" si="17"/>
        <v>-20980.999999997039</v>
      </c>
      <c r="W117" s="22">
        <f t="shared" si="18"/>
        <v>-6.0717057324171098E-3</v>
      </c>
      <c r="X117" s="26">
        <f t="shared" si="19"/>
        <v>-7151.0000000000673</v>
      </c>
      <c r="Y117" s="53">
        <f t="shared" si="12"/>
        <v>92.468513814109855</v>
      </c>
      <c r="AA117" s="22">
        <f t="shared" si="20"/>
        <v>-8.0479953175299768E-3</v>
      </c>
      <c r="AB117" s="26">
        <f t="shared" si="21"/>
        <v>-3740.0000000000091</v>
      </c>
      <c r="AC117" s="53">
        <f t="shared" si="13"/>
        <v>97.862186386776557</v>
      </c>
      <c r="AE117" s="22">
        <f t="shared" si="22"/>
        <v>-2.7339011392103485E-3</v>
      </c>
      <c r="AF117" s="26">
        <f t="shared" si="23"/>
        <v>-3215.9999999998945</v>
      </c>
      <c r="AG117" s="53">
        <f t="shared" si="14"/>
        <v>93.197912843417171</v>
      </c>
    </row>
    <row r="118" spans="1:33" x14ac:dyDescent="0.3">
      <c r="A118" s="40">
        <v>43282</v>
      </c>
      <c r="B118" s="41">
        <v>323.125</v>
      </c>
      <c r="C118" s="42">
        <v>12.842000000000001</v>
      </c>
      <c r="D118" s="42">
        <v>81.489999999999995</v>
      </c>
      <c r="E118" s="43">
        <v>1164.951</v>
      </c>
      <c r="F118" s="43">
        <v>74.275000000000006</v>
      </c>
      <c r="G118" s="43">
        <v>457.57400000000001</v>
      </c>
      <c r="H118" s="43">
        <v>1170.06</v>
      </c>
      <c r="I118" s="43">
        <v>273.20100000000002</v>
      </c>
      <c r="J118" s="43">
        <v>557.98800000000006</v>
      </c>
      <c r="K118" s="43">
        <v>163.61000000000001</v>
      </c>
      <c r="L118" s="43">
        <v>839.71</v>
      </c>
      <c r="M118" s="43">
        <v>411.03</v>
      </c>
      <c r="N118" s="43">
        <v>325.84399999999999</v>
      </c>
      <c r="O118" s="43">
        <v>387.67500000000001</v>
      </c>
      <c r="P118" s="43">
        <v>0.67900000000000005</v>
      </c>
      <c r="Q118" s="44">
        <v>6244.0540000000001</v>
      </c>
      <c r="S118" s="49">
        <f t="shared" si="15"/>
        <v>43282</v>
      </c>
      <c r="T118" s="22">
        <f t="shared" si="16"/>
        <v>-1.6425428347449644E-3</v>
      </c>
      <c r="U118" s="26">
        <f t="shared" si="17"/>
        <v>-10273.000000001957</v>
      </c>
      <c r="W118" s="22">
        <f t="shared" si="18"/>
        <v>-4.8316813413895598E-3</v>
      </c>
      <c r="X118" s="26">
        <f t="shared" si="19"/>
        <v>-5655.9999999999491</v>
      </c>
      <c r="Y118" s="53">
        <f t="shared" si="12"/>
        <v>92.021735421248195</v>
      </c>
      <c r="AA118" s="22">
        <f t="shared" si="20"/>
        <v>-7.3713804743020805E-3</v>
      </c>
      <c r="AB118" s="26">
        <f t="shared" si="21"/>
        <v>-3397.9999999999677</v>
      </c>
      <c r="AC118" s="53">
        <f t="shared" si="13"/>
        <v>97.140806976872568</v>
      </c>
      <c r="AE118" s="22">
        <f t="shared" si="22"/>
        <v>-2.6126798082046765E-3</v>
      </c>
      <c r="AF118" s="26">
        <f t="shared" si="23"/>
        <v>-3065.0000000000546</v>
      </c>
      <c r="AG118" s="53">
        <f t="shared" si="14"/>
        <v>92.954416538364356</v>
      </c>
    </row>
    <row r="119" spans="1:33" x14ac:dyDescent="0.3">
      <c r="A119" s="40">
        <v>43313</v>
      </c>
      <c r="B119" s="41">
        <v>325.27499999999998</v>
      </c>
      <c r="C119" s="42">
        <v>13.167999999999999</v>
      </c>
      <c r="D119" s="42">
        <v>81.691000000000003</v>
      </c>
      <c r="E119" s="43">
        <v>1160.261</v>
      </c>
      <c r="F119" s="43">
        <v>74.037999999999997</v>
      </c>
      <c r="G119" s="43">
        <v>455.25799999999998</v>
      </c>
      <c r="H119" s="43">
        <v>1167.336</v>
      </c>
      <c r="I119" s="43">
        <v>272.50299999999999</v>
      </c>
      <c r="J119" s="43">
        <v>556.404</v>
      </c>
      <c r="K119" s="43">
        <v>163.43899999999999</v>
      </c>
      <c r="L119" s="43">
        <v>837.38599999999997</v>
      </c>
      <c r="M119" s="43">
        <v>413.928</v>
      </c>
      <c r="N119" s="43">
        <v>325.642</v>
      </c>
      <c r="O119" s="43">
        <v>387.91</v>
      </c>
      <c r="P119" s="43">
        <v>0.68200000000000005</v>
      </c>
      <c r="Q119" s="44">
        <v>6234.9209999999994</v>
      </c>
      <c r="S119" s="49">
        <f t="shared" si="15"/>
        <v>43313</v>
      </c>
      <c r="T119" s="22">
        <f t="shared" si="16"/>
        <v>-1.4626715271842672E-3</v>
      </c>
      <c r="U119" s="26">
        <f t="shared" si="17"/>
        <v>-9133.0000000007203</v>
      </c>
      <c r="W119" s="22">
        <f t="shared" si="18"/>
        <v>-4.0259204035191232E-3</v>
      </c>
      <c r="X119" s="26">
        <f t="shared" si="19"/>
        <v>-4690.0000000000546</v>
      </c>
      <c r="Y119" s="53">
        <f t="shared" si="12"/>
        <v>91.651263239048546</v>
      </c>
      <c r="AA119" s="22">
        <f t="shared" si="20"/>
        <v>-5.0614763950749264E-3</v>
      </c>
      <c r="AB119" s="26">
        <f t="shared" si="21"/>
        <v>-2316.0000000000309</v>
      </c>
      <c r="AC119" s="53">
        <f t="shared" si="13"/>
        <v>96.649131075360586</v>
      </c>
      <c r="AE119" s="22">
        <f t="shared" si="22"/>
        <v>-2.3280857391928533E-3</v>
      </c>
      <c r="AF119" s="26">
        <f t="shared" si="23"/>
        <v>-2723.9999999999327</v>
      </c>
      <c r="AG119" s="53">
        <f t="shared" si="14"/>
        <v>92.738010686826414</v>
      </c>
    </row>
    <row r="120" spans="1:33" x14ac:dyDescent="0.3">
      <c r="A120" s="40">
        <v>43344</v>
      </c>
      <c r="B120" s="41">
        <v>324.88</v>
      </c>
      <c r="C120" s="42">
        <v>13.476000000000001</v>
      </c>
      <c r="D120" s="42">
        <v>81.929000000000002</v>
      </c>
      <c r="E120" s="43">
        <v>1152.056</v>
      </c>
      <c r="F120" s="43">
        <v>73.894000000000005</v>
      </c>
      <c r="G120" s="43">
        <v>449.48899999999998</v>
      </c>
      <c r="H120" s="43">
        <v>1162.0239999999999</v>
      </c>
      <c r="I120" s="43">
        <v>271.39600000000002</v>
      </c>
      <c r="J120" s="43">
        <v>553.96</v>
      </c>
      <c r="K120" s="43">
        <v>163.09</v>
      </c>
      <c r="L120" s="43">
        <v>836.23800000000006</v>
      </c>
      <c r="M120" s="43">
        <v>413.87</v>
      </c>
      <c r="N120" s="43">
        <v>325.78399999999999</v>
      </c>
      <c r="O120" s="43">
        <v>387.21300000000002</v>
      </c>
      <c r="P120" s="43">
        <v>0.753</v>
      </c>
      <c r="Q120" s="44">
        <v>6210.0519999999988</v>
      </c>
      <c r="S120" s="49">
        <f t="shared" si="15"/>
        <v>43344</v>
      </c>
      <c r="T120" s="22">
        <f t="shared" si="16"/>
        <v>-3.988663208403187E-3</v>
      </c>
      <c r="U120" s="26">
        <f t="shared" si="17"/>
        <v>-24869.000000000597</v>
      </c>
      <c r="W120" s="22">
        <f t="shared" si="18"/>
        <v>-7.0716847330040133E-3</v>
      </c>
      <c r="X120" s="26">
        <f t="shared" si="19"/>
        <v>-8204.9999999999272</v>
      </c>
      <c r="Y120" s="53">
        <f t="shared" si="12"/>
        <v>91.003134400040437</v>
      </c>
      <c r="AA120" s="22">
        <f t="shared" si="20"/>
        <v>-1.2671935473951068E-2</v>
      </c>
      <c r="AB120" s="26">
        <f t="shared" si="21"/>
        <v>-5769.0000000000055</v>
      </c>
      <c r="AC120" s="53">
        <f t="shared" si="13"/>
        <v>95.424399522760183</v>
      </c>
      <c r="AE120" s="22">
        <f t="shared" si="22"/>
        <v>-4.55053215183987E-3</v>
      </c>
      <c r="AF120" s="26">
        <f t="shared" si="23"/>
        <v>-5312.0000000001255</v>
      </c>
      <c r="AG120" s="53">
        <f t="shared" si="14"/>
        <v>92.316003387498341</v>
      </c>
    </row>
    <row r="121" spans="1:33" x14ac:dyDescent="0.3">
      <c r="A121" s="40">
        <v>43374</v>
      </c>
      <c r="B121" s="41">
        <v>329.33</v>
      </c>
      <c r="C121" s="42">
        <v>13.766</v>
      </c>
      <c r="D121" s="42">
        <v>82.563999999999993</v>
      </c>
      <c r="E121" s="43">
        <v>1144.8309999999999</v>
      </c>
      <c r="F121" s="43">
        <v>74.070999999999998</v>
      </c>
      <c r="G121" s="43">
        <v>446.46</v>
      </c>
      <c r="H121" s="43">
        <v>1156.25</v>
      </c>
      <c r="I121" s="43">
        <v>271.11</v>
      </c>
      <c r="J121" s="43">
        <v>552.16700000000003</v>
      </c>
      <c r="K121" s="43">
        <v>162.96799999999999</v>
      </c>
      <c r="L121" s="43">
        <v>834.30499999999995</v>
      </c>
      <c r="M121" s="43">
        <v>414.78399999999999</v>
      </c>
      <c r="N121" s="43">
        <v>325.53699999999998</v>
      </c>
      <c r="O121" s="43">
        <v>386.68599999999998</v>
      </c>
      <c r="P121" s="43">
        <v>0.78</v>
      </c>
      <c r="Q121" s="44">
        <v>6195.6089999999995</v>
      </c>
      <c r="S121" s="49">
        <f t="shared" si="15"/>
        <v>43374</v>
      </c>
      <c r="T121" s="22">
        <f t="shared" si="16"/>
        <v>-2.3257454204891337E-3</v>
      </c>
      <c r="U121" s="26">
        <f t="shared" si="17"/>
        <v>-14442.999999999302</v>
      </c>
      <c r="W121" s="22">
        <f t="shared" si="18"/>
        <v>-6.2713965293355045E-3</v>
      </c>
      <c r="X121" s="26">
        <f t="shared" si="19"/>
        <v>-7225.0000000001364</v>
      </c>
      <c r="Y121" s="53">
        <f t="shared" si="12"/>
        <v>90.432417658805392</v>
      </c>
      <c r="AA121" s="22">
        <f t="shared" si="20"/>
        <v>-6.7387633512722145E-3</v>
      </c>
      <c r="AB121" s="26">
        <f t="shared" si="21"/>
        <v>-3028.9999999999964</v>
      </c>
      <c r="AC121" s="53">
        <f t="shared" si="13"/>
        <v>94.781357076439036</v>
      </c>
      <c r="AE121" s="22">
        <f t="shared" si="22"/>
        <v>-4.9689163046545692E-3</v>
      </c>
      <c r="AF121" s="26">
        <f t="shared" si="23"/>
        <v>-5773.9999999998872</v>
      </c>
      <c r="AG121" s="53">
        <f t="shared" si="14"/>
        <v>91.857292893085656</v>
      </c>
    </row>
    <row r="122" spans="1:33" x14ac:dyDescent="0.3">
      <c r="A122" s="40">
        <v>43405</v>
      </c>
      <c r="B122" s="41">
        <v>332.62</v>
      </c>
      <c r="C122" s="42">
        <v>13.852</v>
      </c>
      <c r="D122" s="42">
        <v>82.78</v>
      </c>
      <c r="E122" s="43">
        <v>1135.6130000000001</v>
      </c>
      <c r="F122" s="43">
        <v>74.173000000000002</v>
      </c>
      <c r="G122" s="43">
        <v>444.21499999999997</v>
      </c>
      <c r="H122" s="43">
        <v>1148.5830000000001</v>
      </c>
      <c r="I122" s="43">
        <v>269.52300000000002</v>
      </c>
      <c r="J122" s="43">
        <v>549.34100000000001</v>
      </c>
      <c r="K122" s="43">
        <v>162.60499999999999</v>
      </c>
      <c r="L122" s="43">
        <v>829.05899999999997</v>
      </c>
      <c r="M122" s="43">
        <v>414.25099999999998</v>
      </c>
      <c r="N122" s="43">
        <v>325.49299999999999</v>
      </c>
      <c r="O122" s="43">
        <v>386.68599999999998</v>
      </c>
      <c r="P122" s="43">
        <v>0.71399999999999997</v>
      </c>
      <c r="Q122" s="44">
        <v>6169.5080000000007</v>
      </c>
      <c r="S122" s="49">
        <f t="shared" si="15"/>
        <v>43405</v>
      </c>
      <c r="T122" s="22">
        <f t="shared" si="16"/>
        <v>-4.212822339175859E-3</v>
      </c>
      <c r="U122" s="26">
        <f t="shared" si="17"/>
        <v>-26100.999999998749</v>
      </c>
      <c r="W122" s="22">
        <f t="shared" si="18"/>
        <v>-8.0518434598642052E-3</v>
      </c>
      <c r="X122" s="26">
        <f t="shared" si="19"/>
        <v>-9217.9999999998472</v>
      </c>
      <c r="Y122" s="53">
        <f t="shared" si="12"/>
        <v>89.70426998811962</v>
      </c>
      <c r="AA122" s="22">
        <f t="shared" si="20"/>
        <v>-5.0284459974018203E-3</v>
      </c>
      <c r="AB122" s="26">
        <f t="shared" si="21"/>
        <v>-2245.0000000000045</v>
      </c>
      <c r="AC122" s="53">
        <f t="shared" si="13"/>
        <v>94.304754140819711</v>
      </c>
      <c r="AE122" s="22">
        <f t="shared" si="22"/>
        <v>-6.6309189189188711E-3</v>
      </c>
      <c r="AF122" s="26">
        <f t="shared" si="23"/>
        <v>-7666.9999999999163</v>
      </c>
      <c r="AG122" s="53">
        <f t="shared" si="14"/>
        <v>91.248194631800217</v>
      </c>
    </row>
    <row r="123" spans="1:33" x14ac:dyDescent="0.3">
      <c r="A123" s="40">
        <v>43435</v>
      </c>
      <c r="B123" s="41">
        <v>329.59100000000001</v>
      </c>
      <c r="C123" s="42">
        <v>12.71</v>
      </c>
      <c r="D123" s="42">
        <v>83.096000000000004</v>
      </c>
      <c r="E123" s="43">
        <v>1133.2260000000001</v>
      </c>
      <c r="F123" s="43">
        <v>74.153999999999996</v>
      </c>
      <c r="G123" s="43">
        <v>447.61599999999999</v>
      </c>
      <c r="H123" s="43">
        <v>1140.998</v>
      </c>
      <c r="I123" s="43">
        <v>267.78899999999999</v>
      </c>
      <c r="J123" s="43">
        <v>547.48199999999997</v>
      </c>
      <c r="K123" s="43">
        <v>162.339</v>
      </c>
      <c r="L123" s="43">
        <v>828.09900000000005</v>
      </c>
      <c r="M123" s="43">
        <v>413.67099999999999</v>
      </c>
      <c r="N123" s="43">
        <v>325.483</v>
      </c>
      <c r="O123" s="43">
        <v>385.33100000000002</v>
      </c>
      <c r="P123" s="43">
        <v>0.68600000000000005</v>
      </c>
      <c r="Q123" s="44">
        <v>6152.2710000000006</v>
      </c>
      <c r="S123" s="49">
        <f t="shared" si="15"/>
        <v>43435</v>
      </c>
      <c r="T123" s="22">
        <f t="shared" si="16"/>
        <v>-2.7939018800202664E-3</v>
      </c>
      <c r="U123" s="26">
        <f t="shared" si="17"/>
        <v>-17237.00000000008</v>
      </c>
      <c r="W123" s="22">
        <f t="shared" si="18"/>
        <v>-2.1019484630767638E-3</v>
      </c>
      <c r="X123" s="26">
        <f t="shared" si="19"/>
        <v>-2386.9999999999436</v>
      </c>
      <c r="Y123" s="53">
        <f t="shared" si="12"/>
        <v>89.515716235686668</v>
      </c>
      <c r="AA123" s="22">
        <f t="shared" si="20"/>
        <v>7.6562025145481272E-3</v>
      </c>
      <c r="AB123" s="26">
        <f t="shared" si="21"/>
        <v>3401.0000000000105</v>
      </c>
      <c r="AC123" s="53">
        <f t="shared" si="13"/>
        <v>95.026770436606498</v>
      </c>
      <c r="AE123" s="22">
        <f t="shared" si="22"/>
        <v>-6.6037891906810531E-3</v>
      </c>
      <c r="AF123" s="26">
        <f t="shared" si="23"/>
        <v>-7585.0000000000364</v>
      </c>
      <c r="AG123" s="53">
        <f t="shared" si="14"/>
        <v>90.645610790421571</v>
      </c>
    </row>
    <row r="124" spans="1:33" x14ac:dyDescent="0.3">
      <c r="A124" s="40">
        <v>43466</v>
      </c>
      <c r="B124" s="41">
        <v>328.51100000000002</v>
      </c>
      <c r="C124" s="42">
        <v>13.613</v>
      </c>
      <c r="D124" s="42">
        <v>83.671999999999997</v>
      </c>
      <c r="E124" s="43">
        <v>1129.2760000000001</v>
      </c>
      <c r="F124" s="43">
        <v>74.209999999999994</v>
      </c>
      <c r="G124" s="43">
        <v>450.71199999999999</v>
      </c>
      <c r="H124" s="43">
        <v>1139.3910000000001</v>
      </c>
      <c r="I124" s="43">
        <v>267.42399999999998</v>
      </c>
      <c r="J124" s="43">
        <v>545.13300000000004</v>
      </c>
      <c r="K124" s="43">
        <v>161.99700000000001</v>
      </c>
      <c r="L124" s="43">
        <v>828.81600000000003</v>
      </c>
      <c r="M124" s="43">
        <v>413.82299999999998</v>
      </c>
      <c r="N124" s="43">
        <v>325.38299999999998</v>
      </c>
      <c r="O124" s="43">
        <v>383.358</v>
      </c>
      <c r="P124" s="43">
        <v>0.81599999999999995</v>
      </c>
      <c r="Q124" s="44">
        <v>6146.1350000000002</v>
      </c>
      <c r="S124" s="49">
        <f t="shared" si="15"/>
        <v>43466</v>
      </c>
      <c r="T124" s="22">
        <f t="shared" si="16"/>
        <v>-9.973552855523371E-4</v>
      </c>
      <c r="U124" s="26">
        <f t="shared" si="17"/>
        <v>-6136.000000000422</v>
      </c>
      <c r="W124" s="22">
        <f t="shared" si="18"/>
        <v>-3.4856242267650162E-3</v>
      </c>
      <c r="X124" s="26">
        <f t="shared" si="19"/>
        <v>-3950.0000000000455</v>
      </c>
      <c r="Y124" s="53">
        <f t="shared" si="12"/>
        <v>89.203698086499344</v>
      </c>
      <c r="AA124" s="22">
        <f t="shared" si="20"/>
        <v>6.9166428367171129E-3</v>
      </c>
      <c r="AB124" s="26">
        <f t="shared" si="21"/>
        <v>3096.0000000000036</v>
      </c>
      <c r="AC124" s="53">
        <f t="shared" si="13"/>
        <v>95.684036667643227</v>
      </c>
      <c r="AE124" s="22">
        <f t="shared" si="22"/>
        <v>-1.4084161409573248E-3</v>
      </c>
      <c r="AF124" s="26">
        <f t="shared" si="23"/>
        <v>-1606.9999999999709</v>
      </c>
      <c r="AG124" s="53">
        <f t="shared" si="14"/>
        <v>90.517944049077414</v>
      </c>
    </row>
    <row r="125" spans="1:33" x14ac:dyDescent="0.3">
      <c r="A125" s="40">
        <v>43497</v>
      </c>
      <c r="B125" s="41">
        <v>328.35199999999998</v>
      </c>
      <c r="C125" s="42">
        <v>13.513</v>
      </c>
      <c r="D125" s="42">
        <v>83.978999999999999</v>
      </c>
      <c r="E125" s="43">
        <v>1126.299</v>
      </c>
      <c r="F125" s="43">
        <v>74.433000000000007</v>
      </c>
      <c r="G125" s="43">
        <v>457.17700000000002</v>
      </c>
      <c r="H125" s="43">
        <v>1138.1010000000001</v>
      </c>
      <c r="I125" s="43">
        <v>267.41800000000001</v>
      </c>
      <c r="J125" s="43">
        <v>544.39</v>
      </c>
      <c r="K125" s="43">
        <v>161.762</v>
      </c>
      <c r="L125" s="43">
        <v>830.71199999999999</v>
      </c>
      <c r="M125" s="43">
        <v>413.01799999999997</v>
      </c>
      <c r="N125" s="43">
        <v>325.54500000000002</v>
      </c>
      <c r="O125" s="43">
        <v>384.40899999999999</v>
      </c>
      <c r="P125" s="43">
        <v>0.81899999999999995</v>
      </c>
      <c r="Q125" s="44">
        <v>6149.9270000000006</v>
      </c>
      <c r="S125" s="49">
        <f t="shared" si="15"/>
        <v>43497</v>
      </c>
      <c r="T125" s="22">
        <f t="shared" si="16"/>
        <v>6.1697310586250609E-4</v>
      </c>
      <c r="U125" s="26">
        <f t="shared" si="17"/>
        <v>3792.0000000003711</v>
      </c>
      <c r="W125" s="22">
        <f t="shared" si="18"/>
        <v>-2.6362023101528242E-3</v>
      </c>
      <c r="X125" s="26">
        <f t="shared" si="19"/>
        <v>-2977.0000000000891</v>
      </c>
      <c r="Y125" s="53">
        <f t="shared" si="12"/>
        <v>88.968539091529536</v>
      </c>
      <c r="AA125" s="22">
        <f t="shared" si="20"/>
        <v>1.4343971316494786E-2</v>
      </c>
      <c r="AB125" s="26">
        <f t="shared" si="21"/>
        <v>6465.0000000000318</v>
      </c>
      <c r="AC125" s="53">
        <f t="shared" si="13"/>
        <v>97.056525745050351</v>
      </c>
      <c r="AE125" s="22">
        <f t="shared" si="22"/>
        <v>-1.1321837718570871E-3</v>
      </c>
      <c r="AF125" s="26">
        <f t="shared" si="23"/>
        <v>-1289.9999999999636</v>
      </c>
      <c r="AG125" s="53">
        <f t="shared" si="14"/>
        <v>90.415461101763185</v>
      </c>
    </row>
    <row r="126" spans="1:33" x14ac:dyDescent="0.3">
      <c r="A126" s="40">
        <v>43525</v>
      </c>
      <c r="B126" s="41">
        <v>325.55500000000001</v>
      </c>
      <c r="C126" s="42">
        <v>13.599</v>
      </c>
      <c r="D126" s="42">
        <v>84.347999999999999</v>
      </c>
      <c r="E126" s="43">
        <v>1120.2360000000001</v>
      </c>
      <c r="F126" s="43">
        <v>74.391000000000005</v>
      </c>
      <c r="G126" s="43">
        <v>456.57900000000001</v>
      </c>
      <c r="H126" s="43">
        <v>1134.037</v>
      </c>
      <c r="I126" s="43">
        <v>267.74700000000001</v>
      </c>
      <c r="J126" s="43">
        <v>543.40899999999999</v>
      </c>
      <c r="K126" s="43">
        <v>161.28</v>
      </c>
      <c r="L126" s="43">
        <v>829.39599999999996</v>
      </c>
      <c r="M126" s="43">
        <v>412.92</v>
      </c>
      <c r="N126" s="43">
        <v>325.24599999999998</v>
      </c>
      <c r="O126" s="43">
        <v>383.85399999999998</v>
      </c>
      <c r="P126" s="43">
        <v>0.84</v>
      </c>
      <c r="Q126" s="44">
        <v>6133.4369999999999</v>
      </c>
      <c r="S126" s="49">
        <f t="shared" si="15"/>
        <v>43525</v>
      </c>
      <c r="T126" s="22">
        <f t="shared" si="16"/>
        <v>-2.6813326402086446E-3</v>
      </c>
      <c r="U126" s="26">
        <f t="shared" si="17"/>
        <v>-16490.000000000691</v>
      </c>
      <c r="W126" s="22">
        <f t="shared" si="18"/>
        <v>-5.383117626846734E-3</v>
      </c>
      <c r="X126" s="26">
        <f t="shared" si="19"/>
        <v>-6062.9999999998745</v>
      </c>
      <c r="Y126" s="53">
        <f t="shared" si="12"/>
        <v>88.489610980511117</v>
      </c>
      <c r="AA126" s="22">
        <f t="shared" si="20"/>
        <v>-1.3080273067105352E-3</v>
      </c>
      <c r="AB126" s="26">
        <f t="shared" si="21"/>
        <v>-598.00000000001319</v>
      </c>
      <c r="AC126" s="53">
        <f t="shared" si="13"/>
        <v>96.929573159081357</v>
      </c>
      <c r="AE126" s="22">
        <f t="shared" si="22"/>
        <v>-3.5708605826724193E-3</v>
      </c>
      <c r="AF126" s="26">
        <f t="shared" si="23"/>
        <v>-4064.0000000000782</v>
      </c>
      <c r="AG126" s="53">
        <f t="shared" si="14"/>
        <v>90.092600095650738</v>
      </c>
    </row>
    <row r="127" spans="1:33" x14ac:dyDescent="0.3">
      <c r="A127" s="40">
        <v>43556</v>
      </c>
      <c r="B127" s="41">
        <v>330.45499999999998</v>
      </c>
      <c r="C127" s="42">
        <v>13.44</v>
      </c>
      <c r="D127" s="42">
        <v>84.695999999999998</v>
      </c>
      <c r="E127" s="43">
        <v>1116.251</v>
      </c>
      <c r="F127" s="43">
        <v>74.326999999999998</v>
      </c>
      <c r="G127" s="43">
        <v>455.34399999999999</v>
      </c>
      <c r="H127" s="43">
        <v>1130.5709999999999</v>
      </c>
      <c r="I127" s="43">
        <v>267.19400000000002</v>
      </c>
      <c r="J127" s="43">
        <v>542.33699999999999</v>
      </c>
      <c r="K127" s="43">
        <v>161.06</v>
      </c>
      <c r="L127" s="43">
        <v>827.60500000000002</v>
      </c>
      <c r="M127" s="43">
        <v>414.21199999999999</v>
      </c>
      <c r="N127" s="43">
        <v>325.113</v>
      </c>
      <c r="O127" s="43">
        <v>383.24599999999998</v>
      </c>
      <c r="P127" s="43">
        <v>0.81399999999999995</v>
      </c>
      <c r="Q127" s="44">
        <v>6126.6650000000009</v>
      </c>
      <c r="S127" s="49">
        <f t="shared" si="15"/>
        <v>43556</v>
      </c>
      <c r="T127" s="22">
        <f t="shared" si="16"/>
        <v>-1.1041117728932681E-3</v>
      </c>
      <c r="U127" s="26">
        <f t="shared" si="17"/>
        <v>-6771.999999999025</v>
      </c>
      <c r="W127" s="22">
        <f t="shared" si="18"/>
        <v>-3.5572861432771052E-3</v>
      </c>
      <c r="X127" s="26">
        <f t="shared" si="19"/>
        <v>-3985.0000000001273</v>
      </c>
      <c r="Y127" s="53">
        <f t="shared" si="12"/>
        <v>88.17482811354617</v>
      </c>
      <c r="AA127" s="22">
        <f t="shared" si="20"/>
        <v>-2.7048988236427762E-3</v>
      </c>
      <c r="AB127" s="26">
        <f t="shared" si="21"/>
        <v>-1235.0000000000136</v>
      </c>
      <c r="AC127" s="53">
        <f t="shared" si="13"/>
        <v>96.667388470667163</v>
      </c>
      <c r="AE127" s="22">
        <f t="shared" si="22"/>
        <v>-3.0563376679950682E-3</v>
      </c>
      <c r="AF127" s="26">
        <f t="shared" si="23"/>
        <v>-3466.0000000001219</v>
      </c>
      <c r="AG127" s="53">
        <f t="shared" si="14"/>
        <v>89.817246688370787</v>
      </c>
    </row>
    <row r="128" spans="1:33" x14ac:dyDescent="0.3">
      <c r="A128" s="40">
        <v>43586</v>
      </c>
      <c r="B128" s="41">
        <v>330.10700000000003</v>
      </c>
      <c r="C128" s="42">
        <v>12.305999999999999</v>
      </c>
      <c r="D128" s="42">
        <v>84.795000000000002</v>
      </c>
      <c r="E128" s="43">
        <v>1113.2829999999999</v>
      </c>
      <c r="F128" s="43">
        <v>74.372</v>
      </c>
      <c r="G128" s="43">
        <v>454.37599999999998</v>
      </c>
      <c r="H128" s="43">
        <v>1128.1890000000001</v>
      </c>
      <c r="I128" s="43">
        <v>267.86399999999998</v>
      </c>
      <c r="J128" s="43">
        <v>541.81899999999996</v>
      </c>
      <c r="K128" s="43">
        <v>160.863</v>
      </c>
      <c r="L128" s="43">
        <v>828.39800000000002</v>
      </c>
      <c r="M128" s="43">
        <v>414.29199999999997</v>
      </c>
      <c r="N128" s="43">
        <v>325.178</v>
      </c>
      <c r="O128" s="43">
        <v>383.35399999999998</v>
      </c>
      <c r="P128" s="43">
        <v>0.82099999999999995</v>
      </c>
      <c r="Q128" s="44">
        <v>6120.0170000000007</v>
      </c>
      <c r="S128" s="49">
        <f t="shared" si="15"/>
        <v>43586</v>
      </c>
      <c r="T128" s="22">
        <f t="shared" si="16"/>
        <v>-1.0850927870219573E-3</v>
      </c>
      <c r="U128" s="26">
        <f t="shared" si="17"/>
        <v>-6648.0000000001382</v>
      </c>
      <c r="W128" s="22">
        <f t="shared" si="18"/>
        <v>-2.6589001935944934E-3</v>
      </c>
      <c r="X128" s="26">
        <f t="shared" si="19"/>
        <v>-2968.0000000000746</v>
      </c>
      <c r="Y128" s="53">
        <f t="shared" si="12"/>
        <v>87.94038004600489</v>
      </c>
      <c r="AA128" s="22">
        <f t="shared" si="20"/>
        <v>-2.1258652798763489E-3</v>
      </c>
      <c r="AB128" s="26">
        <f t="shared" si="21"/>
        <v>-968.00000000001774</v>
      </c>
      <c r="AC128" s="53">
        <f t="shared" si="13"/>
        <v>96.461886625821052</v>
      </c>
      <c r="AE128" s="22">
        <f t="shared" si="22"/>
        <v>-2.1068999647079201E-3</v>
      </c>
      <c r="AF128" s="26">
        <f t="shared" si="23"/>
        <v>-2381.9999999998345</v>
      </c>
      <c r="AG128" s="53">
        <f t="shared" si="14"/>
        <v>89.628010734492904</v>
      </c>
    </row>
    <row r="129" spans="1:33" x14ac:dyDescent="0.3">
      <c r="A129" s="40">
        <v>43617</v>
      </c>
      <c r="B129" s="41">
        <v>329.00099999999998</v>
      </c>
      <c r="C129" s="42">
        <v>12.833</v>
      </c>
      <c r="D129" s="42">
        <v>85.4</v>
      </c>
      <c r="E129" s="43">
        <v>1110.4069999999999</v>
      </c>
      <c r="F129" s="43">
        <v>74.48</v>
      </c>
      <c r="G129" s="43">
        <v>449.62700000000001</v>
      </c>
      <c r="H129" s="43">
        <v>1126.81</v>
      </c>
      <c r="I129" s="43">
        <v>267.87900000000002</v>
      </c>
      <c r="J129" s="43">
        <v>541.38400000000001</v>
      </c>
      <c r="K129" s="43">
        <v>160.72999999999999</v>
      </c>
      <c r="L129" s="43">
        <v>830.41300000000001</v>
      </c>
      <c r="M129" s="43">
        <v>414.27800000000002</v>
      </c>
      <c r="N129" s="43">
        <v>324.99700000000001</v>
      </c>
      <c r="O129" s="43">
        <v>383.34</v>
      </c>
      <c r="P129" s="43">
        <v>0.89300000000000002</v>
      </c>
      <c r="Q129" s="44">
        <v>6112.4720000000007</v>
      </c>
      <c r="S129" s="49">
        <f t="shared" si="15"/>
        <v>43617</v>
      </c>
      <c r="T129" s="22">
        <f t="shared" si="16"/>
        <v>-1.2328397127001622E-3</v>
      </c>
      <c r="U129" s="26">
        <f t="shared" si="17"/>
        <v>-7545.0000000000728</v>
      </c>
      <c r="W129" s="22">
        <f t="shared" si="18"/>
        <v>-2.5833503251194712E-3</v>
      </c>
      <c r="X129" s="26">
        <f t="shared" si="19"/>
        <v>-2875.9999999999764</v>
      </c>
      <c r="Y129" s="53">
        <f t="shared" si="12"/>
        <v>87.713199236621918</v>
      </c>
      <c r="AA129" s="22">
        <f t="shared" si="20"/>
        <v>-1.0451696392415055E-2</v>
      </c>
      <c r="AB129" s="26">
        <f t="shared" si="21"/>
        <v>-4748.9999999999673</v>
      </c>
      <c r="AC129" s="53">
        <f t="shared" si="13"/>
        <v>95.453696273368422</v>
      </c>
      <c r="AE129" s="22">
        <f t="shared" si="22"/>
        <v>-1.2223129280645173E-3</v>
      </c>
      <c r="AF129" s="26">
        <f t="shared" si="23"/>
        <v>-1379.0000000001328</v>
      </c>
      <c r="AG129" s="53">
        <f t="shared" si="14"/>
        <v>89.518457258255424</v>
      </c>
    </row>
    <row r="130" spans="1:33" x14ac:dyDescent="0.3">
      <c r="A130" s="40">
        <v>43647</v>
      </c>
      <c r="B130" s="41">
        <v>327.97699999999998</v>
      </c>
      <c r="C130" s="42">
        <v>13.414</v>
      </c>
      <c r="D130" s="42">
        <v>85.906999999999996</v>
      </c>
      <c r="E130" s="43">
        <v>1107.9649999999999</v>
      </c>
      <c r="F130" s="43">
        <v>74.510000000000005</v>
      </c>
      <c r="G130" s="43">
        <v>445.86900000000003</v>
      </c>
      <c r="H130" s="43">
        <v>1126.1110000000001</v>
      </c>
      <c r="I130" s="43">
        <v>268.036</v>
      </c>
      <c r="J130" s="43">
        <v>539.63400000000001</v>
      </c>
      <c r="K130" s="43">
        <v>160.32400000000001</v>
      </c>
      <c r="L130" s="43">
        <v>830.71500000000003</v>
      </c>
      <c r="M130" s="43">
        <v>414.774</v>
      </c>
      <c r="N130" s="43">
        <v>325.15100000000001</v>
      </c>
      <c r="O130" s="43">
        <v>384.40300000000002</v>
      </c>
      <c r="P130" s="43">
        <v>0.873</v>
      </c>
      <c r="Q130" s="44">
        <v>6105.6629999999996</v>
      </c>
      <c r="S130" s="49">
        <f t="shared" si="15"/>
        <v>43647</v>
      </c>
      <c r="T130" s="22">
        <f t="shared" si="16"/>
        <v>-1.1139519330315428E-3</v>
      </c>
      <c r="U130" s="26">
        <f t="shared" si="17"/>
        <v>-6809.0000000011059</v>
      </c>
      <c r="W130" s="22">
        <f t="shared" si="18"/>
        <v>-2.1991936290026715E-3</v>
      </c>
      <c r="X130" s="26">
        <f t="shared" si="19"/>
        <v>-2442.0000000000073</v>
      </c>
      <c r="Y130" s="53">
        <f t="shared" si="12"/>
        <v>87.520300927681291</v>
      </c>
      <c r="AA130" s="22">
        <f t="shared" si="20"/>
        <v>-8.3580389967683466E-3</v>
      </c>
      <c r="AB130" s="26">
        <f t="shared" si="21"/>
        <v>-3757.9999999999814</v>
      </c>
      <c r="AC130" s="53">
        <f t="shared" si="13"/>
        <v>94.655890557529915</v>
      </c>
      <c r="AE130" s="22">
        <f t="shared" si="22"/>
        <v>-6.2033528278937489E-4</v>
      </c>
      <c r="AF130" s="26">
        <f t="shared" si="23"/>
        <v>-698.99999999984175</v>
      </c>
      <c r="AG130" s="53">
        <f t="shared" si="14"/>
        <v>89.462925800757262</v>
      </c>
    </row>
    <row r="131" spans="1:33" x14ac:dyDescent="0.3">
      <c r="A131" s="40">
        <v>43678</v>
      </c>
      <c r="B131" s="41">
        <v>327.84100000000001</v>
      </c>
      <c r="C131" s="42">
        <v>13.57</v>
      </c>
      <c r="D131" s="42">
        <v>86.033000000000001</v>
      </c>
      <c r="E131" s="43">
        <v>1105.18</v>
      </c>
      <c r="F131" s="43">
        <v>74.543999999999997</v>
      </c>
      <c r="G131" s="43">
        <v>441.98899999999998</v>
      </c>
      <c r="H131" s="43">
        <v>1124.3710000000001</v>
      </c>
      <c r="I131" s="43">
        <v>267.976</v>
      </c>
      <c r="J131" s="43">
        <v>539.005</v>
      </c>
      <c r="K131" s="43">
        <v>160.22300000000001</v>
      </c>
      <c r="L131" s="43">
        <v>829.85500000000002</v>
      </c>
      <c r="M131" s="43">
        <v>414.38900000000001</v>
      </c>
      <c r="N131" s="43">
        <v>325.37299999999999</v>
      </c>
      <c r="O131" s="43">
        <v>383.96800000000002</v>
      </c>
      <c r="P131" s="43">
        <v>0.82299999999999995</v>
      </c>
      <c r="Q131" s="44">
        <v>6095.1400000000012</v>
      </c>
      <c r="S131" s="49">
        <f t="shared" si="15"/>
        <v>43678</v>
      </c>
      <c r="T131" s="22">
        <f t="shared" si="16"/>
        <v>-1.7234819543755497E-3</v>
      </c>
      <c r="U131" s="26">
        <f t="shared" si="17"/>
        <v>-10522.999999998319</v>
      </c>
      <c r="W131" s="22">
        <f t="shared" si="18"/>
        <v>-2.5136173074057355E-3</v>
      </c>
      <c r="X131" s="26">
        <f t="shared" si="19"/>
        <v>-2784.9999999998545</v>
      </c>
      <c r="Y131" s="53">
        <f t="shared" si="12"/>
        <v>87.300308384520108</v>
      </c>
      <c r="AA131" s="22">
        <f t="shared" si="20"/>
        <v>-8.7021075697123473E-3</v>
      </c>
      <c r="AB131" s="26">
        <f t="shared" si="21"/>
        <v>-3880.0000000000523</v>
      </c>
      <c r="AC131" s="53">
        <f t="shared" si="13"/>
        <v>93.832184815791379</v>
      </c>
      <c r="AE131" s="22">
        <f t="shared" si="22"/>
        <v>-1.5451407543306539E-3</v>
      </c>
      <c r="AF131" s="26">
        <f t="shared" si="23"/>
        <v>-1740.0000000000091</v>
      </c>
      <c r="AG131" s="53">
        <f t="shared" si="14"/>
        <v>89.324692988100864</v>
      </c>
    </row>
    <row r="132" spans="1:33" x14ac:dyDescent="0.3">
      <c r="A132" s="40">
        <v>43709</v>
      </c>
      <c r="B132" s="41">
        <v>327.39800000000002</v>
      </c>
      <c r="C132" s="42">
        <v>13.282999999999999</v>
      </c>
      <c r="D132" s="42">
        <v>86.131</v>
      </c>
      <c r="E132" s="43">
        <v>1098.4870000000001</v>
      </c>
      <c r="F132" s="43">
        <v>74.426000000000002</v>
      </c>
      <c r="G132" s="43">
        <v>430.09100000000001</v>
      </c>
      <c r="H132" s="43">
        <v>1121.165</v>
      </c>
      <c r="I132" s="43">
        <v>266.00599999999997</v>
      </c>
      <c r="J132" s="43">
        <v>537.53200000000004</v>
      </c>
      <c r="K132" s="43">
        <v>160.334</v>
      </c>
      <c r="L132" s="43">
        <v>827.46500000000003</v>
      </c>
      <c r="M132" s="43">
        <v>415.37799999999999</v>
      </c>
      <c r="N132" s="43">
        <v>325.05200000000002</v>
      </c>
      <c r="O132" s="43">
        <v>382.53199999999998</v>
      </c>
      <c r="P132" s="43">
        <v>0.84899999999999998</v>
      </c>
      <c r="Q132" s="44">
        <v>6066.1289999999999</v>
      </c>
      <c r="S132" s="49">
        <f t="shared" si="15"/>
        <v>43709</v>
      </c>
      <c r="T132" s="22">
        <f t="shared" si="16"/>
        <v>-4.759693788822128E-3</v>
      </c>
      <c r="U132" s="26">
        <f t="shared" si="17"/>
        <v>-29011.000000001332</v>
      </c>
      <c r="W132" s="22">
        <f t="shared" si="18"/>
        <v>-6.0560270725130705E-3</v>
      </c>
      <c r="X132" s="26">
        <f t="shared" si="19"/>
        <v>-6692.9999999999836</v>
      </c>
      <c r="Y132" s="53">
        <f t="shared" si="12"/>
        <v>86.771615353504714</v>
      </c>
      <c r="AA132" s="22">
        <f t="shared" si="20"/>
        <v>-2.691922197158747E-2</v>
      </c>
      <c r="AB132" s="26">
        <f t="shared" si="21"/>
        <v>-11897.999999999967</v>
      </c>
      <c r="AC132" s="53">
        <f t="shared" si="13"/>
        <v>91.306295404656069</v>
      </c>
      <c r="AE132" s="22">
        <f t="shared" si="22"/>
        <v>-2.8513720115515007E-3</v>
      </c>
      <c r="AF132" s="26">
        <f t="shared" si="23"/>
        <v>-3206.000000000131</v>
      </c>
      <c r="AG132" s="53">
        <f t="shared" si="14"/>
        <v>89.069995058574165</v>
      </c>
    </row>
    <row r="133" spans="1:33" x14ac:dyDescent="0.3">
      <c r="A133" s="40">
        <v>43739</v>
      </c>
      <c r="B133" s="41">
        <v>327.63</v>
      </c>
      <c r="C133" s="42">
        <v>13.391999999999999</v>
      </c>
      <c r="D133" s="42">
        <v>86.161000000000001</v>
      </c>
      <c r="E133" s="43">
        <v>1093.652</v>
      </c>
      <c r="F133" s="43">
        <v>74.465999999999994</v>
      </c>
      <c r="G133" s="43">
        <v>416.80099999999999</v>
      </c>
      <c r="H133" s="43">
        <v>1117.885</v>
      </c>
      <c r="I133" s="43">
        <v>264.65800000000002</v>
      </c>
      <c r="J133" s="43">
        <v>537.33900000000006</v>
      </c>
      <c r="K133" s="43">
        <v>159.91999999999999</v>
      </c>
      <c r="L133" s="43">
        <v>826.81600000000003</v>
      </c>
      <c r="M133" s="43">
        <v>415.69600000000003</v>
      </c>
      <c r="N133" s="43">
        <v>325.173</v>
      </c>
      <c r="O133" s="43">
        <v>382.56099999999998</v>
      </c>
      <c r="P133" s="43">
        <v>0.84899999999999998</v>
      </c>
      <c r="Q133" s="44">
        <v>6042.9989999999998</v>
      </c>
      <c r="S133" s="49">
        <f t="shared" si="15"/>
        <v>43739</v>
      </c>
      <c r="T133" s="22">
        <f t="shared" si="16"/>
        <v>-3.8129752928103278E-3</v>
      </c>
      <c r="U133" s="26">
        <f t="shared" si="17"/>
        <v>-23130.000000000109</v>
      </c>
      <c r="W133" s="22">
        <f t="shared" si="18"/>
        <v>-4.4015086204934883E-3</v>
      </c>
      <c r="X133" s="26">
        <f t="shared" si="19"/>
        <v>-4835.0000000000364</v>
      </c>
      <c r="Y133" s="53">
        <f t="shared" ref="Y133:Y188" si="24">E133/$E$61*100</f>
        <v>86.38968934051212</v>
      </c>
      <c r="AA133" s="22">
        <f t="shared" si="20"/>
        <v>-3.0900437349305143E-2</v>
      </c>
      <c r="AB133" s="26">
        <f t="shared" si="21"/>
        <v>-13290.00000000002</v>
      </c>
      <c r="AC133" s="53">
        <f t="shared" ref="AC133:AC188" si="25">G133/$G$176*100</f>
        <v>88.484890943907331</v>
      </c>
      <c r="AE133" s="22">
        <f t="shared" si="22"/>
        <v>-2.9255283566647083E-3</v>
      </c>
      <c r="AF133" s="26">
        <f t="shared" si="23"/>
        <v>-3279.9999999999727</v>
      </c>
      <c r="AG133" s="53">
        <f t="shared" ref="AG133:AG196" si="26">H133/$H$200*100</f>
        <v>88.809418262302316</v>
      </c>
    </row>
    <row r="134" spans="1:33" x14ac:dyDescent="0.3">
      <c r="A134" s="40">
        <v>43770</v>
      </c>
      <c r="B134" s="41">
        <v>328.065</v>
      </c>
      <c r="C134" s="42">
        <v>12.929</v>
      </c>
      <c r="D134" s="42">
        <v>85.972999999999999</v>
      </c>
      <c r="E134" s="45">
        <v>1087.7080000000001</v>
      </c>
      <c r="F134" s="45">
        <v>74.331000000000003</v>
      </c>
      <c r="G134" s="45">
        <v>409.125</v>
      </c>
      <c r="H134" s="45">
        <v>1115.4480000000001</v>
      </c>
      <c r="I134" s="45">
        <v>264.06900000000002</v>
      </c>
      <c r="J134" s="45">
        <v>536.428</v>
      </c>
      <c r="K134" s="45">
        <v>159.83000000000001</v>
      </c>
      <c r="L134" s="45">
        <v>827.30399999999997</v>
      </c>
      <c r="M134" s="45">
        <v>415.01900000000001</v>
      </c>
      <c r="N134" s="45">
        <v>325.23500000000001</v>
      </c>
      <c r="O134" s="45">
        <v>381.36900000000003</v>
      </c>
      <c r="P134" s="45">
        <v>0.877</v>
      </c>
      <c r="Q134" s="46">
        <v>6023.71</v>
      </c>
      <c r="S134" s="49">
        <f t="shared" ref="S134:S188" si="27">A134</f>
        <v>43770</v>
      </c>
      <c r="T134" s="22">
        <f t="shared" ref="T134:T188" si="28">Q134/Q133-1</f>
        <v>-3.1919581651428386E-3</v>
      </c>
      <c r="U134" s="26">
        <f t="shared" ref="U134:U188" si="29">(Q134-Q133)*1000</f>
        <v>-19288.99999999976</v>
      </c>
      <c r="W134" s="22">
        <f t="shared" ref="W134:W188" si="30">E134/E133-1</f>
        <v>-5.4350012618272769E-3</v>
      </c>
      <c r="X134" s="26">
        <f t="shared" ref="X134:X188" si="31">(E134-E133)*1000</f>
        <v>-5943.99999999996</v>
      </c>
      <c r="Y134" s="53">
        <f t="shared" si="24"/>
        <v>85.920161269937566</v>
      </c>
      <c r="AA134" s="22">
        <f t="shared" ref="AA134:AA188" si="32">G134/G133-1</f>
        <v>-1.8416462532479527E-2</v>
      </c>
      <c r="AB134" s="26">
        <f t="shared" ref="AB134:AB188" si="33">(G134-G133)*1000</f>
        <v>-7675.9999999999873</v>
      </c>
      <c r="AC134" s="53">
        <f t="shared" si="25"/>
        <v>86.855312265148328</v>
      </c>
      <c r="AE134" s="22">
        <f t="shared" ref="AE134:AE197" si="34">H134/H133-1</f>
        <v>-2.1800095716463241E-3</v>
      </c>
      <c r="AF134" s="26">
        <f t="shared" ref="AF134:AF197" si="35">(H134-H133)*1000</f>
        <v>-2436.9999999998981</v>
      </c>
      <c r="AG134" s="53">
        <f t="shared" si="26"/>
        <v>88.615812880438156</v>
      </c>
    </row>
    <row r="135" spans="1:33" x14ac:dyDescent="0.3">
      <c r="A135" s="40">
        <v>43800</v>
      </c>
      <c r="B135" s="41">
        <v>325.37299999999999</v>
      </c>
      <c r="C135" s="42">
        <v>12.824999999999999</v>
      </c>
      <c r="D135" s="42">
        <v>85.603999999999999</v>
      </c>
      <c r="E135" s="45">
        <v>1085.0340000000001</v>
      </c>
      <c r="F135" s="45">
        <v>74.16</v>
      </c>
      <c r="G135" s="45">
        <v>401.31099999999998</v>
      </c>
      <c r="H135" s="45">
        <v>1112.4349999999999</v>
      </c>
      <c r="I135" s="45">
        <v>262.43299999999999</v>
      </c>
      <c r="J135" s="45">
        <v>535.12199999999996</v>
      </c>
      <c r="K135" s="45">
        <v>159.267</v>
      </c>
      <c r="L135" s="45">
        <v>826.76400000000001</v>
      </c>
      <c r="M135" s="45">
        <v>414.02800000000002</v>
      </c>
      <c r="N135" s="45">
        <v>325.47300000000001</v>
      </c>
      <c r="O135" s="45">
        <v>381.089</v>
      </c>
      <c r="P135" s="45">
        <v>0.874</v>
      </c>
      <c r="Q135" s="46">
        <v>6001.7919999999995</v>
      </c>
      <c r="S135" s="49">
        <f t="shared" si="27"/>
        <v>43800</v>
      </c>
      <c r="T135" s="22">
        <f t="shared" si="28"/>
        <v>-3.6386213811754331E-3</v>
      </c>
      <c r="U135" s="26">
        <f t="shared" si="29"/>
        <v>-21918.000000000575</v>
      </c>
      <c r="W135" s="22">
        <f t="shared" si="30"/>
        <v>-2.4583803741444754E-3</v>
      </c>
      <c r="X135" s="26">
        <f t="shared" si="31"/>
        <v>-2673.9999999999782</v>
      </c>
      <c r="Y135" s="53">
        <f t="shared" si="24"/>
        <v>85.708936831728224</v>
      </c>
      <c r="AA135" s="22">
        <f t="shared" si="32"/>
        <v>-1.909929728078219E-2</v>
      </c>
      <c r="AB135" s="26">
        <f t="shared" si="33"/>
        <v>-7814.0000000000218</v>
      </c>
      <c r="AC135" s="53">
        <f t="shared" si="25"/>
        <v>85.1964368357811</v>
      </c>
      <c r="AE135" s="22">
        <f t="shared" si="34"/>
        <v>-2.7011568446042578E-3</v>
      </c>
      <c r="AF135" s="26">
        <f t="shared" si="35"/>
        <v>-3013.0000000001473</v>
      </c>
      <c r="AG135" s="53">
        <f t="shared" si="26"/>
        <v>88.376447670935988</v>
      </c>
    </row>
    <row r="136" spans="1:33" x14ac:dyDescent="0.3">
      <c r="A136" s="40">
        <v>43831</v>
      </c>
      <c r="B136" s="47">
        <v>324.154</v>
      </c>
      <c r="C136" s="48">
        <v>13.273</v>
      </c>
      <c r="D136" s="48">
        <v>84.763999999999996</v>
      </c>
      <c r="E136" s="45">
        <v>1084.7860000000001</v>
      </c>
      <c r="F136" s="45">
        <v>73.97</v>
      </c>
      <c r="G136" s="45">
        <v>391.50299999999999</v>
      </c>
      <c r="H136" s="45">
        <v>1113.2370000000001</v>
      </c>
      <c r="I136" s="45">
        <v>263.298</v>
      </c>
      <c r="J136" s="45">
        <v>533.99199999999996</v>
      </c>
      <c r="K136" s="45">
        <v>159.25800000000001</v>
      </c>
      <c r="L136" s="45">
        <v>824.81399999999996</v>
      </c>
      <c r="M136" s="45">
        <v>414.24900000000002</v>
      </c>
      <c r="N136" s="45">
        <v>325.40699999999998</v>
      </c>
      <c r="O136" s="45">
        <v>380.76400000000001</v>
      </c>
      <c r="P136" s="45">
        <v>0.86399999999999999</v>
      </c>
      <c r="Q136" s="46">
        <v>5988.3329999999996</v>
      </c>
      <c r="S136" s="49">
        <f t="shared" si="27"/>
        <v>43831</v>
      </c>
      <c r="T136" s="22">
        <f t="shared" si="28"/>
        <v>-2.2424969075902634E-3</v>
      </c>
      <c r="U136" s="26">
        <f t="shared" si="29"/>
        <v>-13458.999999999833</v>
      </c>
      <c r="W136" s="22">
        <f t="shared" si="30"/>
        <v>-2.2856426618889092E-4</v>
      </c>
      <c r="X136" s="26">
        <f t="shared" si="31"/>
        <v>-248.00000000004729</v>
      </c>
      <c r="Y136" s="53">
        <f t="shared" si="24"/>
        <v>85.689346831475447</v>
      </c>
      <c r="AA136" s="22">
        <f t="shared" si="32"/>
        <v>-2.4439898233539536E-2</v>
      </c>
      <c r="AB136" s="26">
        <f t="shared" si="33"/>
        <v>-9807.9999999999927</v>
      </c>
      <c r="AC136" s="53">
        <f t="shared" si="25"/>
        <v>83.114244589654433</v>
      </c>
      <c r="AE136" s="22">
        <f t="shared" si="34"/>
        <v>7.2094099880004592E-4</v>
      </c>
      <c r="AF136" s="26">
        <f t="shared" si="35"/>
        <v>802.00000000013461</v>
      </c>
      <c r="AG136" s="53">
        <f t="shared" si="26"/>
        <v>88.44016187539026</v>
      </c>
    </row>
    <row r="137" spans="1:33" x14ac:dyDescent="0.3">
      <c r="A137" s="40">
        <v>43862</v>
      </c>
      <c r="B137" s="41">
        <v>325.06700000000001</v>
      </c>
      <c r="C137" s="42">
        <v>13.488</v>
      </c>
      <c r="D137" s="42">
        <v>84.927000000000007</v>
      </c>
      <c r="E137" s="45">
        <v>1085.251</v>
      </c>
      <c r="F137" s="45">
        <v>73.856999999999999</v>
      </c>
      <c r="G137" s="45">
        <v>385.59100000000001</v>
      </c>
      <c r="H137" s="45">
        <v>1114.328</v>
      </c>
      <c r="I137" s="45">
        <v>265.36500000000001</v>
      </c>
      <c r="J137" s="45">
        <v>533.94500000000005</v>
      </c>
      <c r="K137" s="45">
        <v>159.33500000000001</v>
      </c>
      <c r="L137" s="45">
        <v>827.86900000000003</v>
      </c>
      <c r="M137" s="45">
        <v>413.05799999999999</v>
      </c>
      <c r="N137" s="45">
        <v>325.71600000000001</v>
      </c>
      <c r="O137" s="45">
        <v>381.851</v>
      </c>
      <c r="P137" s="45">
        <v>0.86</v>
      </c>
      <c r="Q137" s="46">
        <v>5990.5079999999998</v>
      </c>
      <c r="S137" s="49">
        <f t="shared" si="27"/>
        <v>43862</v>
      </c>
      <c r="T137" s="22">
        <f t="shared" si="28"/>
        <v>3.6320625456198741E-4</v>
      </c>
      <c r="U137" s="26">
        <f t="shared" si="29"/>
        <v>2175.0000000001819</v>
      </c>
      <c r="W137" s="22">
        <f t="shared" si="30"/>
        <v>4.2865597454233573E-4</v>
      </c>
      <c r="X137" s="26">
        <f t="shared" si="31"/>
        <v>464.99999999991815</v>
      </c>
      <c r="Y137" s="53">
        <f t="shared" si="24"/>
        <v>85.726078081949396</v>
      </c>
      <c r="AA137" s="22">
        <f t="shared" si="32"/>
        <v>-1.5100778282669536E-2</v>
      </c>
      <c r="AB137" s="26">
        <f t="shared" si="33"/>
        <v>-5911.9999999999782</v>
      </c>
      <c r="AC137" s="53">
        <f t="shared" si="25"/>
        <v>81.859154809974484</v>
      </c>
      <c r="AE137" s="22">
        <f t="shared" si="34"/>
        <v>9.8002491832360761E-4</v>
      </c>
      <c r="AF137" s="26">
        <f t="shared" si="35"/>
        <v>1090.9999999998945</v>
      </c>
      <c r="AG137" s="53">
        <f t="shared" si="26"/>
        <v>88.526835437808728</v>
      </c>
    </row>
    <row r="138" spans="1:33" x14ac:dyDescent="0.3">
      <c r="A138" s="40">
        <v>43891</v>
      </c>
      <c r="B138" s="47">
        <v>323.87799999999999</v>
      </c>
      <c r="C138" s="48">
        <v>12.667</v>
      </c>
      <c r="D138" s="48">
        <v>84.53</v>
      </c>
      <c r="E138" s="45">
        <v>1082.5419999999999</v>
      </c>
      <c r="F138" s="45">
        <v>73.825999999999993</v>
      </c>
      <c r="G138" s="45">
        <v>370.142</v>
      </c>
      <c r="H138" s="45">
        <v>1111.336</v>
      </c>
      <c r="I138" s="45">
        <v>258.92</v>
      </c>
      <c r="J138" s="45">
        <v>531.55999999999995</v>
      </c>
      <c r="K138" s="45">
        <v>158.84700000000001</v>
      </c>
      <c r="L138" s="45">
        <v>824.38099999999997</v>
      </c>
      <c r="M138" s="45">
        <v>411.14600000000002</v>
      </c>
      <c r="N138" s="45">
        <v>325.95999999999998</v>
      </c>
      <c r="O138" s="45">
        <v>376.72699999999998</v>
      </c>
      <c r="P138" s="45">
        <v>0.79100000000000004</v>
      </c>
      <c r="Q138" s="46">
        <v>5947.2529999999997</v>
      </c>
      <c r="S138" s="49">
        <f t="shared" si="27"/>
        <v>43891</v>
      </c>
      <c r="T138" s="22">
        <f t="shared" si="28"/>
        <v>-7.2205896394763602E-3</v>
      </c>
      <c r="U138" s="26">
        <f t="shared" si="29"/>
        <v>-43255.000000000109</v>
      </c>
      <c r="W138" s="22">
        <f t="shared" si="30"/>
        <v>-2.4961967323688938E-3</v>
      </c>
      <c r="X138" s="26">
        <f t="shared" si="31"/>
        <v>-2709.00000000006</v>
      </c>
      <c r="Y138" s="53">
        <f t="shared" si="24"/>
        <v>85.512088925962431</v>
      </c>
      <c r="AA138" s="22">
        <f t="shared" si="32"/>
        <v>-4.0065769169923549E-2</v>
      </c>
      <c r="AB138" s="26">
        <f t="shared" si="33"/>
        <v>-15449.000000000013</v>
      </c>
      <c r="AC138" s="53">
        <f t="shared" si="25"/>
        <v>78.579404808913011</v>
      </c>
      <c r="AE138" s="22">
        <f t="shared" si="34"/>
        <v>-2.6850263118219919E-3</v>
      </c>
      <c r="AF138" s="26">
        <f t="shared" si="35"/>
        <v>-2991.9999999999618</v>
      </c>
      <c r="AG138" s="53">
        <f t="shared" si="26"/>
        <v>88.289138555355891</v>
      </c>
    </row>
    <row r="139" spans="1:33" x14ac:dyDescent="0.3">
      <c r="A139" s="40">
        <v>43922</v>
      </c>
      <c r="B139" s="41">
        <v>322.27100000000002</v>
      </c>
      <c r="C139" s="42">
        <v>12.691000000000001</v>
      </c>
      <c r="D139" s="42">
        <v>83.73</v>
      </c>
      <c r="E139" s="45">
        <v>1077.21</v>
      </c>
      <c r="F139" s="45">
        <v>73.614000000000004</v>
      </c>
      <c r="G139" s="45">
        <v>332.59800000000001</v>
      </c>
      <c r="H139" s="45">
        <v>1100.9680000000001</v>
      </c>
      <c r="I139" s="45">
        <v>242.964</v>
      </c>
      <c r="J139" s="45">
        <v>527.05600000000004</v>
      </c>
      <c r="K139" s="45">
        <v>158.005</v>
      </c>
      <c r="L139" s="45">
        <v>808.35299999999995</v>
      </c>
      <c r="M139" s="45">
        <v>404.59500000000003</v>
      </c>
      <c r="N139" s="45">
        <v>325.52699999999999</v>
      </c>
      <c r="O139" s="45">
        <v>369.68099999999998</v>
      </c>
      <c r="P139" s="45">
        <v>0.72899999999999998</v>
      </c>
      <c r="Q139" s="46">
        <v>5839.9920000000002</v>
      </c>
      <c r="S139" s="49">
        <f t="shared" si="27"/>
        <v>43922</v>
      </c>
      <c r="T139" s="22">
        <f t="shared" si="28"/>
        <v>-1.8035385412391136E-2</v>
      </c>
      <c r="U139" s="26">
        <f t="shared" si="29"/>
        <v>-107260.99999999951</v>
      </c>
      <c r="W139" s="22">
        <f t="shared" si="30"/>
        <v>-4.9254440012488354E-3</v>
      </c>
      <c r="X139" s="26">
        <f t="shared" si="31"/>
        <v>-5331.9999999998799</v>
      </c>
      <c r="Y139" s="53">
        <f t="shared" si="24"/>
        <v>85.090903920527794</v>
      </c>
      <c r="AA139" s="22">
        <f t="shared" si="32"/>
        <v>-0.10143134256582609</v>
      </c>
      <c r="AB139" s="26">
        <f t="shared" si="33"/>
        <v>-37543.999999999985</v>
      </c>
      <c r="AC139" s="53">
        <f t="shared" si="25"/>
        <v>70.608990281121436</v>
      </c>
      <c r="AE139" s="22">
        <f t="shared" si="34"/>
        <v>-9.3293117473023379E-3</v>
      </c>
      <c r="AF139" s="26">
        <f t="shared" si="35"/>
        <v>-10367.999999999938</v>
      </c>
      <c r="AG139" s="53">
        <f t="shared" si="26"/>
        <v>87.465461657872197</v>
      </c>
    </row>
    <row r="140" spans="1:33" x14ac:dyDescent="0.3">
      <c r="A140" s="40">
        <v>43952</v>
      </c>
      <c r="B140" s="41">
        <v>321.87700000000001</v>
      </c>
      <c r="C140" s="42">
        <v>12.903</v>
      </c>
      <c r="D140" s="42">
        <v>82.995000000000005</v>
      </c>
      <c r="E140" s="45">
        <v>1075.8530000000001</v>
      </c>
      <c r="F140" s="45">
        <v>73.548000000000002</v>
      </c>
      <c r="G140" s="45">
        <v>325.06700000000001</v>
      </c>
      <c r="H140" s="45">
        <v>1098.1369999999999</v>
      </c>
      <c r="I140" s="45">
        <v>241.41300000000001</v>
      </c>
      <c r="J140" s="45">
        <v>524.226</v>
      </c>
      <c r="K140" s="45">
        <v>157.65199999999999</v>
      </c>
      <c r="L140" s="45">
        <v>805.71400000000006</v>
      </c>
      <c r="M140" s="45">
        <v>401.77600000000001</v>
      </c>
      <c r="N140" s="45">
        <v>325.07299999999998</v>
      </c>
      <c r="O140" s="45">
        <v>367.75299999999999</v>
      </c>
      <c r="P140" s="45">
        <v>0.70399999999999996</v>
      </c>
      <c r="Q140" s="46">
        <v>5814.6909999999998</v>
      </c>
      <c r="S140" s="49">
        <f t="shared" si="27"/>
        <v>43952</v>
      </c>
      <c r="T140" s="22">
        <f t="shared" si="28"/>
        <v>-4.3323689484506822E-3</v>
      </c>
      <c r="U140" s="26">
        <f t="shared" si="29"/>
        <v>-25301.000000000386</v>
      </c>
      <c r="W140" s="22">
        <f t="shared" si="30"/>
        <v>-1.2597357989621027E-3</v>
      </c>
      <c r="X140" s="26">
        <f t="shared" si="31"/>
        <v>-1356.9999999999709</v>
      </c>
      <c r="Y140" s="53">
        <f t="shared" si="24"/>
        <v>84.983711862693056</v>
      </c>
      <c r="AA140" s="22">
        <f t="shared" si="32"/>
        <v>-2.2642950348468749E-2</v>
      </c>
      <c r="AB140" s="26">
        <f t="shared" si="33"/>
        <v>-7531.0000000000055</v>
      </c>
      <c r="AC140" s="53">
        <f t="shared" si="25"/>
        <v>69.010194420030487</v>
      </c>
      <c r="AE140" s="22">
        <f t="shared" si="34"/>
        <v>-2.5713735549082184E-3</v>
      </c>
      <c r="AF140" s="26">
        <f t="shared" si="35"/>
        <v>-2831.000000000131</v>
      </c>
      <c r="AG140" s="53">
        <f t="shared" si="26"/>
        <v>87.240555282797317</v>
      </c>
    </row>
    <row r="141" spans="1:33" x14ac:dyDescent="0.3">
      <c r="A141" s="40">
        <v>43983</v>
      </c>
      <c r="B141" s="45">
        <v>320.41800000000001</v>
      </c>
      <c r="C141" s="45">
        <v>12.82</v>
      </c>
      <c r="D141" s="45">
        <v>81.798000000000002</v>
      </c>
      <c r="E141" s="45">
        <v>1077.366</v>
      </c>
      <c r="F141" s="45">
        <v>73.626000000000005</v>
      </c>
      <c r="G141" s="45">
        <v>323.99200000000002</v>
      </c>
      <c r="H141" s="45">
        <v>1095.7339999999999</v>
      </c>
      <c r="I141" s="45">
        <v>238.60300000000001</v>
      </c>
      <c r="J141" s="45">
        <v>522.58500000000004</v>
      </c>
      <c r="K141" s="45">
        <v>157.32400000000001</v>
      </c>
      <c r="L141" s="45">
        <v>811.02300000000002</v>
      </c>
      <c r="M141" s="45">
        <v>400.262</v>
      </c>
      <c r="N141" s="45">
        <v>325.44499999999999</v>
      </c>
      <c r="O141" s="45">
        <v>367.17</v>
      </c>
      <c r="P141" s="45">
        <v>0.68500000000000005</v>
      </c>
      <c r="Q141" s="46">
        <v>5808.8509999999997</v>
      </c>
      <c r="S141" s="49">
        <f t="shared" si="27"/>
        <v>43983</v>
      </c>
      <c r="T141" s="22">
        <f t="shared" si="28"/>
        <v>-1.0043525958645105E-3</v>
      </c>
      <c r="U141" s="26">
        <f t="shared" si="29"/>
        <v>-5840.0000000001455</v>
      </c>
      <c r="W141" s="22">
        <f t="shared" si="30"/>
        <v>1.4063259571706066E-3</v>
      </c>
      <c r="X141" s="26">
        <f t="shared" si="31"/>
        <v>1512.99999999992</v>
      </c>
      <c r="Y141" s="53">
        <f t="shared" si="24"/>
        <v>85.103226662622276</v>
      </c>
      <c r="AA141" s="22">
        <f t="shared" si="32"/>
        <v>-3.3070105547471362E-3</v>
      </c>
      <c r="AB141" s="26">
        <f t="shared" si="33"/>
        <v>-1074.9999999999886</v>
      </c>
      <c r="AC141" s="53">
        <f t="shared" si="25"/>
        <v>68.781976978698296</v>
      </c>
      <c r="AE141" s="22">
        <f t="shared" si="34"/>
        <v>-2.1882515569551231E-3</v>
      </c>
      <c r="AF141" s="26">
        <f t="shared" si="35"/>
        <v>-2403.00000000002</v>
      </c>
      <c r="AG141" s="53">
        <f t="shared" si="26"/>
        <v>87.049651001870103</v>
      </c>
    </row>
    <row r="142" spans="1:33" x14ac:dyDescent="0.3">
      <c r="A142" s="40">
        <v>44013</v>
      </c>
      <c r="B142" s="45">
        <v>319.80099999999999</v>
      </c>
      <c r="C142" s="45">
        <v>13.135</v>
      </c>
      <c r="D142" s="45">
        <v>80.712000000000003</v>
      </c>
      <c r="E142" s="45">
        <v>1079.508</v>
      </c>
      <c r="F142" s="45">
        <v>73.656000000000006</v>
      </c>
      <c r="G142" s="45">
        <v>317.435</v>
      </c>
      <c r="H142" s="45">
        <v>1093.846</v>
      </c>
      <c r="I142" s="45">
        <v>232.16399999999999</v>
      </c>
      <c r="J142" s="45">
        <v>521.07899999999995</v>
      </c>
      <c r="K142" s="45">
        <v>156.839</v>
      </c>
      <c r="L142" s="45">
        <v>814.24599999999998</v>
      </c>
      <c r="M142" s="45">
        <v>400.93700000000001</v>
      </c>
      <c r="N142" s="45">
        <v>326.18400000000003</v>
      </c>
      <c r="O142" s="45">
        <v>363.78300000000002</v>
      </c>
      <c r="P142" s="45">
        <v>0.66200000000000003</v>
      </c>
      <c r="Q142" s="46">
        <v>5793.9870000000001</v>
      </c>
      <c r="S142" s="49">
        <f t="shared" si="27"/>
        <v>44013</v>
      </c>
      <c r="T142" s="22">
        <f t="shared" si="28"/>
        <v>-2.5588537216739704E-3</v>
      </c>
      <c r="U142" s="26">
        <f t="shared" si="29"/>
        <v>-14863.999999999578</v>
      </c>
      <c r="W142" s="22">
        <f t="shared" si="30"/>
        <v>1.988182289027085E-3</v>
      </c>
      <c r="X142" s="26">
        <f t="shared" si="31"/>
        <v>2142.0000000000528</v>
      </c>
      <c r="Y142" s="53">
        <f t="shared" si="24"/>
        <v>85.272427390611966</v>
      </c>
      <c r="AA142" s="22">
        <f t="shared" si="32"/>
        <v>-2.0238154028494604E-2</v>
      </c>
      <c r="AB142" s="26">
        <f t="shared" si="33"/>
        <v>-6557.0000000000164</v>
      </c>
      <c r="AC142" s="53">
        <f t="shared" si="25"/>
        <v>67.389956734219041</v>
      </c>
      <c r="AE142" s="22">
        <f t="shared" si="34"/>
        <v>-1.7230459217291161E-3</v>
      </c>
      <c r="AF142" s="26">
        <f t="shared" si="35"/>
        <v>-1887.99999999992</v>
      </c>
      <c r="AG142" s="53">
        <f t="shared" si="26"/>
        <v>86.899660455723392</v>
      </c>
    </row>
    <row r="143" spans="1:33" x14ac:dyDescent="0.3">
      <c r="A143" s="40">
        <v>44044</v>
      </c>
      <c r="B143" s="45">
        <v>320.01600000000002</v>
      </c>
      <c r="C143" s="45">
        <v>12.917999999999999</v>
      </c>
      <c r="D143" s="45">
        <v>80.497</v>
      </c>
      <c r="E143" s="45">
        <v>1082.9839999999999</v>
      </c>
      <c r="F143" s="45">
        <v>73.671999999999997</v>
      </c>
      <c r="G143" s="45">
        <v>319.50299999999999</v>
      </c>
      <c r="H143" s="45">
        <v>1093.3879999999999</v>
      </c>
      <c r="I143" s="45">
        <v>227.911</v>
      </c>
      <c r="J143" s="45">
        <v>519.46600000000001</v>
      </c>
      <c r="K143" s="45">
        <v>156.44</v>
      </c>
      <c r="L143" s="45">
        <v>821.09299999999996</v>
      </c>
      <c r="M143" s="45">
        <v>397.72</v>
      </c>
      <c r="N143" s="45">
        <v>327.09100000000001</v>
      </c>
      <c r="O143" s="45">
        <v>363.16300000000001</v>
      </c>
      <c r="P143" s="45">
        <v>0.53700000000000003</v>
      </c>
      <c r="Q143" s="46">
        <v>5796.3990000000013</v>
      </c>
      <c r="S143" s="49">
        <f t="shared" si="27"/>
        <v>44044</v>
      </c>
      <c r="T143" s="22">
        <f t="shared" si="28"/>
        <v>4.162936506417747E-4</v>
      </c>
      <c r="U143" s="26">
        <f t="shared" si="29"/>
        <v>2412.0000000011714</v>
      </c>
      <c r="W143" s="22">
        <f t="shared" si="30"/>
        <v>3.2199854007566309E-3</v>
      </c>
      <c r="X143" s="26">
        <f t="shared" si="31"/>
        <v>3475.9999999998854</v>
      </c>
      <c r="Y143" s="53">
        <f t="shared" si="24"/>
        <v>85.547003361896813</v>
      </c>
      <c r="AA143" s="22">
        <f t="shared" si="32"/>
        <v>6.5147195488839404E-3</v>
      </c>
      <c r="AB143" s="26">
        <f t="shared" si="33"/>
        <v>2067.9999999999836</v>
      </c>
      <c r="AC143" s="53">
        <f t="shared" si="25"/>
        <v>67.828983402753892</v>
      </c>
      <c r="AE143" s="22">
        <f t="shared" si="34"/>
        <v>-4.1870610670979858E-4</v>
      </c>
      <c r="AF143" s="26">
        <f t="shared" si="35"/>
        <v>-458.00000000008367</v>
      </c>
      <c r="AG143" s="53">
        <f t="shared" si="26"/>
        <v>86.863275037219566</v>
      </c>
    </row>
    <row r="144" spans="1:33" x14ac:dyDescent="0.3">
      <c r="A144" s="40">
        <v>44075</v>
      </c>
      <c r="B144" s="45">
        <v>318.74299999999999</v>
      </c>
      <c r="C144" s="45">
        <v>13.052</v>
      </c>
      <c r="D144" s="45">
        <v>80.045000000000002</v>
      </c>
      <c r="E144" s="45">
        <v>1087.193</v>
      </c>
      <c r="F144" s="45">
        <v>73.739999999999995</v>
      </c>
      <c r="G144" s="45">
        <v>322.59800000000001</v>
      </c>
      <c r="H144" s="45">
        <v>1093.825</v>
      </c>
      <c r="I144" s="45">
        <v>223.96700000000001</v>
      </c>
      <c r="J144" s="45">
        <v>518.75199999999995</v>
      </c>
      <c r="K144" s="45">
        <v>156.53200000000001</v>
      </c>
      <c r="L144" s="45">
        <v>825.01800000000003</v>
      </c>
      <c r="M144" s="45">
        <v>395.947</v>
      </c>
      <c r="N144" s="45">
        <v>327.88200000000001</v>
      </c>
      <c r="O144" s="45">
        <v>363.11799999999999</v>
      </c>
      <c r="P144" s="45">
        <v>0.51600000000000001</v>
      </c>
      <c r="Q144" s="46">
        <v>5800.9279999999999</v>
      </c>
      <c r="S144" s="49">
        <f t="shared" si="27"/>
        <v>44075</v>
      </c>
      <c r="T144" s="22">
        <f t="shared" si="28"/>
        <v>7.8134717779065888E-4</v>
      </c>
      <c r="U144" s="26">
        <f t="shared" si="29"/>
        <v>4528.9999999986321</v>
      </c>
      <c r="W144" s="22">
        <f t="shared" si="30"/>
        <v>3.8864840108441268E-3</v>
      </c>
      <c r="X144" s="26">
        <f t="shared" si="31"/>
        <v>4209.00000000006</v>
      </c>
      <c r="Y144" s="53">
        <f t="shared" si="24"/>
        <v>85.879480422638451</v>
      </c>
      <c r="AA144" s="22">
        <f t="shared" si="32"/>
        <v>9.6869199976215015E-3</v>
      </c>
      <c r="AB144" s="26">
        <f t="shared" si="33"/>
        <v>3095.0000000000273</v>
      </c>
      <c r="AC144" s="53">
        <f t="shared" si="25"/>
        <v>68.486037338496359</v>
      </c>
      <c r="AE144" s="22">
        <f t="shared" si="34"/>
        <v>3.9967513819449962E-4</v>
      </c>
      <c r="AF144" s="26">
        <f t="shared" si="35"/>
        <v>437.00000000012551</v>
      </c>
      <c r="AG144" s="53">
        <f t="shared" si="26"/>
        <v>86.89799212867409</v>
      </c>
    </row>
    <row r="145" spans="1:33" x14ac:dyDescent="0.3">
      <c r="A145" s="40">
        <v>44105</v>
      </c>
      <c r="B145" s="45">
        <v>317.30399999999997</v>
      </c>
      <c r="C145" s="45">
        <v>13.491</v>
      </c>
      <c r="D145" s="45">
        <v>79.332999999999998</v>
      </c>
      <c r="E145" s="45">
        <v>1091.356</v>
      </c>
      <c r="F145" s="45">
        <v>73.724000000000004</v>
      </c>
      <c r="G145" s="45">
        <v>328.62200000000001</v>
      </c>
      <c r="H145" s="45">
        <v>1092.828</v>
      </c>
      <c r="I145" s="45">
        <v>219.48</v>
      </c>
      <c r="J145" s="45">
        <v>516.45699999999999</v>
      </c>
      <c r="K145" s="45">
        <v>156.30099999999999</v>
      </c>
      <c r="L145" s="45">
        <v>827.46600000000001</v>
      </c>
      <c r="M145" s="45">
        <v>395.00599999999997</v>
      </c>
      <c r="N145" s="45">
        <v>327.93</v>
      </c>
      <c r="O145" s="45">
        <v>362.495</v>
      </c>
      <c r="P145" s="45">
        <v>0.47599999999999998</v>
      </c>
      <c r="Q145" s="46">
        <v>5802.2690000000002</v>
      </c>
      <c r="S145" s="49">
        <f t="shared" si="27"/>
        <v>44105</v>
      </c>
      <c r="T145" s="22">
        <f t="shared" si="28"/>
        <v>2.311699093662245E-4</v>
      </c>
      <c r="U145" s="26">
        <f t="shared" si="29"/>
        <v>1341.0000000003492</v>
      </c>
      <c r="W145" s="22">
        <f t="shared" si="30"/>
        <v>3.8291269351440338E-3</v>
      </c>
      <c r="X145" s="26">
        <f t="shared" si="31"/>
        <v>4163.0000000000109</v>
      </c>
      <c r="Y145" s="53">
        <f t="shared" si="24"/>
        <v>86.208323854300943</v>
      </c>
      <c r="AA145" s="22">
        <f t="shared" si="32"/>
        <v>1.8673395371328949E-2</v>
      </c>
      <c r="AB145" s="26">
        <f t="shared" si="33"/>
        <v>6024.0000000000009</v>
      </c>
      <c r="AC145" s="53">
        <f t="shared" si="25"/>
        <v>69.764904191133709</v>
      </c>
      <c r="AE145" s="22">
        <f t="shared" si="34"/>
        <v>-9.1148035563282104E-4</v>
      </c>
      <c r="AF145" s="26">
        <f t="shared" si="35"/>
        <v>-997.00000000007094</v>
      </c>
      <c r="AG145" s="53">
        <f t="shared" si="26"/>
        <v>86.818786315904873</v>
      </c>
    </row>
    <row r="146" spans="1:33" x14ac:dyDescent="0.3">
      <c r="A146" s="40">
        <v>44136</v>
      </c>
      <c r="B146" s="45">
        <v>318.483</v>
      </c>
      <c r="C146" s="45">
        <v>13.654</v>
      </c>
      <c r="D146" s="45">
        <v>79.113</v>
      </c>
      <c r="E146" s="45">
        <v>1094.0709999999999</v>
      </c>
      <c r="F146" s="45">
        <v>73.771000000000001</v>
      </c>
      <c r="G146" s="45">
        <v>334.61200000000002</v>
      </c>
      <c r="H146" s="45">
        <v>1092.3989999999999</v>
      </c>
      <c r="I146" s="45">
        <v>215.417</v>
      </c>
      <c r="J146" s="45">
        <v>515.79</v>
      </c>
      <c r="K146" s="45">
        <v>155.952</v>
      </c>
      <c r="L146" s="45">
        <v>830.005</v>
      </c>
      <c r="M146" s="45">
        <v>395.09</v>
      </c>
      <c r="N146" s="45">
        <v>327.589</v>
      </c>
      <c r="O146" s="45">
        <v>362.00599999999997</v>
      </c>
      <c r="P146" s="45">
        <v>0.48299999999999998</v>
      </c>
      <c r="Q146" s="46">
        <v>5808.4350000000004</v>
      </c>
      <c r="S146" s="49">
        <f t="shared" si="27"/>
        <v>44136</v>
      </c>
      <c r="T146" s="22">
        <f t="shared" si="28"/>
        <v>1.0626877175119454E-3</v>
      </c>
      <c r="U146" s="26">
        <f t="shared" si="29"/>
        <v>6166.0000000001673</v>
      </c>
      <c r="W146" s="22">
        <f t="shared" si="30"/>
        <v>2.4877308595911973E-3</v>
      </c>
      <c r="X146" s="26">
        <f t="shared" si="31"/>
        <v>2714.9999999999181</v>
      </c>
      <c r="Y146" s="53">
        <f t="shared" si="24"/>
        <v>86.422786961906922</v>
      </c>
      <c r="AA146" s="22">
        <f t="shared" si="32"/>
        <v>1.8227629312705718E-2</v>
      </c>
      <c r="AB146" s="26">
        <f t="shared" si="33"/>
        <v>5990.0000000000091</v>
      </c>
      <c r="AC146" s="53">
        <f t="shared" si="25"/>
        <v>71.03655300376613</v>
      </c>
      <c r="AE146" s="22">
        <f t="shared" si="34"/>
        <v>-3.9255948786087735E-4</v>
      </c>
      <c r="AF146" s="26">
        <f t="shared" si="35"/>
        <v>-429.00000000008731</v>
      </c>
      <c r="AG146" s="53">
        <f t="shared" si="26"/>
        <v>86.784704777611992</v>
      </c>
    </row>
    <row r="147" spans="1:33" x14ac:dyDescent="0.3">
      <c r="A147" s="40">
        <v>44166</v>
      </c>
      <c r="B147" s="45">
        <v>319.25599999999997</v>
      </c>
      <c r="C147" s="45">
        <v>13.097</v>
      </c>
      <c r="D147" s="45">
        <v>79.046999999999997</v>
      </c>
      <c r="E147" s="45">
        <v>1094.9469999999999</v>
      </c>
      <c r="F147" s="45">
        <v>73.933000000000007</v>
      </c>
      <c r="G147" s="45">
        <v>338.57900000000001</v>
      </c>
      <c r="H147" s="45">
        <v>1088.827</v>
      </c>
      <c r="I147" s="45">
        <v>213.01300000000001</v>
      </c>
      <c r="J147" s="45">
        <v>514.19399999999996</v>
      </c>
      <c r="K147" s="45">
        <v>155.804</v>
      </c>
      <c r="L147" s="45">
        <v>830.36800000000005</v>
      </c>
      <c r="M147" s="45">
        <v>397.89100000000002</v>
      </c>
      <c r="N147" s="45">
        <v>326.63799999999998</v>
      </c>
      <c r="O147" s="45">
        <v>360.35399999999998</v>
      </c>
      <c r="P147" s="45">
        <v>0.44400000000000001</v>
      </c>
      <c r="Q147" s="46">
        <v>5806.3919999999998</v>
      </c>
      <c r="S147" s="49">
        <f t="shared" si="27"/>
        <v>44166</v>
      </c>
      <c r="T147" s="22">
        <f t="shared" si="28"/>
        <v>-3.5172985494380526E-4</v>
      </c>
      <c r="U147" s="26">
        <f t="shared" si="29"/>
        <v>-2043.0000000005748</v>
      </c>
      <c r="W147" s="22">
        <f t="shared" si="30"/>
        <v>8.0067929777860591E-4</v>
      </c>
      <c r="X147" s="26">
        <f t="shared" si="31"/>
        <v>875.99999999997635</v>
      </c>
      <c r="Y147" s="53">
        <f t="shared" si="24"/>
        <v>86.49198389828365</v>
      </c>
      <c r="AA147" s="22">
        <f t="shared" si="32"/>
        <v>1.1855522216776437E-2</v>
      </c>
      <c r="AB147" s="26">
        <f t="shared" si="33"/>
        <v>3966.9999999999845</v>
      </c>
      <c r="AC147" s="53">
        <f t="shared" si="25"/>
        <v>71.87872843610549</v>
      </c>
      <c r="AE147" s="22">
        <f t="shared" si="34"/>
        <v>-3.2698675117790454E-3</v>
      </c>
      <c r="AF147" s="26">
        <f t="shared" si="35"/>
        <v>-3571.999999999889</v>
      </c>
      <c r="AG147" s="53">
        <f t="shared" si="26"/>
        <v>86.500930290940332</v>
      </c>
    </row>
    <row r="148" spans="1:33" x14ac:dyDescent="0.3">
      <c r="A148" s="40">
        <v>44197</v>
      </c>
      <c r="B148" s="45">
        <v>319.90300000000002</v>
      </c>
      <c r="C148" s="45">
        <v>13.327</v>
      </c>
      <c r="D148" s="45">
        <v>79.974999999999994</v>
      </c>
      <c r="E148" s="45">
        <v>1097.153</v>
      </c>
      <c r="F148" s="45">
        <v>74.072999999999993</v>
      </c>
      <c r="G148" s="45">
        <v>346.108</v>
      </c>
      <c r="H148" s="45">
        <v>1089.693</v>
      </c>
      <c r="I148" s="45">
        <v>209.47300000000001</v>
      </c>
      <c r="J148" s="45">
        <v>514.39800000000002</v>
      </c>
      <c r="K148" s="45">
        <v>155.36000000000001</v>
      </c>
      <c r="L148" s="45">
        <v>832.39400000000001</v>
      </c>
      <c r="M148" s="45">
        <v>404.58100000000002</v>
      </c>
      <c r="N148" s="45">
        <v>326.505</v>
      </c>
      <c r="O148" s="45">
        <v>361.553</v>
      </c>
      <c r="P148" s="45">
        <v>0.378</v>
      </c>
      <c r="Q148" s="46">
        <v>5824.8739999999998</v>
      </c>
      <c r="S148" s="49">
        <f t="shared" si="27"/>
        <v>44197</v>
      </c>
      <c r="T148" s="22">
        <f t="shared" si="28"/>
        <v>3.1830437903606068E-3</v>
      </c>
      <c r="U148" s="26">
        <f t="shared" si="29"/>
        <v>18481.999999999971</v>
      </c>
      <c r="W148" s="22">
        <f t="shared" si="30"/>
        <v>2.0147093877604938E-3</v>
      </c>
      <c r="X148" s="26">
        <f t="shared" si="31"/>
        <v>2206.000000000131</v>
      </c>
      <c r="Y148" s="53">
        <f t="shared" si="24"/>
        <v>86.666240110209543</v>
      </c>
      <c r="AA148" s="22">
        <f t="shared" si="32"/>
        <v>2.2237055458253385E-2</v>
      </c>
      <c r="AB148" s="26">
        <f t="shared" si="33"/>
        <v>7528.9999999999964</v>
      </c>
      <c r="AC148" s="53">
        <f t="shared" si="25"/>
        <v>73.477099706607902</v>
      </c>
      <c r="AE148" s="22">
        <f t="shared" si="34"/>
        <v>7.9535132762131866E-4</v>
      </c>
      <c r="AF148" s="26">
        <f t="shared" si="35"/>
        <v>865.99999999998545</v>
      </c>
      <c r="AG148" s="53">
        <f t="shared" si="26"/>
        <v>86.569728920687723</v>
      </c>
    </row>
    <row r="149" spans="1:33" x14ac:dyDescent="0.3">
      <c r="A149" s="40">
        <v>44228</v>
      </c>
      <c r="B149" s="45">
        <v>320.03500000000003</v>
      </c>
      <c r="C149" s="45">
        <v>13.72</v>
      </c>
      <c r="D149" s="45">
        <v>80.174999999999997</v>
      </c>
      <c r="E149" s="45">
        <v>1099.4010000000001</v>
      </c>
      <c r="F149" s="45">
        <v>74.134</v>
      </c>
      <c r="G149" s="45">
        <v>351.52199999999999</v>
      </c>
      <c r="H149" s="45">
        <v>1092.962</v>
      </c>
      <c r="I149" s="45">
        <v>209.422</v>
      </c>
      <c r="J149" s="45">
        <v>514.46199999999999</v>
      </c>
      <c r="K149" s="45">
        <v>155.36500000000001</v>
      </c>
      <c r="L149" s="45">
        <v>835.26099999999997</v>
      </c>
      <c r="M149" s="45">
        <v>403.69</v>
      </c>
      <c r="N149" s="45">
        <v>326.78699999999998</v>
      </c>
      <c r="O149" s="45">
        <v>359.93</v>
      </c>
      <c r="P149" s="45">
        <v>0.35599999999999998</v>
      </c>
      <c r="Q149" s="46">
        <v>5837.2220000000007</v>
      </c>
      <c r="S149" s="49">
        <f t="shared" si="27"/>
        <v>44228</v>
      </c>
      <c r="T149" s="22">
        <f t="shared" si="28"/>
        <v>2.1198741809695942E-3</v>
      </c>
      <c r="U149" s="26">
        <f t="shared" si="29"/>
        <v>12348.000000000866</v>
      </c>
      <c r="W149" s="22">
        <f t="shared" si="30"/>
        <v>2.0489393913156739E-3</v>
      </c>
      <c r="X149" s="26">
        <f t="shared" si="31"/>
        <v>2248.0000000000473</v>
      </c>
      <c r="Y149" s="53">
        <f t="shared" si="24"/>
        <v>86.843813983468578</v>
      </c>
      <c r="AA149" s="22">
        <f t="shared" si="32"/>
        <v>1.5642516208813406E-2</v>
      </c>
      <c r="AB149" s="26">
        <f t="shared" si="33"/>
        <v>5413.9999999999873</v>
      </c>
      <c r="AC149" s="53">
        <f t="shared" si="25"/>
        <v>74.626466429745122</v>
      </c>
      <c r="AE149" s="22">
        <f t="shared" si="34"/>
        <v>2.9999275025167638E-3</v>
      </c>
      <c r="AF149" s="26">
        <f t="shared" si="35"/>
        <v>3269.0000000000055</v>
      </c>
      <c r="AG149" s="53">
        <f t="shared" si="26"/>
        <v>86.829431831362314</v>
      </c>
    </row>
    <row r="150" spans="1:33" x14ac:dyDescent="0.3">
      <c r="A150" s="40">
        <v>44256</v>
      </c>
      <c r="B150" s="45">
        <v>321.923</v>
      </c>
      <c r="C150" s="45">
        <v>13.629</v>
      </c>
      <c r="D150" s="45">
        <v>80.295000000000002</v>
      </c>
      <c r="E150" s="45">
        <v>1104.2639999999999</v>
      </c>
      <c r="F150" s="45">
        <v>74.161000000000001</v>
      </c>
      <c r="G150" s="45">
        <v>357.363</v>
      </c>
      <c r="H150" s="45">
        <v>1097.7270000000001</v>
      </c>
      <c r="I150" s="45">
        <v>210.43</v>
      </c>
      <c r="J150" s="45">
        <v>514.38300000000004</v>
      </c>
      <c r="K150" s="45">
        <v>155.13200000000001</v>
      </c>
      <c r="L150" s="45">
        <v>840.15599999999995</v>
      </c>
      <c r="M150" s="45">
        <v>402.91</v>
      </c>
      <c r="N150" s="45">
        <v>327.68700000000001</v>
      </c>
      <c r="O150" s="45">
        <v>360.73200000000003</v>
      </c>
      <c r="P150" s="45">
        <v>0.34599999999999997</v>
      </c>
      <c r="Q150" s="46">
        <v>5861.137999999999</v>
      </c>
      <c r="S150" s="49">
        <f t="shared" si="27"/>
        <v>44256</v>
      </c>
      <c r="T150" s="22">
        <f t="shared" si="28"/>
        <v>4.0971544340782096E-3</v>
      </c>
      <c r="U150" s="26">
        <f t="shared" si="29"/>
        <v>23915.999999998348</v>
      </c>
      <c r="W150" s="22">
        <f t="shared" si="30"/>
        <v>4.4233177885046882E-3</v>
      </c>
      <c r="X150" s="26">
        <f t="shared" si="31"/>
        <v>4862.999999999829</v>
      </c>
      <c r="Y150" s="53">
        <f t="shared" si="24"/>
        <v>87.227951770683248</v>
      </c>
      <c r="AA150" s="22">
        <f t="shared" si="32"/>
        <v>1.6616314199395799E-2</v>
      </c>
      <c r="AB150" s="26">
        <f t="shared" si="33"/>
        <v>5841.0000000000082</v>
      </c>
      <c r="AC150" s="53">
        <f t="shared" si="25"/>
        <v>75.866483243532429</v>
      </c>
      <c r="AE150" s="22">
        <f t="shared" si="34"/>
        <v>4.3597124145213773E-3</v>
      </c>
      <c r="AF150" s="26">
        <f t="shared" si="35"/>
        <v>4765.0000000001</v>
      </c>
      <c r="AG150" s="53">
        <f t="shared" si="26"/>
        <v>87.207983183263352</v>
      </c>
    </row>
    <row r="151" spans="1:33" x14ac:dyDescent="0.3">
      <c r="A151" s="40">
        <v>44287</v>
      </c>
      <c r="B151" s="45">
        <v>324.33699999999999</v>
      </c>
      <c r="C151" s="45">
        <v>13.445</v>
      </c>
      <c r="D151" s="45">
        <v>80.441000000000003</v>
      </c>
      <c r="E151" s="45">
        <v>1109.7429999999999</v>
      </c>
      <c r="F151" s="45">
        <v>74.245000000000005</v>
      </c>
      <c r="G151" s="45">
        <v>362.92399999999998</v>
      </c>
      <c r="H151" s="45">
        <v>1102.154</v>
      </c>
      <c r="I151" s="45">
        <v>211.27600000000001</v>
      </c>
      <c r="J151" s="45">
        <v>515.74400000000003</v>
      </c>
      <c r="K151" s="45">
        <v>155.22999999999999</v>
      </c>
      <c r="L151" s="45">
        <v>849.30799999999999</v>
      </c>
      <c r="M151" s="45">
        <v>403.23399999999998</v>
      </c>
      <c r="N151" s="45">
        <v>329.41399999999999</v>
      </c>
      <c r="O151" s="45">
        <v>363.56400000000002</v>
      </c>
      <c r="P151" s="45">
        <v>0.33200000000000002</v>
      </c>
      <c r="Q151" s="46">
        <v>5895.3910000000005</v>
      </c>
      <c r="S151" s="49">
        <f t="shared" si="27"/>
        <v>44287</v>
      </c>
      <c r="T151" s="22">
        <f t="shared" si="28"/>
        <v>5.8440869332887502E-3</v>
      </c>
      <c r="U151" s="26">
        <f t="shared" si="29"/>
        <v>34253.000000001521</v>
      </c>
      <c r="W151" s="22">
        <f t="shared" si="30"/>
        <v>4.9616758311419318E-3</v>
      </c>
      <c r="X151" s="26">
        <f t="shared" si="31"/>
        <v>5479.0000000000418</v>
      </c>
      <c r="Y151" s="53">
        <f t="shared" si="24"/>
        <v>87.66074859078384</v>
      </c>
      <c r="AA151" s="22">
        <f t="shared" si="32"/>
        <v>1.5561208071344756E-2</v>
      </c>
      <c r="AB151" s="26">
        <f t="shared" si="33"/>
        <v>5560.9999999999782</v>
      </c>
      <c r="AC151" s="53">
        <f t="shared" si="25"/>
        <v>77.047057374926226</v>
      </c>
      <c r="AE151" s="22">
        <f t="shared" si="34"/>
        <v>4.0328788487482559E-3</v>
      </c>
      <c r="AF151" s="26">
        <f t="shared" si="35"/>
        <v>4426.9999999999072</v>
      </c>
      <c r="AG151" s="53">
        <f t="shared" si="26"/>
        <v>87.559682414085131</v>
      </c>
    </row>
    <row r="152" spans="1:33" x14ac:dyDescent="0.3">
      <c r="A152" s="40">
        <v>44317</v>
      </c>
      <c r="B152" s="45">
        <v>324.678</v>
      </c>
      <c r="C152" s="45">
        <v>13.801</v>
      </c>
      <c r="D152" s="45">
        <v>80.974000000000004</v>
      </c>
      <c r="E152" s="45">
        <v>1111.067</v>
      </c>
      <c r="F152" s="45">
        <v>74.221999999999994</v>
      </c>
      <c r="G152" s="45">
        <v>364.23500000000001</v>
      </c>
      <c r="H152" s="45">
        <v>1102.4829999999999</v>
      </c>
      <c r="I152" s="45">
        <v>208.09</v>
      </c>
      <c r="J152" s="45">
        <v>514.78099999999995</v>
      </c>
      <c r="K152" s="45">
        <v>155.09800000000001</v>
      </c>
      <c r="L152" s="45">
        <v>851.9</v>
      </c>
      <c r="M152" s="45">
        <v>401.73099999999999</v>
      </c>
      <c r="N152" s="45">
        <v>330.55500000000001</v>
      </c>
      <c r="O152" s="45">
        <v>362.666</v>
      </c>
      <c r="P152" s="45">
        <v>0.30499999999999999</v>
      </c>
      <c r="Q152" s="46">
        <v>5896.5860000000002</v>
      </c>
      <c r="S152" s="49">
        <f t="shared" si="27"/>
        <v>44317</v>
      </c>
      <c r="T152" s="22">
        <f t="shared" si="28"/>
        <v>2.0270071993522265E-4</v>
      </c>
      <c r="U152" s="26">
        <f t="shared" si="29"/>
        <v>1194.999999999709</v>
      </c>
      <c r="W152" s="22">
        <f t="shared" si="30"/>
        <v>1.1930690258916687E-3</v>
      </c>
      <c r="X152" s="26">
        <f t="shared" si="31"/>
        <v>1324.0000000000691</v>
      </c>
      <c r="Y152" s="53">
        <f t="shared" si="24"/>
        <v>87.765333914713977</v>
      </c>
      <c r="AA152" s="22">
        <f t="shared" si="32"/>
        <v>3.6123265477070454E-3</v>
      </c>
      <c r="AB152" s="26">
        <f t="shared" si="33"/>
        <v>1311.0000000000355</v>
      </c>
      <c r="AC152" s="53">
        <f t="shared" si="25"/>
        <v>77.325376505704384</v>
      </c>
      <c r="AE152" s="22">
        <f t="shared" si="34"/>
        <v>2.9850637932615776E-4</v>
      </c>
      <c r="AF152" s="26">
        <f t="shared" si="35"/>
        <v>328.99999999995089</v>
      </c>
      <c r="AG152" s="53">
        <f t="shared" si="26"/>
        <v>87.585819537857518</v>
      </c>
    </row>
    <row r="153" spans="1:33" x14ac:dyDescent="0.3">
      <c r="A153" s="40">
        <v>44348</v>
      </c>
      <c r="B153" s="45">
        <v>324.44600000000003</v>
      </c>
      <c r="C153" s="45">
        <v>13.922000000000001</v>
      </c>
      <c r="D153" s="45">
        <v>81.459999999999994</v>
      </c>
      <c r="E153" s="45">
        <v>1112.2170000000001</v>
      </c>
      <c r="F153" s="45">
        <v>74.239999999999995</v>
      </c>
      <c r="G153" s="45">
        <v>369.38400000000001</v>
      </c>
      <c r="H153" s="45">
        <v>1101.876</v>
      </c>
      <c r="I153" s="45">
        <v>205.91800000000001</v>
      </c>
      <c r="J153" s="45">
        <v>513.72799999999995</v>
      </c>
      <c r="K153" s="45">
        <v>154.71799999999999</v>
      </c>
      <c r="L153" s="45">
        <v>854.35699999999997</v>
      </c>
      <c r="M153" s="45">
        <v>400.827</v>
      </c>
      <c r="N153" s="45">
        <v>331.04</v>
      </c>
      <c r="O153" s="45">
        <v>362.94</v>
      </c>
      <c r="P153" s="45">
        <v>0.309</v>
      </c>
      <c r="Q153" s="46">
        <v>5901.3819999999996</v>
      </c>
      <c r="S153" s="49">
        <f t="shared" si="27"/>
        <v>44348</v>
      </c>
      <c r="T153" s="22">
        <f t="shared" si="28"/>
        <v>8.1335199724041907E-4</v>
      </c>
      <c r="U153" s="26">
        <f t="shared" si="29"/>
        <v>4795.999999999367</v>
      </c>
      <c r="W153" s="22">
        <f t="shared" si="30"/>
        <v>1.0350410911315056E-3</v>
      </c>
      <c r="X153" s="26">
        <f t="shared" si="31"/>
        <v>1150.0000000000909</v>
      </c>
      <c r="Y153" s="53">
        <f t="shared" si="24"/>
        <v>87.85617464169259</v>
      </c>
      <c r="AA153" s="22">
        <f t="shared" si="32"/>
        <v>1.4136477823383231E-2</v>
      </c>
      <c r="AB153" s="26">
        <f t="shared" si="33"/>
        <v>5149.0000000000009</v>
      </c>
      <c r="AC153" s="53">
        <f t="shared" si="25"/>
        <v>78.418484975862029</v>
      </c>
      <c r="AE153" s="22">
        <f t="shared" si="34"/>
        <v>-5.5057538302172304E-4</v>
      </c>
      <c r="AF153" s="26">
        <f t="shared" si="35"/>
        <v>-606.9999999999709</v>
      </c>
      <c r="AG153" s="53">
        <f t="shared" si="26"/>
        <v>87.537596941718178</v>
      </c>
    </row>
    <row r="154" spans="1:33" x14ac:dyDescent="0.3">
      <c r="A154" s="40">
        <v>44378</v>
      </c>
      <c r="B154" s="45">
        <v>324.67599999999999</v>
      </c>
      <c r="C154" s="45">
        <v>13.877000000000001</v>
      </c>
      <c r="D154" s="45">
        <v>81.617999999999995</v>
      </c>
      <c r="E154" s="45">
        <v>1111.9970000000001</v>
      </c>
      <c r="F154" s="45">
        <v>74.245000000000005</v>
      </c>
      <c r="G154" s="45">
        <v>373.82900000000001</v>
      </c>
      <c r="H154" s="45">
        <v>1101.539</v>
      </c>
      <c r="I154" s="45">
        <v>206.78200000000001</v>
      </c>
      <c r="J154" s="45">
        <v>512.447</v>
      </c>
      <c r="K154" s="45">
        <v>154.56800000000001</v>
      </c>
      <c r="L154" s="45">
        <v>852.327</v>
      </c>
      <c r="M154" s="45">
        <v>402.142</v>
      </c>
      <c r="N154" s="45">
        <v>330.03899999999999</v>
      </c>
      <c r="O154" s="45">
        <v>362.12299999999999</v>
      </c>
      <c r="P154" s="45">
        <v>0.30499999999999999</v>
      </c>
      <c r="Q154" s="46">
        <v>5902.5140000000001</v>
      </c>
      <c r="S154" s="49">
        <f t="shared" si="27"/>
        <v>44378</v>
      </c>
      <c r="T154" s="22">
        <f t="shared" si="28"/>
        <v>1.9181947550594991E-4</v>
      </c>
      <c r="U154" s="26">
        <f t="shared" si="29"/>
        <v>1132.0000000005166</v>
      </c>
      <c r="W154" s="22">
        <f t="shared" si="30"/>
        <v>-1.9780312654815724E-4</v>
      </c>
      <c r="X154" s="26">
        <f t="shared" si="31"/>
        <v>-220.00000000002728</v>
      </c>
      <c r="Y154" s="53">
        <f t="shared" si="24"/>
        <v>87.838796415661889</v>
      </c>
      <c r="AA154" s="22">
        <f t="shared" si="32"/>
        <v>1.2033547744352724E-2</v>
      </c>
      <c r="AB154" s="26">
        <f t="shared" si="33"/>
        <v>4444.9999999999927</v>
      </c>
      <c r="AC154" s="53">
        <f t="shared" si="25"/>
        <v>79.362137558858876</v>
      </c>
      <c r="AE154" s="22">
        <f t="shared" si="34"/>
        <v>-3.0584203667194387E-4</v>
      </c>
      <c r="AF154" s="26">
        <f t="shared" si="35"/>
        <v>-336.99999999998909</v>
      </c>
      <c r="AG154" s="53">
        <f t="shared" si="26"/>
        <v>87.510824264784148</v>
      </c>
    </row>
    <row r="155" spans="1:33" x14ac:dyDescent="0.3">
      <c r="A155" s="40">
        <v>44409</v>
      </c>
      <c r="B155" s="45">
        <v>324.27499999999998</v>
      </c>
      <c r="C155" s="45">
        <v>14.08</v>
      </c>
      <c r="D155" s="45">
        <v>81.876999999999995</v>
      </c>
      <c r="E155" s="45">
        <v>1113.6110000000001</v>
      </c>
      <c r="F155" s="45">
        <v>74.221999999999994</v>
      </c>
      <c r="G155" s="45">
        <v>378.16199999999998</v>
      </c>
      <c r="H155" s="45">
        <v>1103.6130000000001</v>
      </c>
      <c r="I155" s="45">
        <v>210.001</v>
      </c>
      <c r="J155" s="45">
        <v>512.07399999999996</v>
      </c>
      <c r="K155" s="45">
        <v>154.511</v>
      </c>
      <c r="L155" s="45">
        <v>853.89800000000002</v>
      </c>
      <c r="M155" s="45">
        <v>404.34399999999999</v>
      </c>
      <c r="N155" s="45">
        <v>329.4</v>
      </c>
      <c r="O155" s="45">
        <v>362.05399999999997</v>
      </c>
      <c r="P155" s="45">
        <v>0.29299999999999998</v>
      </c>
      <c r="Q155" s="46">
        <v>5916.415</v>
      </c>
      <c r="S155" s="49">
        <f t="shared" si="27"/>
        <v>44409</v>
      </c>
      <c r="T155" s="22">
        <f t="shared" si="28"/>
        <v>2.3550981835875895E-3</v>
      </c>
      <c r="U155" s="26">
        <f t="shared" si="29"/>
        <v>13900.99999999984</v>
      </c>
      <c r="W155" s="22">
        <f t="shared" si="30"/>
        <v>1.4514427646836747E-3</v>
      </c>
      <c r="X155" s="26">
        <f t="shared" si="31"/>
        <v>1614.0000000000327</v>
      </c>
      <c r="Y155" s="53">
        <f t="shared" si="24"/>
        <v>87.966289401177931</v>
      </c>
      <c r="AA155" s="22">
        <f t="shared" si="32"/>
        <v>1.1590861062143354E-2</v>
      </c>
      <c r="AB155" s="26">
        <f t="shared" si="33"/>
        <v>4332.99999999997</v>
      </c>
      <c r="AC155" s="53">
        <f t="shared" si="25"/>
        <v>80.282013068898323</v>
      </c>
      <c r="AE155" s="22">
        <f t="shared" si="34"/>
        <v>1.8828203086773687E-3</v>
      </c>
      <c r="AF155" s="26">
        <f t="shared" si="35"/>
        <v>2074.0000000000691</v>
      </c>
      <c r="AG155" s="53">
        <f t="shared" si="26"/>
        <v>87.675591421938975</v>
      </c>
    </row>
    <row r="156" spans="1:33" x14ac:dyDescent="0.3">
      <c r="A156" s="40">
        <v>44440</v>
      </c>
      <c r="B156" s="45">
        <v>324.62200000000001</v>
      </c>
      <c r="C156" s="45">
        <v>14.705</v>
      </c>
      <c r="D156" s="45">
        <v>82.185000000000002</v>
      </c>
      <c r="E156" s="45">
        <v>1116.9449999999999</v>
      </c>
      <c r="F156" s="45">
        <v>74.332999999999998</v>
      </c>
      <c r="G156" s="45">
        <v>382.59100000000001</v>
      </c>
      <c r="H156" s="45">
        <v>1107.789</v>
      </c>
      <c r="I156" s="45">
        <v>213.85300000000001</v>
      </c>
      <c r="J156" s="45">
        <v>512.24199999999996</v>
      </c>
      <c r="K156" s="45">
        <v>154.072</v>
      </c>
      <c r="L156" s="45">
        <v>856.346</v>
      </c>
      <c r="M156" s="45">
        <v>405.99</v>
      </c>
      <c r="N156" s="45">
        <v>328.65</v>
      </c>
      <c r="O156" s="45">
        <v>361.89699999999999</v>
      </c>
      <c r="P156" s="45">
        <v>0.29299999999999998</v>
      </c>
      <c r="Q156" s="46">
        <v>5936.5129999999999</v>
      </c>
      <c r="S156" s="49">
        <f t="shared" si="27"/>
        <v>44440</v>
      </c>
      <c r="T156" s="22">
        <f t="shared" si="28"/>
        <v>3.3969895620913348E-3</v>
      </c>
      <c r="U156" s="26">
        <f t="shared" si="29"/>
        <v>20097.999999999956</v>
      </c>
      <c r="W156" s="22">
        <f t="shared" si="30"/>
        <v>2.9938641051496795E-3</v>
      </c>
      <c r="X156" s="26">
        <f t="shared" si="31"/>
        <v>3333.9999999998327</v>
      </c>
      <c r="Y156" s="53">
        <f t="shared" si="24"/>
        <v>88.229648517479333</v>
      </c>
      <c r="AA156" s="22">
        <f t="shared" si="32"/>
        <v>1.1711911826148613E-2</v>
      </c>
      <c r="AB156" s="26">
        <f t="shared" si="33"/>
        <v>4429.0000000000309</v>
      </c>
      <c r="AC156" s="53">
        <f t="shared" si="25"/>
        <v>81.222268927186974</v>
      </c>
      <c r="AE156" s="22">
        <f t="shared" si="34"/>
        <v>3.7839351294339796E-3</v>
      </c>
      <c r="AF156" s="26">
        <f t="shared" si="35"/>
        <v>4175.9999999999309</v>
      </c>
      <c r="AG156" s="53">
        <f t="shared" si="26"/>
        <v>88.007350172314347</v>
      </c>
    </row>
    <row r="157" spans="1:33" x14ac:dyDescent="0.3">
      <c r="A157" s="40">
        <v>44470</v>
      </c>
      <c r="B157" s="45">
        <v>322.45299999999997</v>
      </c>
      <c r="C157" s="45">
        <v>13.657</v>
      </c>
      <c r="D157" s="45">
        <v>82.569000000000003</v>
      </c>
      <c r="E157" s="45">
        <v>1118.067</v>
      </c>
      <c r="F157" s="45">
        <v>74.328000000000003</v>
      </c>
      <c r="G157" s="45">
        <v>388.041</v>
      </c>
      <c r="H157" s="45">
        <v>1111.1569999999999</v>
      </c>
      <c r="I157" s="45">
        <v>218.15100000000001</v>
      </c>
      <c r="J157" s="45">
        <v>512.66</v>
      </c>
      <c r="K157" s="45">
        <v>153.95699999999999</v>
      </c>
      <c r="L157" s="45">
        <v>858.13699999999994</v>
      </c>
      <c r="M157" s="45">
        <v>406.85199999999998</v>
      </c>
      <c r="N157" s="45">
        <v>327.92200000000003</v>
      </c>
      <c r="O157" s="45">
        <v>362.79599999999999</v>
      </c>
      <c r="P157" s="45">
        <v>0.28499999999999998</v>
      </c>
      <c r="Q157" s="46">
        <v>5951.0319999999992</v>
      </c>
      <c r="S157" s="49">
        <f t="shared" si="27"/>
        <v>44470</v>
      </c>
      <c r="T157" s="22">
        <f t="shared" si="28"/>
        <v>2.4457118176948178E-3</v>
      </c>
      <c r="U157" s="26">
        <f t="shared" si="29"/>
        <v>14518.999999999323</v>
      </c>
      <c r="W157" s="22">
        <f t="shared" si="30"/>
        <v>1.0045257376147809E-3</v>
      </c>
      <c r="X157" s="26">
        <f t="shared" si="31"/>
        <v>1122.0000000000709</v>
      </c>
      <c r="Y157" s="53">
        <f t="shared" si="24"/>
        <v>88.318277470235842</v>
      </c>
      <c r="AA157" s="22">
        <f t="shared" si="32"/>
        <v>1.4244977012005E-2</v>
      </c>
      <c r="AB157" s="26">
        <f t="shared" si="33"/>
        <v>5449.9999999999891</v>
      </c>
      <c r="AC157" s="53">
        <f t="shared" si="25"/>
        <v>82.379278280917632</v>
      </c>
      <c r="AE157" s="22">
        <f t="shared" si="34"/>
        <v>3.0402901635599999E-3</v>
      </c>
      <c r="AF157" s="26">
        <f t="shared" si="35"/>
        <v>3367.9999999999382</v>
      </c>
      <c r="AG157" s="53">
        <f t="shared" si="26"/>
        <v>88.274918053364203</v>
      </c>
    </row>
    <row r="158" spans="1:33" x14ac:dyDescent="0.3">
      <c r="A158" s="40">
        <v>44501</v>
      </c>
      <c r="B158" s="45">
        <v>319.71499999999997</v>
      </c>
      <c r="C158" s="45">
        <v>13.617000000000001</v>
      </c>
      <c r="D158" s="45">
        <v>82.741</v>
      </c>
      <c r="E158" s="45">
        <v>1122.3340000000001</v>
      </c>
      <c r="F158" s="45">
        <v>74.373000000000005</v>
      </c>
      <c r="G158" s="45">
        <v>392.38600000000002</v>
      </c>
      <c r="H158" s="45">
        <v>1116.6669999999999</v>
      </c>
      <c r="I158" s="45">
        <v>223.44900000000001</v>
      </c>
      <c r="J158" s="45">
        <v>513.94899999999996</v>
      </c>
      <c r="K158" s="45">
        <v>153.91399999999999</v>
      </c>
      <c r="L158" s="45">
        <v>861.971</v>
      </c>
      <c r="M158" s="45">
        <v>407.79500000000002</v>
      </c>
      <c r="N158" s="45">
        <v>328.35399999999998</v>
      </c>
      <c r="O158" s="45">
        <v>363.15499999999997</v>
      </c>
      <c r="P158" s="45">
        <v>0.30599999999999999</v>
      </c>
      <c r="Q158" s="46">
        <v>5974.7259999999997</v>
      </c>
      <c r="S158" s="49">
        <f t="shared" si="27"/>
        <v>44501</v>
      </c>
      <c r="T158" s="22">
        <f t="shared" si="28"/>
        <v>3.9814943021647675E-3</v>
      </c>
      <c r="U158" s="26">
        <f t="shared" si="29"/>
        <v>23694.000000000415</v>
      </c>
      <c r="W158" s="22">
        <f t="shared" si="30"/>
        <v>3.8164081401204086E-3</v>
      </c>
      <c r="X158" s="26">
        <f t="shared" si="31"/>
        <v>4267.0000000000528</v>
      </c>
      <c r="Y158" s="53">
        <f t="shared" si="24"/>
        <v>88.655336063294669</v>
      </c>
      <c r="AA158" s="22">
        <f t="shared" si="32"/>
        <v>1.1197270391530845E-2</v>
      </c>
      <c r="AB158" s="26">
        <f t="shared" si="33"/>
        <v>4345.0000000000273</v>
      </c>
      <c r="AC158" s="53">
        <f t="shared" si="25"/>
        <v>83.301701334488229</v>
      </c>
      <c r="AE158" s="22">
        <f t="shared" si="34"/>
        <v>4.9587952017582371E-3</v>
      </c>
      <c r="AF158" s="26">
        <f t="shared" si="35"/>
        <v>5509.9999999999909</v>
      </c>
      <c r="AG158" s="53">
        <f t="shared" si="26"/>
        <v>88.712655293442822</v>
      </c>
    </row>
    <row r="159" spans="1:33" x14ac:dyDescent="0.3">
      <c r="A159" s="40">
        <v>44531</v>
      </c>
      <c r="B159" s="45">
        <v>321.27699999999999</v>
      </c>
      <c r="C159" s="45">
        <v>13.66</v>
      </c>
      <c r="D159" s="45">
        <v>83.064999999999998</v>
      </c>
      <c r="E159" s="45">
        <v>1127.701</v>
      </c>
      <c r="F159" s="45">
        <v>74.471000000000004</v>
      </c>
      <c r="G159" s="45">
        <v>397.46300000000002</v>
      </c>
      <c r="H159" s="45">
        <v>1120.998</v>
      </c>
      <c r="I159" s="45">
        <v>228.517</v>
      </c>
      <c r="J159" s="45">
        <v>515.56799999999998</v>
      </c>
      <c r="K159" s="45">
        <v>153.82</v>
      </c>
      <c r="L159" s="45">
        <v>867.12699999999995</v>
      </c>
      <c r="M159" s="45">
        <v>408.76900000000001</v>
      </c>
      <c r="N159" s="45">
        <v>328.68799999999999</v>
      </c>
      <c r="O159" s="45">
        <v>365.85199999999998</v>
      </c>
      <c r="P159" s="45">
        <v>0.30099999999999999</v>
      </c>
      <c r="Q159" s="46">
        <v>6007.277000000001</v>
      </c>
      <c r="S159" s="49">
        <f t="shared" si="27"/>
        <v>44531</v>
      </c>
      <c r="T159" s="22">
        <f t="shared" si="28"/>
        <v>5.4481159470745055E-3</v>
      </c>
      <c r="U159" s="26">
        <f t="shared" si="29"/>
        <v>32551.000000001295</v>
      </c>
      <c r="W159" s="22">
        <f t="shared" si="30"/>
        <v>4.7819989414914499E-3</v>
      </c>
      <c r="X159" s="26">
        <f t="shared" si="31"/>
        <v>5366.9999999999618</v>
      </c>
      <c r="Y159" s="53">
        <f t="shared" si="24"/>
        <v>89.079285786506915</v>
      </c>
      <c r="AA159" s="22">
        <f t="shared" si="32"/>
        <v>1.2938789865081901E-2</v>
      </c>
      <c r="AB159" s="26">
        <f t="shared" si="33"/>
        <v>5076.9999999999982</v>
      </c>
      <c r="AC159" s="53">
        <f t="shared" si="25"/>
        <v>84.379524543458984</v>
      </c>
      <c r="AE159" s="22">
        <f t="shared" si="34"/>
        <v>3.8785063049235902E-3</v>
      </c>
      <c r="AF159" s="26">
        <f t="shared" si="35"/>
        <v>4331.000000000131</v>
      </c>
      <c r="AG159" s="53">
        <f t="shared" si="26"/>
        <v>89.056727886324964</v>
      </c>
    </row>
    <row r="160" spans="1:33" x14ac:dyDescent="0.3">
      <c r="A160" s="40">
        <v>44562</v>
      </c>
      <c r="B160" s="45">
        <v>320.56200000000001</v>
      </c>
      <c r="C160" s="45">
        <v>13.73</v>
      </c>
      <c r="D160" s="45">
        <v>83.326999999999998</v>
      </c>
      <c r="E160" s="45">
        <v>1132.481</v>
      </c>
      <c r="F160" s="45">
        <v>74.474000000000004</v>
      </c>
      <c r="G160" s="45">
        <v>402.92399999999998</v>
      </c>
      <c r="H160" s="45">
        <v>1127.9949999999999</v>
      </c>
      <c r="I160" s="45">
        <v>233.23099999999999</v>
      </c>
      <c r="J160" s="45">
        <v>516.85900000000004</v>
      </c>
      <c r="K160" s="45">
        <v>153.61699999999999</v>
      </c>
      <c r="L160" s="45">
        <v>877.24699999999996</v>
      </c>
      <c r="M160" s="45">
        <v>409.09199999999998</v>
      </c>
      <c r="N160" s="45">
        <v>330.10500000000002</v>
      </c>
      <c r="O160" s="45">
        <v>365.96899999999999</v>
      </c>
      <c r="P160" s="45">
        <v>0.30299999999999999</v>
      </c>
      <c r="Q160" s="46">
        <v>6041.9159999999983</v>
      </c>
      <c r="S160" s="49">
        <f t="shared" si="27"/>
        <v>44562</v>
      </c>
      <c r="T160" s="22">
        <f t="shared" si="28"/>
        <v>5.7661732595313264E-3</v>
      </c>
      <c r="U160" s="26">
        <f t="shared" si="29"/>
        <v>34638.999999997395</v>
      </c>
      <c r="W160" s="22">
        <f t="shared" si="30"/>
        <v>4.2387122118363596E-3</v>
      </c>
      <c r="X160" s="26">
        <f t="shared" si="31"/>
        <v>4779.9999999999727</v>
      </c>
      <c r="Y160" s="53">
        <f t="shared" si="24"/>
        <v>89.456867242991834</v>
      </c>
      <c r="AA160" s="22">
        <f t="shared" si="32"/>
        <v>1.3739643690104275E-2</v>
      </c>
      <c r="AB160" s="26">
        <f t="shared" si="33"/>
        <v>5460.9999999999563</v>
      </c>
      <c r="AC160" s="53">
        <f t="shared" si="25"/>
        <v>85.538869145426517</v>
      </c>
      <c r="AE160" s="22">
        <f t="shared" si="34"/>
        <v>6.2417595749499899E-3</v>
      </c>
      <c r="AF160" s="26">
        <f t="shared" si="35"/>
        <v>6996.9999999998436</v>
      </c>
      <c r="AG160" s="53">
        <f t="shared" si="26"/>
        <v>89.612598570323144</v>
      </c>
    </row>
    <row r="161" spans="1:33" x14ac:dyDescent="0.3">
      <c r="A161" s="40">
        <v>44593</v>
      </c>
      <c r="B161" s="45">
        <v>318.892</v>
      </c>
      <c r="C161" s="45">
        <v>13.673</v>
      </c>
      <c r="D161" s="45">
        <v>83.617000000000004</v>
      </c>
      <c r="E161" s="45">
        <v>1134.1379999999999</v>
      </c>
      <c r="F161" s="45">
        <v>74.591999999999999</v>
      </c>
      <c r="G161" s="45">
        <v>408.41199999999998</v>
      </c>
      <c r="H161" s="45">
        <v>1132.8900000000001</v>
      </c>
      <c r="I161" s="45">
        <v>237.20099999999999</v>
      </c>
      <c r="J161" s="45">
        <v>518.44100000000003</v>
      </c>
      <c r="K161" s="45">
        <v>153.31399999999999</v>
      </c>
      <c r="L161" s="45">
        <v>877.7</v>
      </c>
      <c r="M161" s="45">
        <v>410.23200000000003</v>
      </c>
      <c r="N161" s="45">
        <v>329.39699999999999</v>
      </c>
      <c r="O161" s="45">
        <v>367.51</v>
      </c>
      <c r="P161" s="45">
        <v>0.31900000000000001</v>
      </c>
      <c r="Q161" s="46">
        <v>6060.3280000000004</v>
      </c>
      <c r="S161" s="49">
        <f t="shared" si="27"/>
        <v>44593</v>
      </c>
      <c r="T161" s="22">
        <f t="shared" si="28"/>
        <v>3.0473776861514867E-3</v>
      </c>
      <c r="U161" s="26">
        <f t="shared" si="29"/>
        <v>18412.000000002081</v>
      </c>
      <c r="W161" s="22">
        <f t="shared" si="30"/>
        <v>1.4631592053200304E-3</v>
      </c>
      <c r="X161" s="26">
        <f t="shared" si="31"/>
        <v>1656.9999999999254</v>
      </c>
      <c r="Y161" s="53">
        <f t="shared" si="24"/>
        <v>89.587756881777509</v>
      </c>
      <c r="AA161" s="22">
        <f t="shared" si="32"/>
        <v>1.3620434622906519E-2</v>
      </c>
      <c r="AB161" s="26">
        <f t="shared" si="33"/>
        <v>5488</v>
      </c>
      <c r="AC161" s="53">
        <f t="shared" si="25"/>
        <v>86.703945720339163</v>
      </c>
      <c r="AE161" s="22">
        <f t="shared" si="34"/>
        <v>4.3395582427228074E-3</v>
      </c>
      <c r="AF161" s="26">
        <f t="shared" si="35"/>
        <v>4895.0000000002092</v>
      </c>
      <c r="AG161" s="53">
        <f t="shared" si="26"/>
        <v>90.001477661100822</v>
      </c>
    </row>
    <row r="162" spans="1:33" x14ac:dyDescent="0.3">
      <c r="A162" s="40">
        <v>44621</v>
      </c>
      <c r="B162" s="45">
        <v>318.65800000000002</v>
      </c>
      <c r="C162" s="45">
        <v>14.051</v>
      </c>
      <c r="D162" s="45">
        <v>84.028000000000006</v>
      </c>
      <c r="E162" s="45">
        <v>1139.885</v>
      </c>
      <c r="F162" s="45">
        <v>74.581999999999994</v>
      </c>
      <c r="G162" s="45">
        <v>413.30700000000002</v>
      </c>
      <c r="H162" s="45">
        <v>1138.19</v>
      </c>
      <c r="I162" s="45">
        <v>240.55799999999999</v>
      </c>
      <c r="J162" s="45">
        <v>519.00199999999995</v>
      </c>
      <c r="K162" s="45">
        <v>153.28800000000001</v>
      </c>
      <c r="L162" s="45">
        <v>878.82</v>
      </c>
      <c r="M162" s="45">
        <v>412.71300000000002</v>
      </c>
      <c r="N162" s="45">
        <v>328.83800000000002</v>
      </c>
      <c r="O162" s="45">
        <v>369.255</v>
      </c>
      <c r="P162" s="45">
        <v>0.30099999999999999</v>
      </c>
      <c r="Q162" s="46">
        <v>6085.4759999999997</v>
      </c>
      <c r="S162" s="49">
        <f t="shared" si="27"/>
        <v>44621</v>
      </c>
      <c r="T162" s="22">
        <f t="shared" si="28"/>
        <v>4.1496103841243137E-3</v>
      </c>
      <c r="U162" s="26">
        <f t="shared" si="29"/>
        <v>25147.999999999229</v>
      </c>
      <c r="W162" s="22">
        <f t="shared" si="30"/>
        <v>5.0672845808887867E-3</v>
      </c>
      <c r="X162" s="26">
        <f t="shared" si="31"/>
        <v>5747.0000000000709</v>
      </c>
      <c r="Y162" s="53">
        <f t="shared" si="24"/>
        <v>90.041723540860957</v>
      </c>
      <c r="AA162" s="22">
        <f t="shared" si="32"/>
        <v>1.1985446069165517E-2</v>
      </c>
      <c r="AB162" s="26">
        <f t="shared" si="33"/>
        <v>4895.0000000000382</v>
      </c>
      <c r="AC162" s="53">
        <f t="shared" si="25"/>
        <v>87.743131185754137</v>
      </c>
      <c r="AE162" s="22">
        <f t="shared" si="34"/>
        <v>4.6783006293638074E-3</v>
      </c>
      <c r="AF162" s="26">
        <f t="shared" si="35"/>
        <v>5299.9999999999545</v>
      </c>
      <c r="AG162" s="53">
        <f t="shared" si="26"/>
        <v>90.422531630686407</v>
      </c>
    </row>
    <row r="163" spans="1:33" x14ac:dyDescent="0.3">
      <c r="A163" s="40">
        <v>44652</v>
      </c>
      <c r="B163" s="45">
        <v>317.791</v>
      </c>
      <c r="C163" s="45">
        <v>14.22</v>
      </c>
      <c r="D163" s="45">
        <v>84.655000000000001</v>
      </c>
      <c r="E163" s="45">
        <v>1145.925</v>
      </c>
      <c r="F163" s="45">
        <v>74.554000000000002</v>
      </c>
      <c r="G163" s="45">
        <v>420.39600000000002</v>
      </c>
      <c r="H163" s="45">
        <v>1145.068</v>
      </c>
      <c r="I163" s="45">
        <v>245.25</v>
      </c>
      <c r="J163" s="45">
        <v>519.97900000000004</v>
      </c>
      <c r="K163" s="45">
        <v>152.97900000000001</v>
      </c>
      <c r="L163" s="45">
        <v>881.66099999999994</v>
      </c>
      <c r="M163" s="45">
        <v>414.09399999999999</v>
      </c>
      <c r="N163" s="45">
        <v>328.339</v>
      </c>
      <c r="O163" s="45">
        <v>370.54500000000002</v>
      </c>
      <c r="P163" s="45">
        <v>0.28999999999999998</v>
      </c>
      <c r="Q163" s="46">
        <v>6115.746000000001</v>
      </c>
      <c r="S163" s="49">
        <f t="shared" si="27"/>
        <v>44652</v>
      </c>
      <c r="T163" s="22">
        <f t="shared" si="28"/>
        <v>4.9741384240118425E-3</v>
      </c>
      <c r="U163" s="26">
        <f t="shared" si="29"/>
        <v>30270.000000001346</v>
      </c>
      <c r="W163" s="22">
        <f t="shared" si="30"/>
        <v>5.2987801401018775E-3</v>
      </c>
      <c r="X163" s="26">
        <f t="shared" si="31"/>
        <v>6039.9999999999636</v>
      </c>
      <c r="Y163" s="53">
        <f t="shared" si="24"/>
        <v>90.518834837339796</v>
      </c>
      <c r="AA163" s="22">
        <f t="shared" si="32"/>
        <v>1.7151899193577735E-2</v>
      </c>
      <c r="AB163" s="26">
        <f t="shared" si="33"/>
        <v>7088.9999999999982</v>
      </c>
      <c r="AC163" s="53">
        <f t="shared" si="25"/>
        <v>89.248092526781065</v>
      </c>
      <c r="AE163" s="22">
        <f t="shared" si="34"/>
        <v>6.0429278064293435E-3</v>
      </c>
      <c r="AF163" s="26">
        <f t="shared" si="35"/>
        <v>6877.9999999999291</v>
      </c>
      <c r="AG163" s="53">
        <f t="shared" si="26"/>
        <v>90.968948461405233</v>
      </c>
    </row>
    <row r="164" spans="1:33" x14ac:dyDescent="0.3">
      <c r="A164" s="40">
        <v>44682</v>
      </c>
      <c r="B164" s="45">
        <v>316.06799999999998</v>
      </c>
      <c r="C164" s="45">
        <v>13.916</v>
      </c>
      <c r="D164" s="45">
        <v>85.08</v>
      </c>
      <c r="E164" s="45">
        <v>1151.557</v>
      </c>
      <c r="F164" s="45">
        <v>74.632999999999996</v>
      </c>
      <c r="G164" s="45">
        <v>425.39</v>
      </c>
      <c r="H164" s="45">
        <v>1151.1489999999999</v>
      </c>
      <c r="I164" s="45">
        <v>250.423</v>
      </c>
      <c r="J164" s="45">
        <v>520.87900000000002</v>
      </c>
      <c r="K164" s="45">
        <v>153.04499999999999</v>
      </c>
      <c r="L164" s="45">
        <v>883.21</v>
      </c>
      <c r="M164" s="45">
        <v>415.22</v>
      </c>
      <c r="N164" s="45">
        <v>328.512</v>
      </c>
      <c r="O164" s="45">
        <v>371.51499999999999</v>
      </c>
      <c r="P164" s="45">
        <v>0.26600000000000001</v>
      </c>
      <c r="Q164" s="46">
        <v>6140.8630000000003</v>
      </c>
      <c r="S164" s="49">
        <f t="shared" si="27"/>
        <v>44682</v>
      </c>
      <c r="T164" s="22">
        <f t="shared" si="28"/>
        <v>4.106939693047984E-3</v>
      </c>
      <c r="U164" s="26">
        <f t="shared" si="29"/>
        <v>25116.99999999928</v>
      </c>
      <c r="W164" s="22">
        <f t="shared" si="30"/>
        <v>4.9148068154547531E-3</v>
      </c>
      <c r="X164" s="26">
        <f t="shared" si="31"/>
        <v>5632.0000000000618</v>
      </c>
      <c r="Y164" s="53">
        <f t="shared" si="24"/>
        <v>90.963717423725384</v>
      </c>
      <c r="AA164" s="22">
        <f t="shared" si="32"/>
        <v>1.1879275730501737E-2</v>
      </c>
      <c r="AB164" s="26">
        <f t="shared" si="33"/>
        <v>4993.9999999999709</v>
      </c>
      <c r="AC164" s="53">
        <f t="shared" si="25"/>
        <v>90.308295226328013</v>
      </c>
      <c r="AE164" s="22">
        <f t="shared" si="34"/>
        <v>5.3106016411250678E-3</v>
      </c>
      <c r="AF164" s="26">
        <f t="shared" si="35"/>
        <v>6080.9999999999036</v>
      </c>
      <c r="AG164" s="53">
        <f t="shared" si="26"/>
        <v>91.452048308395803</v>
      </c>
    </row>
    <row r="165" spans="1:33" x14ac:dyDescent="0.3">
      <c r="A165" s="40">
        <v>44713</v>
      </c>
      <c r="B165" s="45">
        <v>315.44600000000003</v>
      </c>
      <c r="C165" s="45">
        <v>14.051</v>
      </c>
      <c r="D165" s="45">
        <v>85.724000000000004</v>
      </c>
      <c r="E165" s="45">
        <v>1157.1969999999999</v>
      </c>
      <c r="F165" s="45">
        <v>74.698999999999998</v>
      </c>
      <c r="G165" s="45">
        <v>430.29399999999998</v>
      </c>
      <c r="H165" s="45">
        <v>1157.223</v>
      </c>
      <c r="I165" s="45">
        <v>255.24100000000001</v>
      </c>
      <c r="J165" s="45">
        <v>522.23</v>
      </c>
      <c r="K165" s="45">
        <v>153.261</v>
      </c>
      <c r="L165" s="45">
        <v>886.18200000000002</v>
      </c>
      <c r="M165" s="45">
        <v>416.41699999999997</v>
      </c>
      <c r="N165" s="45">
        <v>328.64800000000002</v>
      </c>
      <c r="O165" s="45">
        <v>371.56200000000001</v>
      </c>
      <c r="P165" s="45">
        <v>0.26600000000000001</v>
      </c>
      <c r="Q165" s="46">
        <v>6168.4409999999998</v>
      </c>
      <c r="S165" s="49">
        <f t="shared" si="27"/>
        <v>44713</v>
      </c>
      <c r="T165" s="22">
        <f t="shared" si="28"/>
        <v>4.4908997318453547E-3</v>
      </c>
      <c r="U165" s="26">
        <f t="shared" si="29"/>
        <v>27577.99999999952</v>
      </c>
      <c r="W165" s="22">
        <f t="shared" si="30"/>
        <v>4.8977167435044766E-3</v>
      </c>
      <c r="X165" s="26">
        <f t="shared" si="31"/>
        <v>5639.9999999998727</v>
      </c>
      <c r="Y165" s="53">
        <f t="shared" si="24"/>
        <v>91.409231945602983</v>
      </c>
      <c r="AA165" s="22">
        <f t="shared" si="32"/>
        <v>1.1528244669597232E-2</v>
      </c>
      <c r="AB165" s="26">
        <f t="shared" si="33"/>
        <v>4903.9999999999964</v>
      </c>
      <c r="AC165" s="53">
        <f t="shared" si="25"/>
        <v>91.349391349391354</v>
      </c>
      <c r="AE165" s="22">
        <f t="shared" si="34"/>
        <v>5.2764672514158395E-3</v>
      </c>
      <c r="AF165" s="26">
        <f t="shared" si="35"/>
        <v>6074.0000000000691</v>
      </c>
      <c r="AG165" s="53">
        <f t="shared" si="26"/>
        <v>91.934592046369943</v>
      </c>
    </row>
    <row r="166" spans="1:33" x14ac:dyDescent="0.3">
      <c r="A166" s="40">
        <v>44743</v>
      </c>
      <c r="B166" s="45">
        <v>315.53100000000001</v>
      </c>
      <c r="C166" s="45">
        <v>13.744999999999999</v>
      </c>
      <c r="D166" s="45">
        <v>86.507000000000005</v>
      </c>
      <c r="E166" s="45">
        <v>1162.6790000000001</v>
      </c>
      <c r="F166" s="45">
        <v>74.881</v>
      </c>
      <c r="G166" s="45">
        <v>434.71100000000001</v>
      </c>
      <c r="H166" s="45">
        <v>1163.829</v>
      </c>
      <c r="I166" s="45">
        <v>261.834</v>
      </c>
      <c r="J166" s="45">
        <v>523.71100000000001</v>
      </c>
      <c r="K166" s="45">
        <v>153.447</v>
      </c>
      <c r="L166" s="45">
        <v>890.03099999999995</v>
      </c>
      <c r="M166" s="45">
        <v>416.12</v>
      </c>
      <c r="N166" s="45">
        <v>328.99700000000001</v>
      </c>
      <c r="O166" s="45">
        <v>373.04500000000002</v>
      </c>
      <c r="P166" s="45">
        <v>0.27200000000000002</v>
      </c>
      <c r="Q166" s="46">
        <v>6199.34</v>
      </c>
      <c r="S166" s="49">
        <f t="shared" si="27"/>
        <v>44743</v>
      </c>
      <c r="T166" s="22">
        <f t="shared" si="28"/>
        <v>5.0092073507714829E-3</v>
      </c>
      <c r="U166" s="26">
        <f t="shared" si="29"/>
        <v>30899.000000000342</v>
      </c>
      <c r="W166" s="22">
        <f t="shared" si="30"/>
        <v>4.7373092049152188E-3</v>
      </c>
      <c r="X166" s="26">
        <f t="shared" si="31"/>
        <v>5482.0000000001983</v>
      </c>
      <c r="Y166" s="53">
        <f t="shared" si="24"/>
        <v>91.842265741513117</v>
      </c>
      <c r="AA166" s="22">
        <f t="shared" si="32"/>
        <v>1.0265074576917277E-2</v>
      </c>
      <c r="AB166" s="26">
        <f t="shared" si="33"/>
        <v>4417.00000000003</v>
      </c>
      <c r="AC166" s="53">
        <f t="shared" si="25"/>
        <v>92.287099664148855</v>
      </c>
      <c r="AE166" s="22">
        <f t="shared" si="34"/>
        <v>5.7084935228559619E-3</v>
      </c>
      <c r="AF166" s="26">
        <f t="shared" si="35"/>
        <v>6605.9999999999945</v>
      </c>
      <c r="AG166" s="53">
        <f t="shared" si="26"/>
        <v>92.459400069593059</v>
      </c>
    </row>
    <row r="167" spans="1:33" x14ac:dyDescent="0.3">
      <c r="A167" s="40">
        <v>44774</v>
      </c>
      <c r="B167" s="45">
        <v>314.74200000000002</v>
      </c>
      <c r="C167" s="45">
        <v>13.762</v>
      </c>
      <c r="D167" s="45">
        <v>87.143000000000001</v>
      </c>
      <c r="E167" s="45">
        <v>1163.204</v>
      </c>
      <c r="F167" s="45">
        <v>75.022999999999996</v>
      </c>
      <c r="G167" s="45">
        <v>435.06200000000001</v>
      </c>
      <c r="H167" s="45">
        <v>1166.4169999999999</v>
      </c>
      <c r="I167" s="45">
        <v>263.74200000000002</v>
      </c>
      <c r="J167" s="45">
        <v>524.48099999999999</v>
      </c>
      <c r="K167" s="45">
        <v>153.50700000000001</v>
      </c>
      <c r="L167" s="45">
        <v>888.95</v>
      </c>
      <c r="M167" s="45">
        <v>416.88799999999998</v>
      </c>
      <c r="N167" s="45">
        <v>329.13</v>
      </c>
      <c r="O167" s="45">
        <v>373.827</v>
      </c>
      <c r="P167" s="45">
        <v>0.24299999999999999</v>
      </c>
      <c r="Q167" s="46">
        <v>6206.1210000000001</v>
      </c>
      <c r="S167" s="49">
        <f t="shared" si="27"/>
        <v>44774</v>
      </c>
      <c r="T167" s="22">
        <f t="shared" si="28"/>
        <v>1.0938261169737284E-3</v>
      </c>
      <c r="U167" s="26">
        <f t="shared" si="29"/>
        <v>6780.9999999999491</v>
      </c>
      <c r="W167" s="22">
        <f t="shared" si="30"/>
        <v>4.5154337525654675E-4</v>
      </c>
      <c r="X167" s="26">
        <f t="shared" si="31"/>
        <v>524.99999999986358</v>
      </c>
      <c r="Y167" s="53">
        <f t="shared" si="24"/>
        <v>91.883736508177236</v>
      </c>
      <c r="AA167" s="22">
        <f t="shared" si="32"/>
        <v>8.074329842124861E-4</v>
      </c>
      <c r="AB167" s="26">
        <f t="shared" si="33"/>
        <v>350.99999999999909</v>
      </c>
      <c r="AC167" s="53">
        <f t="shared" si="25"/>
        <v>92.361615312434992</v>
      </c>
      <c r="AE167" s="22">
        <f t="shared" si="34"/>
        <v>2.2236943743454418E-3</v>
      </c>
      <c r="AF167" s="26">
        <f t="shared" si="35"/>
        <v>2587.9999999999654</v>
      </c>
      <c r="AG167" s="53">
        <f t="shared" si="26"/>
        <v>92.66500151738316</v>
      </c>
    </row>
    <row r="168" spans="1:33" x14ac:dyDescent="0.3">
      <c r="A168" s="40">
        <v>44805</v>
      </c>
      <c r="B168" s="45">
        <v>315.03899999999999</v>
      </c>
      <c r="C168" s="45">
        <v>13.744</v>
      </c>
      <c r="D168" s="45">
        <v>87.744</v>
      </c>
      <c r="E168" s="45">
        <v>1166.039</v>
      </c>
      <c r="F168" s="45">
        <v>75.275000000000006</v>
      </c>
      <c r="G168" s="45">
        <v>441.31900000000002</v>
      </c>
      <c r="H168" s="45">
        <v>1171.3900000000001</v>
      </c>
      <c r="I168" s="45">
        <v>266.44499999999999</v>
      </c>
      <c r="J168" s="45">
        <v>525.55999999999995</v>
      </c>
      <c r="K168" s="45">
        <v>153.25800000000001</v>
      </c>
      <c r="L168" s="45">
        <v>892.22500000000002</v>
      </c>
      <c r="M168" s="45">
        <v>417.35599999999999</v>
      </c>
      <c r="N168" s="45">
        <v>329.58699999999999</v>
      </c>
      <c r="O168" s="45">
        <v>374.517</v>
      </c>
      <c r="P168" s="45">
        <v>0.24399999999999999</v>
      </c>
      <c r="Q168" s="46">
        <v>6229.7419999999993</v>
      </c>
      <c r="S168" s="49">
        <f t="shared" si="27"/>
        <v>44805</v>
      </c>
      <c r="T168" s="22">
        <f t="shared" si="28"/>
        <v>3.8060811253919358E-3</v>
      </c>
      <c r="U168" s="26">
        <f t="shared" si="29"/>
        <v>23620.999999999185</v>
      </c>
      <c r="W168" s="22">
        <f t="shared" si="30"/>
        <v>2.4372337096503216E-3</v>
      </c>
      <c r="X168" s="26">
        <f t="shared" si="31"/>
        <v>2835.0000000000364</v>
      </c>
      <c r="Y168" s="53">
        <f t="shared" si="24"/>
        <v>92.107678648163599</v>
      </c>
      <c r="AA168" s="22">
        <f t="shared" si="32"/>
        <v>1.438185821790916E-2</v>
      </c>
      <c r="AB168" s="26">
        <f t="shared" si="33"/>
        <v>6257.0000000000055</v>
      </c>
      <c r="AC168" s="53">
        <f t="shared" si="25"/>
        <v>93.68994696863551</v>
      </c>
      <c r="AE168" s="22">
        <f t="shared" si="34"/>
        <v>4.2634838141077935E-3</v>
      </c>
      <c r="AF168" s="26">
        <f t="shared" si="35"/>
        <v>4973.0000000001837</v>
      </c>
      <c r="AG168" s="53">
        <f t="shared" si="26"/>
        <v>93.060077251486788</v>
      </c>
    </row>
    <row r="169" spans="1:33" x14ac:dyDescent="0.3">
      <c r="A169" s="40">
        <v>44835</v>
      </c>
      <c r="B169" s="45">
        <v>314.16000000000003</v>
      </c>
      <c r="C169" s="45">
        <v>13.481999999999999</v>
      </c>
      <c r="D169" s="45">
        <v>88.275999999999996</v>
      </c>
      <c r="E169" s="45">
        <v>1169.5329999999999</v>
      </c>
      <c r="F169" s="45">
        <v>75.337000000000003</v>
      </c>
      <c r="G169" s="45">
        <v>446.38900000000001</v>
      </c>
      <c r="H169" s="45">
        <v>1176.595</v>
      </c>
      <c r="I169" s="45">
        <v>268.73500000000001</v>
      </c>
      <c r="J169" s="45">
        <v>526.16999999999996</v>
      </c>
      <c r="K169" s="45">
        <v>152.739</v>
      </c>
      <c r="L169" s="45">
        <v>894.23900000000003</v>
      </c>
      <c r="M169" s="45">
        <v>417.89600000000002</v>
      </c>
      <c r="N169" s="45">
        <v>330.03100000000001</v>
      </c>
      <c r="O169" s="45">
        <v>374.45100000000002</v>
      </c>
      <c r="P169" s="45">
        <v>0.24399999999999999</v>
      </c>
      <c r="Q169" s="46">
        <v>6248.277</v>
      </c>
      <c r="S169" s="49">
        <f t="shared" si="27"/>
        <v>44835</v>
      </c>
      <c r="T169" s="22">
        <f t="shared" si="28"/>
        <v>2.9752435975680669E-3</v>
      </c>
      <c r="U169" s="26">
        <f t="shared" si="29"/>
        <v>18535.000000000764</v>
      </c>
      <c r="W169" s="22">
        <f t="shared" si="30"/>
        <v>2.9964692433099849E-3</v>
      </c>
      <c r="X169" s="26">
        <f t="shared" si="31"/>
        <v>3493.9999999999145</v>
      </c>
      <c r="Y169" s="53">
        <f t="shared" si="24"/>
        <v>92.383676474305503</v>
      </c>
      <c r="AA169" s="22">
        <f t="shared" si="32"/>
        <v>1.1488288516923184E-2</v>
      </c>
      <c r="AB169" s="26">
        <f t="shared" si="33"/>
        <v>5069.9999999999927</v>
      </c>
      <c r="AC169" s="53">
        <f t="shared" si="25"/>
        <v>94.766284110546422</v>
      </c>
      <c r="AE169" s="22">
        <f t="shared" si="34"/>
        <v>4.4434389912837435E-3</v>
      </c>
      <c r="AF169" s="26">
        <f t="shared" si="35"/>
        <v>5204.9999999999272</v>
      </c>
      <c r="AG169" s="53">
        <f t="shared" si="26"/>
        <v>93.473584027277937</v>
      </c>
    </row>
    <row r="170" spans="1:33" x14ac:dyDescent="0.3">
      <c r="A170" s="40">
        <v>44866</v>
      </c>
      <c r="B170" s="45">
        <v>311.83199999999999</v>
      </c>
      <c r="C170" s="45">
        <v>13.263999999999999</v>
      </c>
      <c r="D170" s="45">
        <v>89.046000000000006</v>
      </c>
      <c r="E170" s="45">
        <v>1172.538</v>
      </c>
      <c r="F170" s="45">
        <v>75.587999999999994</v>
      </c>
      <c r="G170" s="45">
        <v>451.59199999999998</v>
      </c>
      <c r="H170" s="45">
        <v>1182.0909999999999</v>
      </c>
      <c r="I170" s="45">
        <v>270.55799999999999</v>
      </c>
      <c r="J170" s="45">
        <v>526.63400000000001</v>
      </c>
      <c r="K170" s="45">
        <v>153.071</v>
      </c>
      <c r="L170" s="45">
        <v>894.01900000000001</v>
      </c>
      <c r="M170" s="45">
        <v>418.09899999999999</v>
      </c>
      <c r="N170" s="45">
        <v>330.44600000000003</v>
      </c>
      <c r="O170" s="45">
        <v>375.70600000000002</v>
      </c>
      <c r="P170" s="45">
        <v>0.223</v>
      </c>
      <c r="Q170" s="46">
        <v>6264.7070000000003</v>
      </c>
      <c r="S170" s="49">
        <f t="shared" si="27"/>
        <v>44866</v>
      </c>
      <c r="T170" s="22">
        <f t="shared" si="28"/>
        <v>2.629524907426628E-3</v>
      </c>
      <c r="U170" s="26">
        <f t="shared" si="29"/>
        <v>16430.000000000291</v>
      </c>
      <c r="W170" s="22">
        <f t="shared" si="30"/>
        <v>2.5694016329596003E-3</v>
      </c>
      <c r="X170" s="26">
        <f t="shared" si="31"/>
        <v>3005.0000000001091</v>
      </c>
      <c r="Y170" s="53">
        <f t="shared" si="24"/>
        <v>92.621047243497387</v>
      </c>
      <c r="AA170" s="22">
        <f t="shared" si="32"/>
        <v>1.1655753165960681E-2</v>
      </c>
      <c r="AB170" s="26">
        <f t="shared" si="33"/>
        <v>5202.9999999999745</v>
      </c>
      <c r="AC170" s="53">
        <f t="shared" si="25"/>
        <v>95.870856526594238</v>
      </c>
      <c r="AE170" s="22">
        <f t="shared" si="34"/>
        <v>4.6711060305371088E-3</v>
      </c>
      <c r="AF170" s="26">
        <f t="shared" si="35"/>
        <v>5495.9999999998672</v>
      </c>
      <c r="AG170" s="53">
        <f t="shared" si="26"/>
        <v>93.910209049323683</v>
      </c>
    </row>
    <row r="171" spans="1:33" x14ac:dyDescent="0.3">
      <c r="A171" s="40">
        <v>44896</v>
      </c>
      <c r="B171" s="45">
        <v>314.97399999999999</v>
      </c>
      <c r="C171" s="45">
        <v>13.712999999999999</v>
      </c>
      <c r="D171" s="45">
        <v>89.638999999999996</v>
      </c>
      <c r="E171" s="45">
        <v>1175.316</v>
      </c>
      <c r="F171" s="45">
        <v>75.734999999999999</v>
      </c>
      <c r="G171" s="45">
        <v>454.178</v>
      </c>
      <c r="H171" s="45">
        <v>1187.7280000000001</v>
      </c>
      <c r="I171" s="45">
        <v>271.11799999999999</v>
      </c>
      <c r="J171" s="45">
        <v>526.91099999999994</v>
      </c>
      <c r="K171" s="45">
        <v>152.68199999999999</v>
      </c>
      <c r="L171" s="45">
        <v>892.42100000000005</v>
      </c>
      <c r="M171" s="45">
        <v>417.94499999999999</v>
      </c>
      <c r="N171" s="45">
        <v>331.02100000000002</v>
      </c>
      <c r="O171" s="45">
        <v>372.63900000000001</v>
      </c>
      <c r="P171" s="45">
        <v>0.223</v>
      </c>
      <c r="Q171" s="46">
        <v>6276.2429999999995</v>
      </c>
      <c r="S171" s="49">
        <f t="shared" si="27"/>
        <v>44896</v>
      </c>
      <c r="T171" s="22">
        <f t="shared" si="28"/>
        <v>1.8414269015294416E-3</v>
      </c>
      <c r="U171" s="26">
        <f t="shared" si="29"/>
        <v>11535.999999999149</v>
      </c>
      <c r="W171" s="22">
        <f t="shared" si="30"/>
        <v>2.369219590324656E-3</v>
      </c>
      <c r="X171" s="26">
        <f t="shared" si="31"/>
        <v>2778.00000000002</v>
      </c>
      <c r="Y171" s="53">
        <f t="shared" si="24"/>
        <v>92.840486843103051</v>
      </c>
      <c r="AA171" s="22">
        <f t="shared" si="32"/>
        <v>5.7264079080232566E-3</v>
      </c>
      <c r="AB171" s="26">
        <f t="shared" si="33"/>
        <v>2586.0000000000127</v>
      </c>
      <c r="AC171" s="53">
        <f t="shared" si="25"/>
        <v>96.419852157557088</v>
      </c>
      <c r="AE171" s="22">
        <f t="shared" si="34"/>
        <v>4.7686684020098458E-3</v>
      </c>
      <c r="AF171" s="26">
        <f t="shared" si="35"/>
        <v>5637.000000000171</v>
      </c>
      <c r="AG171" s="53">
        <f t="shared" si="26"/>
        <v>94.358035695843327</v>
      </c>
    </row>
    <row r="172" spans="1:33" x14ac:dyDescent="0.3">
      <c r="A172" s="40">
        <v>44927</v>
      </c>
      <c r="B172" s="45">
        <v>315.13</v>
      </c>
      <c r="C172" s="45">
        <v>13.569000000000001</v>
      </c>
      <c r="D172" s="45">
        <v>89.936000000000007</v>
      </c>
      <c r="E172" s="45">
        <v>1178.0920000000001</v>
      </c>
      <c r="F172" s="45">
        <v>75.959000000000003</v>
      </c>
      <c r="G172" s="45">
        <v>457.322</v>
      </c>
      <c r="H172" s="45">
        <v>1193.6189999999999</v>
      </c>
      <c r="I172" s="45">
        <v>275.45299999999997</v>
      </c>
      <c r="J172" s="45">
        <v>527.39499999999998</v>
      </c>
      <c r="K172" s="45">
        <v>152.32599999999999</v>
      </c>
      <c r="L172" s="45">
        <v>896.06200000000001</v>
      </c>
      <c r="M172" s="45">
        <v>417.49900000000002</v>
      </c>
      <c r="N172" s="45">
        <v>331.49</v>
      </c>
      <c r="O172" s="45">
        <v>374.67599999999999</v>
      </c>
      <c r="P172" s="45">
        <v>0.23400000000000001</v>
      </c>
      <c r="Q172" s="46">
        <v>6298.7620000000006</v>
      </c>
      <c r="S172" s="49">
        <f t="shared" si="27"/>
        <v>44927</v>
      </c>
      <c r="T172" s="22">
        <f t="shared" si="28"/>
        <v>3.5879745255245066E-3</v>
      </c>
      <c r="U172" s="26">
        <f t="shared" si="29"/>
        <v>22519.000000001142</v>
      </c>
      <c r="W172" s="22">
        <f t="shared" si="30"/>
        <v>2.3619179863119122E-3</v>
      </c>
      <c r="X172" s="26">
        <f t="shared" si="31"/>
        <v>2776.0000000000673</v>
      </c>
      <c r="Y172" s="53">
        <f t="shared" si="24"/>
        <v>93.059768458835734</v>
      </c>
      <c r="AA172" s="22">
        <f t="shared" si="32"/>
        <v>6.9223960649789085E-3</v>
      </c>
      <c r="AB172" s="26">
        <f t="shared" si="33"/>
        <v>3144.0000000000055</v>
      </c>
      <c r="AC172" s="53">
        <f t="shared" si="25"/>
        <v>97.087308562718405</v>
      </c>
      <c r="AE172" s="22">
        <f t="shared" si="34"/>
        <v>4.959889806420259E-3</v>
      </c>
      <c r="AF172" s="26">
        <f t="shared" si="35"/>
        <v>5890.999999999849</v>
      </c>
      <c r="AG172" s="53">
        <f t="shared" si="26"/>
        <v>94.826041155244965</v>
      </c>
    </row>
    <row r="173" spans="1:33" x14ac:dyDescent="0.3">
      <c r="A173" s="40">
        <v>44958</v>
      </c>
      <c r="B173" s="45">
        <v>316.20699999999999</v>
      </c>
      <c r="C173" s="45">
        <v>13.53</v>
      </c>
      <c r="D173" s="45">
        <v>90.150999999999996</v>
      </c>
      <c r="E173" s="45">
        <v>1180.2809999999999</v>
      </c>
      <c r="F173" s="45">
        <v>75.863</v>
      </c>
      <c r="G173" s="45">
        <v>459.19099999999997</v>
      </c>
      <c r="H173" s="45">
        <v>1197.71</v>
      </c>
      <c r="I173" s="45">
        <v>278.17599999999999</v>
      </c>
      <c r="J173" s="45">
        <v>526.98299999999995</v>
      </c>
      <c r="K173" s="45">
        <v>152.54</v>
      </c>
      <c r="L173" s="45">
        <v>896.85299999999995</v>
      </c>
      <c r="M173" s="45">
        <v>417.46699999999998</v>
      </c>
      <c r="N173" s="45">
        <v>331.74900000000002</v>
      </c>
      <c r="O173" s="45">
        <v>376.09399999999999</v>
      </c>
      <c r="P173" s="45">
        <v>0.23</v>
      </c>
      <c r="Q173" s="46">
        <v>6313.0249999999987</v>
      </c>
      <c r="S173" s="49">
        <f t="shared" si="27"/>
        <v>44958</v>
      </c>
      <c r="T173" s="22">
        <f t="shared" si="28"/>
        <v>2.2644132291389507E-3</v>
      </c>
      <c r="U173" s="26">
        <f t="shared" si="29"/>
        <v>14262.999999998101</v>
      </c>
      <c r="W173" s="22">
        <f t="shared" si="30"/>
        <v>1.8580891814898859E-3</v>
      </c>
      <c r="X173" s="26">
        <f t="shared" si="31"/>
        <v>2188.9999999998508</v>
      </c>
      <c r="Y173" s="53">
        <f t="shared" si="24"/>
        <v>93.232681807841061</v>
      </c>
      <c r="AA173" s="22">
        <f t="shared" si="32"/>
        <v>4.0868359711536684E-3</v>
      </c>
      <c r="AB173" s="26">
        <f t="shared" si="33"/>
        <v>1868.9999999999714</v>
      </c>
      <c r="AC173" s="53">
        <f t="shared" si="25"/>
        <v>97.484088467695031</v>
      </c>
      <c r="AE173" s="22">
        <f t="shared" si="34"/>
        <v>3.4273918226839228E-3</v>
      </c>
      <c r="AF173" s="26">
        <f t="shared" si="35"/>
        <v>4091.0000000001219</v>
      </c>
      <c r="AG173" s="53">
        <f t="shared" si="26"/>
        <v>95.151047153277943</v>
      </c>
    </row>
    <row r="174" spans="1:33" x14ac:dyDescent="0.3">
      <c r="A174" s="40">
        <v>44986</v>
      </c>
      <c r="B174" s="45">
        <v>314.06900000000002</v>
      </c>
      <c r="C174" s="45">
        <v>13.77</v>
      </c>
      <c r="D174" s="45">
        <v>90.745999999999995</v>
      </c>
      <c r="E174" s="45">
        <v>1184.086</v>
      </c>
      <c r="F174" s="45">
        <v>75.936999999999998</v>
      </c>
      <c r="G174" s="45">
        <v>465.85700000000003</v>
      </c>
      <c r="H174" s="45">
        <v>1202.2049999999999</v>
      </c>
      <c r="I174" s="45">
        <v>280.12400000000002</v>
      </c>
      <c r="J174" s="45">
        <v>527.98699999999997</v>
      </c>
      <c r="K174" s="45">
        <v>152.58500000000001</v>
      </c>
      <c r="L174" s="45">
        <v>900.35400000000004</v>
      </c>
      <c r="M174" s="45">
        <v>419.57400000000001</v>
      </c>
      <c r="N174" s="45">
        <v>332.34100000000001</v>
      </c>
      <c r="O174" s="45">
        <v>375.95600000000002</v>
      </c>
      <c r="P174" s="45">
        <v>0.19600000000000001</v>
      </c>
      <c r="Q174" s="46">
        <v>6335.7870000000003</v>
      </c>
      <c r="S174" s="49">
        <f t="shared" si="27"/>
        <v>44986</v>
      </c>
      <c r="T174" s="22">
        <f t="shared" si="28"/>
        <v>3.6055615176562306E-3</v>
      </c>
      <c r="U174" s="26">
        <f t="shared" si="29"/>
        <v>22762.000000001535</v>
      </c>
      <c r="W174" s="22">
        <f t="shared" si="30"/>
        <v>3.2238085676208339E-3</v>
      </c>
      <c r="X174" s="26">
        <f t="shared" si="31"/>
        <v>3805.0000000000637</v>
      </c>
      <c r="Y174" s="53">
        <f t="shared" si="24"/>
        <v>93.53324612623544</v>
      </c>
      <c r="AA174" s="22">
        <f t="shared" si="32"/>
        <v>1.4516835042498677E-2</v>
      </c>
      <c r="AB174" s="26">
        <f t="shared" si="33"/>
        <v>6666.0000000000537</v>
      </c>
      <c r="AC174" s="53">
        <f t="shared" si="25"/>
        <v>98.899248899248917</v>
      </c>
      <c r="AE174" s="22">
        <f t="shared" si="34"/>
        <v>3.7529952993629045E-3</v>
      </c>
      <c r="AF174" s="26">
        <f t="shared" si="35"/>
        <v>4494.9999999998909</v>
      </c>
      <c r="AG174" s="53">
        <f t="shared" si="26"/>
        <v>95.508148585973657</v>
      </c>
    </row>
    <row r="175" spans="1:33" x14ac:dyDescent="0.3">
      <c r="A175" s="40">
        <v>45017</v>
      </c>
      <c r="B175" s="45">
        <v>310.77999999999997</v>
      </c>
      <c r="C175" s="45">
        <v>13.675000000000001</v>
      </c>
      <c r="D175" s="45">
        <v>91.313000000000002</v>
      </c>
      <c r="E175" s="45">
        <v>1187.7950000000001</v>
      </c>
      <c r="F175" s="45">
        <v>75.876999999999995</v>
      </c>
      <c r="G175" s="45">
        <v>470.21</v>
      </c>
      <c r="H175" s="45">
        <v>1207.74</v>
      </c>
      <c r="I175" s="45">
        <v>282.81299999999999</v>
      </c>
      <c r="J175" s="45">
        <v>528.42100000000005</v>
      </c>
      <c r="K175" s="45">
        <v>152.857</v>
      </c>
      <c r="L175" s="45">
        <v>899.94</v>
      </c>
      <c r="M175" s="45">
        <v>420.33199999999999</v>
      </c>
      <c r="N175" s="45">
        <v>332.541</v>
      </c>
      <c r="O175" s="45">
        <v>376.83199999999999</v>
      </c>
      <c r="P175" s="45">
        <v>0.186</v>
      </c>
      <c r="Q175" s="46">
        <v>6351.3120000000008</v>
      </c>
      <c r="S175" s="49">
        <f t="shared" si="27"/>
        <v>45017</v>
      </c>
      <c r="T175" s="22">
        <f t="shared" si="28"/>
        <v>2.450366465918119E-3</v>
      </c>
      <c r="U175" s="26">
        <f t="shared" si="29"/>
        <v>15525.000000000546</v>
      </c>
      <c r="W175" s="22">
        <f t="shared" si="30"/>
        <v>3.1323738309549931E-3</v>
      </c>
      <c r="X175" s="26">
        <f t="shared" si="31"/>
        <v>3709.00000000006</v>
      </c>
      <c r="Y175" s="53">
        <f t="shared" si="24"/>
        <v>93.826227218725521</v>
      </c>
      <c r="AA175" s="22">
        <f t="shared" si="32"/>
        <v>9.3440691027502076E-3</v>
      </c>
      <c r="AB175" s="26">
        <f t="shared" si="33"/>
        <v>4352.9999999999518</v>
      </c>
      <c r="AC175" s="53">
        <f t="shared" si="25"/>
        <v>99.823370315173605</v>
      </c>
      <c r="AE175" s="22">
        <f t="shared" si="34"/>
        <v>4.6040400763598388E-3</v>
      </c>
      <c r="AF175" s="26">
        <f t="shared" si="35"/>
        <v>5535.0000000000819</v>
      </c>
      <c r="AG175" s="53">
        <f t="shared" si="26"/>
        <v>95.947871929682393</v>
      </c>
    </row>
    <row r="176" spans="1:33" x14ac:dyDescent="0.3">
      <c r="A176" s="40">
        <v>45047</v>
      </c>
      <c r="B176" s="45">
        <v>311.73</v>
      </c>
      <c r="C176" s="45">
        <v>13.721</v>
      </c>
      <c r="D176" s="45">
        <v>91.962999999999994</v>
      </c>
      <c r="E176" s="45">
        <v>1190.376</v>
      </c>
      <c r="F176" s="45">
        <v>75.89</v>
      </c>
      <c r="G176" s="45">
        <v>471.04199999999997</v>
      </c>
      <c r="H176" s="45">
        <v>1212.0070000000001</v>
      </c>
      <c r="I176" s="45">
        <v>285.101</v>
      </c>
      <c r="J176" s="45">
        <v>529.12800000000004</v>
      </c>
      <c r="K176" s="45">
        <v>152.761</v>
      </c>
      <c r="L176" s="45">
        <v>901.72299999999996</v>
      </c>
      <c r="M176" s="45">
        <v>421.85399999999998</v>
      </c>
      <c r="N176" s="45">
        <v>332.80500000000001</v>
      </c>
      <c r="O176" s="45">
        <v>378.19499999999999</v>
      </c>
      <c r="P176" s="45">
        <v>0.189</v>
      </c>
      <c r="Q176" s="46">
        <v>6368.4850000000015</v>
      </c>
      <c r="S176" s="49">
        <f t="shared" si="27"/>
        <v>45047</v>
      </c>
      <c r="T176" s="22">
        <f t="shared" si="28"/>
        <v>2.7038507949224133E-3</v>
      </c>
      <c r="U176" s="26">
        <f t="shared" si="29"/>
        <v>17173.000000000684</v>
      </c>
      <c r="W176" s="22">
        <f t="shared" si="30"/>
        <v>2.172933881688266E-3</v>
      </c>
      <c r="X176" s="26">
        <f t="shared" si="31"/>
        <v>2580.9999999999036</v>
      </c>
      <c r="Y176" s="53">
        <f t="shared" si="24"/>
        <v>94.030105406840065</v>
      </c>
      <c r="AA176" s="22">
        <f t="shared" si="32"/>
        <v>1.7694221730715221E-3</v>
      </c>
      <c r="AB176" s="26">
        <f t="shared" si="33"/>
        <v>831.99999999999363</v>
      </c>
      <c r="AC176" s="53">
        <f t="shared" si="25"/>
        <v>100</v>
      </c>
      <c r="AE176" s="22">
        <f t="shared" si="34"/>
        <v>3.5330451918460515E-3</v>
      </c>
      <c r="AF176" s="26">
        <f t="shared" si="35"/>
        <v>4267.0000000000528</v>
      </c>
      <c r="AG176" s="53">
        <f t="shared" si="26"/>
        <v>96.286860097271415</v>
      </c>
    </row>
    <row r="177" spans="1:33" x14ac:dyDescent="0.3">
      <c r="A177" s="40">
        <v>45078</v>
      </c>
      <c r="B177" s="45">
        <v>313.303</v>
      </c>
      <c r="C177" s="45">
        <v>14.4</v>
      </c>
      <c r="D177" s="45">
        <v>92.558000000000007</v>
      </c>
      <c r="E177" s="45">
        <v>1193.029</v>
      </c>
      <c r="F177" s="45">
        <v>75.908000000000001</v>
      </c>
      <c r="G177" s="45">
        <v>470.738</v>
      </c>
      <c r="H177" s="45">
        <v>1218.376</v>
      </c>
      <c r="I177" s="45">
        <v>287.72199999999998</v>
      </c>
      <c r="J177" s="45">
        <v>530.24699999999996</v>
      </c>
      <c r="K177" s="45">
        <v>152.63</v>
      </c>
      <c r="L177" s="45">
        <v>902.81</v>
      </c>
      <c r="M177" s="45">
        <v>422.48899999999998</v>
      </c>
      <c r="N177" s="45">
        <v>333.024</v>
      </c>
      <c r="O177" s="45">
        <v>378.64499999999998</v>
      </c>
      <c r="P177" s="45">
        <v>0.183</v>
      </c>
      <c r="Q177" s="46">
        <v>6386.061999999999</v>
      </c>
      <c r="S177" s="49">
        <f t="shared" si="27"/>
        <v>45078</v>
      </c>
      <c r="T177" s="22">
        <f t="shared" si="28"/>
        <v>2.7599970793676931E-3</v>
      </c>
      <c r="U177" s="26">
        <f t="shared" si="29"/>
        <v>17576.999999997497</v>
      </c>
      <c r="W177" s="22">
        <f t="shared" si="30"/>
        <v>2.2287075680289536E-3</v>
      </c>
      <c r="X177" s="26">
        <f t="shared" si="31"/>
        <v>2653.00000000002</v>
      </c>
      <c r="Y177" s="53">
        <f t="shared" si="24"/>
        <v>94.23967101438285</v>
      </c>
      <c r="AA177" s="22">
        <f t="shared" si="32"/>
        <v>-6.4537769455796923E-4</v>
      </c>
      <c r="AB177" s="26">
        <f t="shared" si="33"/>
        <v>-303.99999999997362</v>
      </c>
      <c r="AC177" s="53">
        <f t="shared" si="25"/>
        <v>99.935462230544204</v>
      </c>
      <c r="AE177" s="22">
        <f t="shared" si="34"/>
        <v>5.2549201448506278E-3</v>
      </c>
      <c r="AF177" s="26">
        <f t="shared" si="35"/>
        <v>6368.9999999999145</v>
      </c>
      <c r="AG177" s="53">
        <f t="shared" si="26"/>
        <v>96.792839858080967</v>
      </c>
    </row>
    <row r="178" spans="1:33" x14ac:dyDescent="0.3">
      <c r="A178" s="40">
        <v>45108</v>
      </c>
      <c r="B178" s="45">
        <v>315.08600000000001</v>
      </c>
      <c r="C178" s="45">
        <v>14.978</v>
      </c>
      <c r="D178" s="45">
        <v>93.231999999999999</v>
      </c>
      <c r="E178" s="45">
        <v>1196.922</v>
      </c>
      <c r="F178" s="45">
        <v>76.088999999999999</v>
      </c>
      <c r="G178" s="45">
        <v>468.52300000000002</v>
      </c>
      <c r="H178" s="45">
        <v>1224.4659999999999</v>
      </c>
      <c r="I178" s="45">
        <v>288.83300000000003</v>
      </c>
      <c r="J178" s="45">
        <v>530.62300000000005</v>
      </c>
      <c r="K178" s="45">
        <v>152.727</v>
      </c>
      <c r="L178" s="45">
        <v>906.55799999999999</v>
      </c>
      <c r="M178" s="45">
        <v>423.05900000000003</v>
      </c>
      <c r="N178" s="45">
        <v>333.35899999999998</v>
      </c>
      <c r="O178" s="45">
        <v>380.18200000000002</v>
      </c>
      <c r="P178" s="45">
        <v>0.17599999999999999</v>
      </c>
      <c r="Q178" s="46">
        <v>6404.813000000001</v>
      </c>
      <c r="S178" s="49">
        <f t="shared" si="27"/>
        <v>45108</v>
      </c>
      <c r="T178" s="22">
        <f t="shared" si="28"/>
        <v>2.9362383265307823E-3</v>
      </c>
      <c r="U178" s="26">
        <f t="shared" si="29"/>
        <v>18751.000000002023</v>
      </c>
      <c r="W178" s="22">
        <f t="shared" si="30"/>
        <v>3.2631226902279931E-3</v>
      </c>
      <c r="X178" s="26">
        <f t="shared" si="31"/>
        <v>3893.0000000000291</v>
      </c>
      <c r="Y178" s="53">
        <f t="shared" si="24"/>
        <v>94.547186623189504</v>
      </c>
      <c r="AA178" s="22">
        <f t="shared" si="32"/>
        <v>-4.7053775136062237E-3</v>
      </c>
      <c r="AB178" s="26">
        <f t="shared" si="33"/>
        <v>-2214.999999999975</v>
      </c>
      <c r="AC178" s="53">
        <f t="shared" si="25"/>
        <v>99.465228153752747</v>
      </c>
      <c r="AE178" s="22">
        <f t="shared" si="34"/>
        <v>4.998456962382658E-3</v>
      </c>
      <c r="AF178" s="26">
        <f t="shared" si="35"/>
        <v>6089.9999999999181</v>
      </c>
      <c r="AG178" s="53">
        <f t="shared" si="26"/>
        <v>97.27665470237838</v>
      </c>
    </row>
    <row r="179" spans="1:33" x14ac:dyDescent="0.3">
      <c r="A179" s="40">
        <v>45139</v>
      </c>
      <c r="B179" s="45">
        <v>315.19400000000002</v>
      </c>
      <c r="C179" s="45">
        <v>14.843</v>
      </c>
      <c r="D179" s="45">
        <v>93.727999999999994</v>
      </c>
      <c r="E179" s="45">
        <v>1198.0139999999999</v>
      </c>
      <c r="F179" s="45">
        <v>76.278999999999996</v>
      </c>
      <c r="G179" s="45">
        <v>465.01</v>
      </c>
      <c r="H179" s="45">
        <v>1228.6559999999999</v>
      </c>
      <c r="I179" s="45">
        <v>288.80700000000002</v>
      </c>
      <c r="J179" s="45">
        <v>530.93499999999995</v>
      </c>
      <c r="K179" s="45">
        <v>152.476</v>
      </c>
      <c r="L179" s="45">
        <v>906.26199999999994</v>
      </c>
      <c r="M179" s="45">
        <v>423.70400000000001</v>
      </c>
      <c r="N179" s="45">
        <v>333.94</v>
      </c>
      <c r="O179" s="45">
        <v>380.125</v>
      </c>
      <c r="P179" s="45">
        <v>0.16300000000000001</v>
      </c>
      <c r="Q179" s="46">
        <v>6408.1359999999986</v>
      </c>
      <c r="S179" s="49">
        <f t="shared" si="27"/>
        <v>45139</v>
      </c>
      <c r="T179" s="22">
        <f t="shared" si="28"/>
        <v>5.188285746979826E-4</v>
      </c>
      <c r="U179" s="26">
        <f t="shared" si="29"/>
        <v>3322.9999999975917</v>
      </c>
      <c r="W179" s="22">
        <f t="shared" si="30"/>
        <v>9.123401524910868E-4</v>
      </c>
      <c r="X179" s="26">
        <f t="shared" si="31"/>
        <v>1091.9999999998709</v>
      </c>
      <c r="Y179" s="53">
        <f t="shared" si="24"/>
        <v>94.633445817850898</v>
      </c>
      <c r="AA179" s="22">
        <f t="shared" si="32"/>
        <v>-7.4980310465014854E-3</v>
      </c>
      <c r="AB179" s="26">
        <f t="shared" si="33"/>
        <v>-3513.0000000000337</v>
      </c>
      <c r="AC179" s="53">
        <f t="shared" si="25"/>
        <v>98.719434785008559</v>
      </c>
      <c r="AE179" s="22">
        <f t="shared" si="34"/>
        <v>3.4218998322534944E-3</v>
      </c>
      <c r="AF179" s="26">
        <f t="shared" si="35"/>
        <v>4190.0000000000546</v>
      </c>
      <c r="AG179" s="53">
        <f t="shared" si="26"/>
        <v>97.609525670786624</v>
      </c>
    </row>
    <row r="180" spans="1:33" x14ac:dyDescent="0.3">
      <c r="A180" s="40">
        <v>45170</v>
      </c>
      <c r="B180" s="45">
        <v>311.69400000000002</v>
      </c>
      <c r="C180" s="45">
        <v>14.125999999999999</v>
      </c>
      <c r="D180" s="45">
        <v>93.921000000000006</v>
      </c>
      <c r="E180" s="45">
        <v>1196.2329999999999</v>
      </c>
      <c r="F180" s="45">
        <v>76.484999999999999</v>
      </c>
      <c r="G180" s="45">
        <v>458.53899999999999</v>
      </c>
      <c r="H180" s="45">
        <v>1229.838</v>
      </c>
      <c r="I180" s="45">
        <v>288.31599999999997</v>
      </c>
      <c r="J180" s="45">
        <v>531.36800000000005</v>
      </c>
      <c r="K180" s="45">
        <v>152.37</v>
      </c>
      <c r="L180" s="45">
        <v>902.11599999999999</v>
      </c>
      <c r="M180" s="45">
        <v>423.49</v>
      </c>
      <c r="N180" s="45">
        <v>334.09399999999999</v>
      </c>
      <c r="O180" s="45">
        <v>380.51600000000002</v>
      </c>
      <c r="P180" s="45">
        <v>0.153</v>
      </c>
      <c r="Q180" s="46">
        <v>6393.2589999999991</v>
      </c>
      <c r="S180" s="49">
        <f t="shared" si="27"/>
        <v>45170</v>
      </c>
      <c r="T180" s="22">
        <f t="shared" si="28"/>
        <v>-2.3215799414992855E-3</v>
      </c>
      <c r="U180" s="26">
        <f t="shared" si="29"/>
        <v>-14876.999999999498</v>
      </c>
      <c r="W180" s="22">
        <f t="shared" si="30"/>
        <v>-1.4866270344086052E-3</v>
      </c>
      <c r="X180" s="26">
        <f t="shared" si="31"/>
        <v>-1780.9999999999491</v>
      </c>
      <c r="Y180" s="53">
        <f t="shared" si="24"/>
        <v>94.492761178938849</v>
      </c>
      <c r="AA180" s="22">
        <f t="shared" si="32"/>
        <v>-1.3915829767101817E-2</v>
      </c>
      <c r="AB180" s="26">
        <f t="shared" si="33"/>
        <v>-6471.0000000000036</v>
      </c>
      <c r="AC180" s="53">
        <f t="shared" si="25"/>
        <v>97.345671935835881</v>
      </c>
      <c r="AE180" s="22">
        <f t="shared" si="34"/>
        <v>9.6202680001566954E-4</v>
      </c>
      <c r="AF180" s="26">
        <f t="shared" si="35"/>
        <v>1182.0000000000164</v>
      </c>
      <c r="AG180" s="53">
        <f t="shared" si="26"/>
        <v>97.703428650418743</v>
      </c>
    </row>
    <row r="181" spans="1:33" x14ac:dyDescent="0.3">
      <c r="A181" s="40">
        <v>45200</v>
      </c>
      <c r="B181" s="45">
        <v>309.46499999999997</v>
      </c>
      <c r="C181" s="45">
        <v>13.853</v>
      </c>
      <c r="D181" s="45">
        <v>94.247</v>
      </c>
      <c r="E181" s="45">
        <v>1196.018</v>
      </c>
      <c r="F181" s="45">
        <v>76.786000000000001</v>
      </c>
      <c r="G181" s="45">
        <v>449.37200000000001</v>
      </c>
      <c r="H181" s="45">
        <v>1231.9190000000001</v>
      </c>
      <c r="I181" s="45">
        <v>288.07600000000002</v>
      </c>
      <c r="J181" s="45">
        <v>529.66800000000001</v>
      </c>
      <c r="K181" s="45">
        <v>152.351</v>
      </c>
      <c r="L181" s="45">
        <v>901.12599999999998</v>
      </c>
      <c r="M181" s="45">
        <v>423.17500000000001</v>
      </c>
      <c r="N181" s="45">
        <v>334.31099999999998</v>
      </c>
      <c r="O181" s="45">
        <v>380.30799999999999</v>
      </c>
      <c r="P181" s="45">
        <v>0.156</v>
      </c>
      <c r="Q181" s="46">
        <v>6380.8309999999992</v>
      </c>
      <c r="S181" s="49">
        <f t="shared" si="27"/>
        <v>45200</v>
      </c>
      <c r="T181" s="22">
        <f t="shared" si="28"/>
        <v>-1.9439224971176117E-3</v>
      </c>
      <c r="U181" s="26">
        <f t="shared" si="29"/>
        <v>-12427.999999999884</v>
      </c>
      <c r="W181" s="22">
        <f t="shared" si="30"/>
        <v>-1.7973087182843184E-4</v>
      </c>
      <c r="X181" s="26">
        <f t="shared" si="31"/>
        <v>-214.99999999991815</v>
      </c>
      <c r="Y181" s="53">
        <f t="shared" si="24"/>
        <v>94.475777912590686</v>
      </c>
      <c r="AA181" s="22">
        <f t="shared" si="32"/>
        <v>-1.9991756426388951E-2</v>
      </c>
      <c r="AB181" s="26">
        <f t="shared" si="33"/>
        <v>-9166.9999999999727</v>
      </c>
      <c r="AC181" s="53">
        <f t="shared" si="25"/>
        <v>95.399560973331475</v>
      </c>
      <c r="AE181" s="22">
        <f t="shared" si="34"/>
        <v>1.6920927796995056E-3</v>
      </c>
      <c r="AF181" s="26">
        <f t="shared" si="35"/>
        <v>2081.000000000131</v>
      </c>
      <c r="AG181" s="53">
        <f t="shared" si="26"/>
        <v>97.86875191659</v>
      </c>
    </row>
    <row r="182" spans="1:33" x14ac:dyDescent="0.3">
      <c r="A182" s="40">
        <v>45231</v>
      </c>
      <c r="B182" s="45">
        <v>309.26600000000002</v>
      </c>
      <c r="C182" s="45">
        <v>13.012</v>
      </c>
      <c r="D182" s="45">
        <v>94.638999999999996</v>
      </c>
      <c r="E182" s="45">
        <v>1193.9079999999999</v>
      </c>
      <c r="F182" s="45">
        <v>76.980999999999995</v>
      </c>
      <c r="G182" s="45">
        <v>440.94099999999997</v>
      </c>
      <c r="H182" s="45">
        <v>1233.221</v>
      </c>
      <c r="I182" s="45">
        <v>287.75</v>
      </c>
      <c r="J182" s="45">
        <v>529.39</v>
      </c>
      <c r="K182" s="45">
        <v>152.08600000000001</v>
      </c>
      <c r="L182" s="45">
        <v>903.25599999999997</v>
      </c>
      <c r="M182" s="45">
        <v>423.553</v>
      </c>
      <c r="N182" s="45">
        <v>334.53500000000003</v>
      </c>
      <c r="O182" s="45">
        <v>380.01499999999999</v>
      </c>
      <c r="P182" s="45">
        <v>0.14399999999999999</v>
      </c>
      <c r="Q182" s="46">
        <v>6372.697000000001</v>
      </c>
      <c r="S182" s="49">
        <f t="shared" si="27"/>
        <v>45231</v>
      </c>
      <c r="T182" s="22">
        <f t="shared" si="28"/>
        <v>-1.2747555921788223E-3</v>
      </c>
      <c r="U182" s="26">
        <f t="shared" si="29"/>
        <v>-8133.9999999981956</v>
      </c>
      <c r="W182" s="22">
        <f t="shared" si="30"/>
        <v>-1.7641874955059977E-3</v>
      </c>
      <c r="X182" s="26">
        <f t="shared" si="31"/>
        <v>-2110.0000000001273</v>
      </c>
      <c r="Y182" s="53">
        <f t="shared" si="24"/>
        <v>94.309104926569091</v>
      </c>
      <c r="AA182" s="22">
        <f t="shared" si="32"/>
        <v>-1.8761738604096467E-2</v>
      </c>
      <c r="AB182" s="26">
        <f t="shared" si="33"/>
        <v>-8431.00000000004</v>
      </c>
      <c r="AC182" s="53">
        <f t="shared" si="25"/>
        <v>93.609699347404259</v>
      </c>
      <c r="AE182" s="22">
        <f t="shared" si="34"/>
        <v>1.0568876687508943E-3</v>
      </c>
      <c r="AF182" s="26">
        <f t="shared" si="35"/>
        <v>1301.9999999999072</v>
      </c>
      <c r="AG182" s="53">
        <f t="shared" si="26"/>
        <v>97.972188193646687</v>
      </c>
    </row>
    <row r="183" spans="1:33" x14ac:dyDescent="0.3">
      <c r="A183" s="40">
        <v>45261</v>
      </c>
      <c r="B183" s="45">
        <v>313.72899999999998</v>
      </c>
      <c r="C183" s="45">
        <v>13.956</v>
      </c>
      <c r="D183" s="45">
        <v>94.995000000000005</v>
      </c>
      <c r="E183" s="45">
        <v>1192.1079999999999</v>
      </c>
      <c r="F183" s="45">
        <v>77.067999999999998</v>
      </c>
      <c r="G183" s="45">
        <v>427.24099999999999</v>
      </c>
      <c r="H183" s="45">
        <v>1234.4860000000001</v>
      </c>
      <c r="I183" s="45">
        <v>287.23899999999998</v>
      </c>
      <c r="J183" s="45">
        <v>528.91</v>
      </c>
      <c r="K183" s="45">
        <v>152.10900000000001</v>
      </c>
      <c r="L183" s="45">
        <v>902.35299999999995</v>
      </c>
      <c r="M183" s="45">
        <v>423.125</v>
      </c>
      <c r="N183" s="45">
        <v>334.20400000000001</v>
      </c>
      <c r="O183" s="45">
        <v>379.65</v>
      </c>
      <c r="P183" s="45">
        <v>0.14499999999999999</v>
      </c>
      <c r="Q183" s="46">
        <v>6361.3180000000002</v>
      </c>
      <c r="S183" s="49">
        <f t="shared" si="27"/>
        <v>45261</v>
      </c>
      <c r="T183" s="22">
        <f t="shared" si="28"/>
        <v>-1.7855862282485369E-3</v>
      </c>
      <c r="U183" s="26">
        <f t="shared" si="29"/>
        <v>-11379.000000000815</v>
      </c>
      <c r="W183" s="22">
        <f t="shared" si="30"/>
        <v>-1.5076538560759856E-3</v>
      </c>
      <c r="X183" s="26">
        <f t="shared" si="31"/>
        <v>-1799.9999999999545</v>
      </c>
      <c r="Y183" s="53">
        <f t="shared" si="24"/>
        <v>94.166919440863467</v>
      </c>
      <c r="AA183" s="22">
        <f t="shared" si="32"/>
        <v>-3.1069916383370977E-2</v>
      </c>
      <c r="AB183" s="26">
        <f t="shared" si="33"/>
        <v>-13699.999999999989</v>
      </c>
      <c r="AC183" s="53">
        <f t="shared" si="25"/>
        <v>90.70125381600792</v>
      </c>
      <c r="AE183" s="22">
        <f t="shared" si="34"/>
        <v>1.0257691038346728E-3</v>
      </c>
      <c r="AF183" s="26">
        <f t="shared" si="35"/>
        <v>1265.0000000001</v>
      </c>
      <c r="AG183" s="53">
        <f t="shared" si="26"/>
        <v>98.072685037330814</v>
      </c>
    </row>
    <row r="184" spans="1:33" x14ac:dyDescent="0.3">
      <c r="A184" s="40">
        <v>45292</v>
      </c>
      <c r="B184" s="45">
        <v>317.928</v>
      </c>
      <c r="C184" s="45">
        <v>14.074999999999999</v>
      </c>
      <c r="D184" s="45">
        <v>95.337999999999994</v>
      </c>
      <c r="E184" s="45">
        <v>1188.6469999999999</v>
      </c>
      <c r="F184" s="45">
        <v>77.176000000000002</v>
      </c>
      <c r="G184" s="45">
        <v>407.041</v>
      </c>
      <c r="H184" s="45">
        <v>1231.1400000000001</v>
      </c>
      <c r="I184" s="45">
        <v>284.02699999999999</v>
      </c>
      <c r="J184" s="45">
        <v>527.24800000000005</v>
      </c>
      <c r="K184" s="45">
        <v>152.03</v>
      </c>
      <c r="L184" s="45">
        <v>897.95600000000002</v>
      </c>
      <c r="M184" s="45">
        <v>422.36900000000003</v>
      </c>
      <c r="N184" s="45">
        <v>333.71199999999999</v>
      </c>
      <c r="O184" s="45">
        <v>377.82299999999998</v>
      </c>
      <c r="P184" s="45">
        <v>0.14199999999999999</v>
      </c>
      <c r="Q184" s="46">
        <v>6326.652</v>
      </c>
      <c r="S184" s="49">
        <f t="shared" si="27"/>
        <v>45292</v>
      </c>
      <c r="T184" s="22">
        <f t="shared" si="28"/>
        <v>-5.4494996162745002E-3</v>
      </c>
      <c r="U184" s="26">
        <f t="shared" si="29"/>
        <v>-34666.000000000167</v>
      </c>
      <c r="W184" s="22">
        <f t="shared" si="30"/>
        <v>-2.9032604428458342E-3</v>
      </c>
      <c r="X184" s="26">
        <f t="shared" si="31"/>
        <v>-3461.0000000000127</v>
      </c>
      <c r="Y184" s="53">
        <f t="shared" si="24"/>
        <v>93.893528348626162</v>
      </c>
      <c r="AA184" s="22">
        <f t="shared" si="32"/>
        <v>-4.7280106544081657E-2</v>
      </c>
      <c r="AB184" s="26">
        <f t="shared" si="33"/>
        <v>-20199.999999999989</v>
      </c>
      <c r="AC184" s="53">
        <f t="shared" si="25"/>
        <v>86.412888871905267</v>
      </c>
      <c r="AE184" s="22">
        <f t="shared" si="34"/>
        <v>-2.7104398105770589E-3</v>
      </c>
      <c r="AF184" s="26">
        <f t="shared" si="35"/>
        <v>-3346.0000000000036</v>
      </c>
      <c r="AG184" s="53">
        <f t="shared" si="26"/>
        <v>97.806864927475445</v>
      </c>
    </row>
    <row r="185" spans="1:33" x14ac:dyDescent="0.3">
      <c r="A185" s="40">
        <v>45323</v>
      </c>
      <c r="B185" s="45">
        <v>319.56200000000001</v>
      </c>
      <c r="C185" s="45">
        <v>13.961</v>
      </c>
      <c r="D185" s="45">
        <v>95.635000000000005</v>
      </c>
      <c r="E185" s="45">
        <v>1185.4549999999999</v>
      </c>
      <c r="F185" s="45">
        <v>77.144000000000005</v>
      </c>
      <c r="G185" s="45">
        <v>394.35899999999998</v>
      </c>
      <c r="H185" s="45">
        <v>1229.5519999999999</v>
      </c>
      <c r="I185" s="45">
        <v>283.55399999999997</v>
      </c>
      <c r="J185" s="45">
        <v>525.05600000000004</v>
      </c>
      <c r="K185" s="45">
        <v>151.83799999999999</v>
      </c>
      <c r="L185" s="45">
        <v>892.87</v>
      </c>
      <c r="M185" s="45">
        <v>421.767</v>
      </c>
      <c r="N185" s="45">
        <v>333.113</v>
      </c>
      <c r="O185" s="45">
        <v>376.73700000000002</v>
      </c>
      <c r="P185" s="45">
        <v>0.13500000000000001</v>
      </c>
      <c r="Q185" s="46">
        <v>6300.7380000000003</v>
      </c>
      <c r="S185" s="49">
        <f t="shared" si="27"/>
        <v>45323</v>
      </c>
      <c r="T185" s="22">
        <f t="shared" si="28"/>
        <v>-4.0960052805180114E-3</v>
      </c>
      <c r="U185" s="26">
        <f t="shared" si="29"/>
        <v>-25913.99999999976</v>
      </c>
      <c r="W185" s="22">
        <f t="shared" si="30"/>
        <v>-2.6854061803042173E-3</v>
      </c>
      <c r="X185" s="26">
        <f t="shared" si="31"/>
        <v>-3192.0000000000073</v>
      </c>
      <c r="Y185" s="53">
        <f t="shared" si="24"/>
        <v>93.641386087308192</v>
      </c>
      <c r="AA185" s="22">
        <f t="shared" si="32"/>
        <v>-3.11565665375233E-2</v>
      </c>
      <c r="AB185" s="26">
        <f t="shared" si="33"/>
        <v>-12682.000000000016</v>
      </c>
      <c r="AC185" s="53">
        <f t="shared" si="25"/>
        <v>83.72055995006815</v>
      </c>
      <c r="AE185" s="22">
        <f t="shared" si="34"/>
        <v>-1.2898614292445876E-3</v>
      </c>
      <c r="AF185" s="26">
        <f t="shared" si="35"/>
        <v>-1588.0000000001928</v>
      </c>
      <c r="AG185" s="53">
        <f t="shared" si="26"/>
        <v>97.680707624890147</v>
      </c>
    </row>
    <row r="186" spans="1:33" x14ac:dyDescent="0.3">
      <c r="A186" s="40">
        <v>45352</v>
      </c>
      <c r="B186" s="45">
        <v>318.541</v>
      </c>
      <c r="C186" s="45">
        <v>14.023999999999999</v>
      </c>
      <c r="D186" s="45">
        <v>95.834999999999994</v>
      </c>
      <c r="E186" s="45">
        <v>1181.797</v>
      </c>
      <c r="F186" s="45">
        <v>77.061999999999998</v>
      </c>
      <c r="G186" s="45">
        <v>384.13600000000002</v>
      </c>
      <c r="H186" s="45">
        <v>1227.72</v>
      </c>
      <c r="I186" s="45">
        <v>283.48700000000002</v>
      </c>
      <c r="J186" s="45">
        <v>523.18600000000004</v>
      </c>
      <c r="K186" s="45">
        <v>151.69900000000001</v>
      </c>
      <c r="L186" s="45">
        <v>890.58</v>
      </c>
      <c r="M186" s="45">
        <v>420.84500000000003</v>
      </c>
      <c r="N186" s="45">
        <v>332.56299999999999</v>
      </c>
      <c r="O186" s="45">
        <v>374.25700000000001</v>
      </c>
      <c r="P186" s="45">
        <v>0.123</v>
      </c>
      <c r="Q186" s="46">
        <v>6275.8549999999987</v>
      </c>
      <c r="S186" s="49">
        <f t="shared" si="27"/>
        <v>45352</v>
      </c>
      <c r="T186" s="22">
        <f t="shared" si="28"/>
        <v>-3.9492199167782127E-3</v>
      </c>
      <c r="U186" s="26">
        <f t="shared" si="29"/>
        <v>-24883.00000000163</v>
      </c>
      <c r="W186" s="22">
        <f t="shared" si="30"/>
        <v>-3.0857350131383576E-3</v>
      </c>
      <c r="X186" s="26">
        <f t="shared" si="31"/>
        <v>-3657.9999999999018</v>
      </c>
      <c r="Y186" s="53">
        <f t="shared" si="24"/>
        <v>93.352433583579781</v>
      </c>
      <c r="AA186" s="22">
        <f t="shared" si="32"/>
        <v>-2.5923080239071417E-2</v>
      </c>
      <c r="AB186" s="26">
        <f t="shared" si="33"/>
        <v>-10222.999999999956</v>
      </c>
      <c r="AC186" s="53">
        <f t="shared" si="25"/>
        <v>81.550265156822547</v>
      </c>
      <c r="AE186" s="22">
        <f t="shared" si="34"/>
        <v>-1.4899735838743711E-3</v>
      </c>
      <c r="AF186" s="26">
        <f t="shared" si="35"/>
        <v>-1831.9999999998799</v>
      </c>
      <c r="AG186" s="53">
        <f t="shared" si="26"/>
        <v>97.535165950874912</v>
      </c>
    </row>
    <row r="187" spans="1:33" x14ac:dyDescent="0.3">
      <c r="A187" s="40">
        <v>45383</v>
      </c>
      <c r="B187" s="45">
        <v>318.97000000000003</v>
      </c>
      <c r="C187" s="45">
        <v>14.375</v>
      </c>
      <c r="D187" s="45">
        <v>95.632999999999996</v>
      </c>
      <c r="E187" s="45">
        <v>1177.019</v>
      </c>
      <c r="F187" s="45">
        <v>76.805000000000007</v>
      </c>
      <c r="G187" s="45">
        <v>376.40300000000002</v>
      </c>
      <c r="H187" s="45">
        <v>1227.066</v>
      </c>
      <c r="I187" s="45">
        <v>283.33100000000002</v>
      </c>
      <c r="J187" s="45">
        <v>522.52700000000004</v>
      </c>
      <c r="K187" s="45">
        <v>151.65199999999999</v>
      </c>
      <c r="L187" s="45">
        <v>887.45899999999995</v>
      </c>
      <c r="M187" s="45">
        <v>421.495</v>
      </c>
      <c r="N187" s="45">
        <v>331.97800000000001</v>
      </c>
      <c r="O187" s="45">
        <v>373.97699999999998</v>
      </c>
      <c r="P187" s="45">
        <v>0.106</v>
      </c>
      <c r="Q187" s="46">
        <v>6258.7959999999994</v>
      </c>
      <c r="S187" s="49">
        <f t="shared" si="27"/>
        <v>45383</v>
      </c>
      <c r="T187" s="22">
        <f t="shared" si="28"/>
        <v>-2.7181953693957706E-3</v>
      </c>
      <c r="U187" s="26">
        <f t="shared" si="29"/>
        <v>-17058.999999999287</v>
      </c>
      <c r="W187" s="22">
        <f t="shared" si="30"/>
        <v>-4.0429955398431083E-3</v>
      </c>
      <c r="X187" s="26">
        <f t="shared" si="31"/>
        <v>-4778.00000000002</v>
      </c>
      <c r="Y187" s="53">
        <f t="shared" si="24"/>
        <v>92.975010110967872</v>
      </c>
      <c r="AA187" s="22">
        <f t="shared" si="32"/>
        <v>-2.0130891142720264E-2</v>
      </c>
      <c r="AB187" s="26">
        <f t="shared" si="33"/>
        <v>-7733.0000000000036</v>
      </c>
      <c r="AC187" s="53">
        <f t="shared" si="25"/>
        <v>79.908585646290575</v>
      </c>
      <c r="AE187" s="22">
        <f t="shared" si="34"/>
        <v>-5.326947512461766E-4</v>
      </c>
      <c r="AF187" s="26">
        <f t="shared" si="35"/>
        <v>-653.99999999999636</v>
      </c>
      <c r="AG187" s="53">
        <f t="shared" si="26"/>
        <v>97.483209479910954</v>
      </c>
    </row>
    <row r="188" spans="1:33" x14ac:dyDescent="0.3">
      <c r="A188" s="40">
        <v>45413</v>
      </c>
      <c r="B188" s="45">
        <v>321.33300000000003</v>
      </c>
      <c r="C188" s="45">
        <v>14.565</v>
      </c>
      <c r="D188" s="45">
        <v>95.801000000000002</v>
      </c>
      <c r="E188" s="45">
        <v>1172.049</v>
      </c>
      <c r="F188" s="45">
        <v>76.557000000000002</v>
      </c>
      <c r="G188" s="45">
        <v>375.22500000000002</v>
      </c>
      <c r="H188" s="45">
        <v>1226.9449999999999</v>
      </c>
      <c r="I188" s="45">
        <v>282.50200000000001</v>
      </c>
      <c r="J188" s="45">
        <v>520.78800000000001</v>
      </c>
      <c r="K188" s="45">
        <v>151.50299999999999</v>
      </c>
      <c r="L188" s="45">
        <v>885.79399999999998</v>
      </c>
      <c r="M188" s="45">
        <v>421.613</v>
      </c>
      <c r="N188" s="45">
        <v>331.315</v>
      </c>
      <c r="O188" s="45">
        <v>372.87599999999998</v>
      </c>
      <c r="P188" s="45">
        <v>0.10299999999999999</v>
      </c>
      <c r="Q188" s="46">
        <v>6248.9690000000001</v>
      </c>
      <c r="S188" s="49">
        <f t="shared" si="27"/>
        <v>45413</v>
      </c>
      <c r="T188" s="22">
        <f t="shared" si="28"/>
        <v>-1.5701102895827601E-3</v>
      </c>
      <c r="U188" s="26">
        <f t="shared" si="29"/>
        <v>-9826.9999999993161</v>
      </c>
      <c r="W188" s="22">
        <f t="shared" si="30"/>
        <v>-4.2225316668634827E-3</v>
      </c>
      <c r="X188" s="26">
        <f t="shared" si="31"/>
        <v>-4970.0000000000273</v>
      </c>
      <c r="Y188" s="53">
        <f t="shared" si="24"/>
        <v>92.582420186547353</v>
      </c>
      <c r="AA188" s="22">
        <f t="shared" si="32"/>
        <v>-3.1296243653743394E-3</v>
      </c>
      <c r="AB188" s="26">
        <f t="shared" si="33"/>
        <v>-1177.9999999999973</v>
      </c>
      <c r="AC188" s="53">
        <f t="shared" si="25"/>
        <v>79.658501789649335</v>
      </c>
      <c r="AE188" s="22">
        <f t="shared" si="34"/>
        <v>-9.8609202765054249E-5</v>
      </c>
      <c r="AF188" s="26">
        <f t="shared" si="35"/>
        <v>-121.00000000009459</v>
      </c>
      <c r="AG188" s="53">
        <f t="shared" si="26"/>
        <v>97.473596738341158</v>
      </c>
    </row>
    <row r="189" spans="1:33" x14ac:dyDescent="0.3">
      <c r="A189" s="40">
        <v>45444</v>
      </c>
      <c r="B189" s="45">
        <v>321.37400000000002</v>
      </c>
      <c r="C189" s="45">
        <v>14.346</v>
      </c>
      <c r="D189" s="45">
        <v>95.893000000000001</v>
      </c>
      <c r="E189" s="45">
        <v>1167.788</v>
      </c>
      <c r="F189" s="45">
        <v>76.188999999999993</v>
      </c>
      <c r="G189" s="45">
        <v>372.78399999999999</v>
      </c>
      <c r="H189" s="45">
        <v>1227.579</v>
      </c>
      <c r="I189" s="45">
        <v>281.53500000000003</v>
      </c>
      <c r="J189" s="45">
        <v>520.375</v>
      </c>
      <c r="K189" s="45">
        <v>151.71199999999999</v>
      </c>
      <c r="L189" s="45">
        <v>883.673</v>
      </c>
      <c r="M189" s="45">
        <v>421.45699999999999</v>
      </c>
      <c r="N189" s="45">
        <v>330.48099999999999</v>
      </c>
      <c r="O189" s="45">
        <v>373.97199999999998</v>
      </c>
      <c r="P189" s="45">
        <v>0.10199999999999999</v>
      </c>
      <c r="Q189" s="46">
        <v>6239.26</v>
      </c>
      <c r="S189" s="49">
        <f t="shared" ref="S189:S198" si="36">A189</f>
        <v>45444</v>
      </c>
      <c r="T189" s="22">
        <f t="shared" ref="T189:T198" si="37">Q189/Q188-1</f>
        <v>-1.5536962977412694E-3</v>
      </c>
      <c r="U189" s="26">
        <f>(Q189-Q188)*1000</f>
        <v>-9708.9999999998327</v>
      </c>
      <c r="W189" s="22">
        <f t="shared" ref="W189:W198" si="38">E189/E188-1</f>
        <v>-3.6355135322840848E-3</v>
      </c>
      <c r="X189" s="26">
        <f t="shared" ref="X189:X198" si="39">(E189-E188)*1000</f>
        <v>-4260.9999999999673</v>
      </c>
      <c r="Y189" s="53">
        <f t="shared" ref="Y189:Y198" si="40">E189/$E$61*100</f>
        <v>92.245835545107553</v>
      </c>
      <c r="AA189" s="22">
        <f t="shared" ref="AA189:AA198" si="41">G189/G188-1</f>
        <v>-6.5054300752882543E-3</v>
      </c>
      <c r="AB189" s="26">
        <f t="shared" ref="AB189:AB198" si="42">(G189-G188)*1000</f>
        <v>-2441.0000000000309</v>
      </c>
      <c r="AC189" s="53">
        <f t="shared" ref="AC189:AC198" si="43">G189/$G$176*100</f>
        <v>79.140288976354555</v>
      </c>
      <c r="AE189" s="22">
        <f t="shared" si="34"/>
        <v>5.1673057879542128E-4</v>
      </c>
      <c r="AF189" s="26">
        <f t="shared" si="35"/>
        <v>634.00000000001455</v>
      </c>
      <c r="AG189" s="53">
        <f t="shared" si="26"/>
        <v>97.523964326401028</v>
      </c>
    </row>
    <row r="190" spans="1:33" x14ac:dyDescent="0.3">
      <c r="A190" s="40">
        <v>45474</v>
      </c>
      <c r="B190" s="45">
        <v>320.09899999999999</v>
      </c>
      <c r="C190" s="45">
        <v>14.355</v>
      </c>
      <c r="D190" s="45">
        <v>95.727000000000004</v>
      </c>
      <c r="E190" s="45">
        <v>1165.8489999999999</v>
      </c>
      <c r="F190" s="45">
        <v>76.180000000000007</v>
      </c>
      <c r="G190" s="45">
        <v>371.82299999999998</v>
      </c>
      <c r="H190" s="45">
        <v>1228.423</v>
      </c>
      <c r="I190" s="45">
        <v>281.06299999999999</v>
      </c>
      <c r="J190" s="45">
        <v>520.08399999999995</v>
      </c>
      <c r="K190" s="45">
        <v>151.44999999999999</v>
      </c>
      <c r="L190" s="45">
        <v>882.91300000000001</v>
      </c>
      <c r="M190" s="45">
        <v>421.91899999999998</v>
      </c>
      <c r="N190" s="45">
        <v>330.11</v>
      </c>
      <c r="O190" s="45">
        <v>373.03199999999998</v>
      </c>
      <c r="P190" s="45">
        <v>9.0999999999999998E-2</v>
      </c>
      <c r="Q190" s="46">
        <v>6233.1180000000004</v>
      </c>
      <c r="S190" s="49">
        <f t="shared" si="36"/>
        <v>45474</v>
      </c>
      <c r="T190" s="22">
        <f t="shared" si="37"/>
        <v>-9.8441161291562551E-4</v>
      </c>
      <c r="U190" s="26">
        <f t="shared" ref="U190:U195" si="44">(Q190-Q189)*1000</f>
        <v>-6141.9999999998254</v>
      </c>
      <c r="W190" s="22">
        <f t="shared" si="38"/>
        <v>-1.6604041144454573E-3</v>
      </c>
      <c r="X190" s="26">
        <f t="shared" si="39"/>
        <v>-1939.0000000000782</v>
      </c>
      <c r="Y190" s="53">
        <f t="shared" si="40"/>
        <v>92.092670180227998</v>
      </c>
      <c r="AA190" s="22">
        <f t="shared" si="41"/>
        <v>-2.5779003390703492E-3</v>
      </c>
      <c r="AB190" s="26">
        <f t="shared" si="42"/>
        <v>-961.00000000001273</v>
      </c>
      <c r="AC190" s="53">
        <f t="shared" si="43"/>
        <v>78.936273198568287</v>
      </c>
      <c r="AE190" s="22">
        <f t="shared" si="34"/>
        <v>6.8753212624206306E-4</v>
      </c>
      <c r="AF190" s="26">
        <f t="shared" si="35"/>
        <v>844.00000000005093</v>
      </c>
      <c r="AG190" s="53">
        <f t="shared" si="26"/>
        <v>97.591015184953918</v>
      </c>
    </row>
    <row r="191" spans="1:33" x14ac:dyDescent="0.3">
      <c r="A191" s="40">
        <v>45505</v>
      </c>
      <c r="B191" s="45">
        <v>321.23</v>
      </c>
      <c r="C191" s="45">
        <v>14.539</v>
      </c>
      <c r="D191" s="45">
        <v>95.525999999999996</v>
      </c>
      <c r="E191" s="45">
        <v>1165.8119999999999</v>
      </c>
      <c r="F191" s="45">
        <v>75.881</v>
      </c>
      <c r="G191" s="45">
        <v>372.68799999999999</v>
      </c>
      <c r="H191" s="45">
        <v>1232.0530000000001</v>
      </c>
      <c r="I191" s="45">
        <v>280.38499999999999</v>
      </c>
      <c r="J191" s="45">
        <v>519.19600000000003</v>
      </c>
      <c r="K191" s="45">
        <v>151.83099999999999</v>
      </c>
      <c r="L191" s="45">
        <v>883.98400000000004</v>
      </c>
      <c r="M191" s="45">
        <v>421.75599999999997</v>
      </c>
      <c r="N191" s="45">
        <v>330.04</v>
      </c>
      <c r="O191" s="45">
        <v>372.22199999999998</v>
      </c>
      <c r="P191" s="45">
        <v>8.5999999999999993E-2</v>
      </c>
      <c r="Q191" s="46">
        <v>6237.2290000000012</v>
      </c>
      <c r="S191" s="49">
        <f t="shared" si="36"/>
        <v>45505</v>
      </c>
      <c r="T191" s="22">
        <f t="shared" si="37"/>
        <v>6.5954150073865847E-4</v>
      </c>
      <c r="U191" s="26">
        <f t="shared" si="44"/>
        <v>4111.0000000007858</v>
      </c>
      <c r="W191" s="22">
        <f t="shared" si="38"/>
        <v>-3.1736528486980831E-5</v>
      </c>
      <c r="X191" s="26">
        <f t="shared" si="39"/>
        <v>-37.000000000034561</v>
      </c>
      <c r="Y191" s="53">
        <f t="shared" si="40"/>
        <v>92.08974747857738</v>
      </c>
      <c r="AA191" s="22">
        <f t="shared" si="41"/>
        <v>2.3263757217815151E-3</v>
      </c>
      <c r="AB191" s="26">
        <f t="shared" si="42"/>
        <v>865.00000000000909</v>
      </c>
      <c r="AC191" s="53">
        <f t="shared" si="43"/>
        <v>79.11990862810535</v>
      </c>
      <c r="AE191" s="22">
        <f t="shared" si="34"/>
        <v>2.9550081690101759E-3</v>
      </c>
      <c r="AF191" s="26">
        <f t="shared" si="35"/>
        <v>3630.0000000001091</v>
      </c>
      <c r="AG191" s="53">
        <f t="shared" si="26"/>
        <v>97.879397432047455</v>
      </c>
    </row>
    <row r="192" spans="1:33" x14ac:dyDescent="0.3">
      <c r="A192" s="40">
        <v>45536</v>
      </c>
      <c r="B192" s="45">
        <v>321.435</v>
      </c>
      <c r="C192" s="45">
        <v>14.305999999999999</v>
      </c>
      <c r="D192" s="45">
        <v>95.441000000000003</v>
      </c>
      <c r="E192" s="45">
        <v>1167.3979999999999</v>
      </c>
      <c r="F192" s="45">
        <v>75.909000000000006</v>
      </c>
      <c r="G192" s="45">
        <v>373.92099999999999</v>
      </c>
      <c r="H192" s="45">
        <v>1237.0940000000001</v>
      </c>
      <c r="I192" s="45">
        <v>280.25400000000002</v>
      </c>
      <c r="J192" s="45">
        <v>518.71500000000003</v>
      </c>
      <c r="K192" s="45">
        <v>151.65700000000001</v>
      </c>
      <c r="L192" s="45">
        <v>886.298</v>
      </c>
      <c r="M192" s="45">
        <v>421.952</v>
      </c>
      <c r="N192" s="45">
        <v>330.166</v>
      </c>
      <c r="O192" s="45">
        <v>371.69799999999998</v>
      </c>
      <c r="P192" s="45">
        <v>9.2999999999999999E-2</v>
      </c>
      <c r="Q192" s="46">
        <v>6246.3370000000004</v>
      </c>
      <c r="S192" s="49">
        <f t="shared" si="36"/>
        <v>45536</v>
      </c>
      <c r="T192" s="22">
        <f t="shared" si="37"/>
        <v>1.4602638447296368E-3</v>
      </c>
      <c r="U192" s="26">
        <f t="shared" si="44"/>
        <v>9107.9999999992651</v>
      </c>
      <c r="W192" s="22">
        <f t="shared" si="38"/>
        <v>1.3604251800460876E-3</v>
      </c>
      <c r="X192" s="26">
        <f t="shared" si="39"/>
        <v>1586.0000000000127</v>
      </c>
      <c r="Y192" s="53">
        <f t="shared" si="40"/>
        <v>92.215028689871332</v>
      </c>
      <c r="AA192" s="22">
        <f t="shared" si="41"/>
        <v>3.3083973726011351E-3</v>
      </c>
      <c r="AB192" s="26">
        <f t="shared" si="42"/>
        <v>1233.0000000000041</v>
      </c>
      <c r="AC192" s="53">
        <f t="shared" si="43"/>
        <v>79.381668725931021</v>
      </c>
      <c r="AE192" s="22">
        <f t="shared" si="34"/>
        <v>4.0915447630904822E-3</v>
      </c>
      <c r="AF192" s="26">
        <f t="shared" si="35"/>
        <v>5040.99999999994</v>
      </c>
      <c r="AG192" s="53">
        <f t="shared" si="26"/>
        <v>98.279875368025003</v>
      </c>
    </row>
    <row r="193" spans="1:33" x14ac:dyDescent="0.3">
      <c r="A193" s="40">
        <v>45566</v>
      </c>
      <c r="B193" s="45">
        <v>321.86700000000002</v>
      </c>
      <c r="C193" s="45">
        <v>14.292999999999999</v>
      </c>
      <c r="D193" s="45">
        <v>95.194000000000003</v>
      </c>
      <c r="E193" s="45">
        <v>1169.9269999999999</v>
      </c>
      <c r="F193" s="45">
        <v>75.884</v>
      </c>
      <c r="G193" s="45">
        <v>372.54399999999998</v>
      </c>
      <c r="H193" s="45">
        <v>1241.625</v>
      </c>
      <c r="I193" s="45">
        <v>280.37099999999998</v>
      </c>
      <c r="J193" s="45">
        <v>518.4</v>
      </c>
      <c r="K193" s="45">
        <v>151.52099999999999</v>
      </c>
      <c r="L193" s="45">
        <v>888.12900000000002</v>
      </c>
      <c r="M193" s="45">
        <v>422.22699999999998</v>
      </c>
      <c r="N193" s="45">
        <v>329.98899999999998</v>
      </c>
      <c r="O193" s="45">
        <v>371.827</v>
      </c>
      <c r="P193" s="45">
        <v>8.1000000000000003E-2</v>
      </c>
      <c r="Q193" s="46">
        <v>6253.8789999999999</v>
      </c>
      <c r="S193" s="49">
        <f t="shared" si="36"/>
        <v>45566</v>
      </c>
      <c r="T193" s="22">
        <f t="shared" si="37"/>
        <v>1.2074276491964575E-3</v>
      </c>
      <c r="U193" s="26">
        <f t="shared" si="44"/>
        <v>7541.9999999994616</v>
      </c>
      <c r="W193" s="22">
        <f t="shared" si="38"/>
        <v>2.1663562897999977E-3</v>
      </c>
      <c r="X193" s="26">
        <f t="shared" si="39"/>
        <v>2528.9999999999964</v>
      </c>
      <c r="Y193" s="53">
        <f t="shared" si="40"/>
        <v>92.414799297287729</v>
      </c>
      <c r="AA193" s="22">
        <f t="shared" si="41"/>
        <v>-3.6825960563863225E-3</v>
      </c>
      <c r="AB193" s="26">
        <f t="shared" si="42"/>
        <v>-1377.0000000000095</v>
      </c>
      <c r="AC193" s="53">
        <f t="shared" si="43"/>
        <v>79.089338105731542</v>
      </c>
      <c r="AE193" s="22">
        <f t="shared" si="34"/>
        <v>3.6626157753574251E-3</v>
      </c>
      <c r="AF193" s="26">
        <f t="shared" si="35"/>
        <v>4530.9999999999491</v>
      </c>
      <c r="AG193" s="53">
        <f t="shared" si="26"/>
        <v>98.639836789948092</v>
      </c>
    </row>
    <row r="194" spans="1:33" x14ac:dyDescent="0.3">
      <c r="A194" s="40">
        <v>45597</v>
      </c>
      <c r="B194" s="45">
        <v>321.59699999999998</v>
      </c>
      <c r="C194" s="45">
        <v>14.686999999999999</v>
      </c>
      <c r="D194" s="45">
        <v>94.772000000000006</v>
      </c>
      <c r="E194" s="45">
        <v>1168.9269999999999</v>
      </c>
      <c r="F194" s="45">
        <v>75.959999999999994</v>
      </c>
      <c r="G194" s="45">
        <v>373.12299999999999</v>
      </c>
      <c r="H194" s="45">
        <v>1246.0039999999999</v>
      </c>
      <c r="I194" s="45">
        <v>279.76499999999999</v>
      </c>
      <c r="J194" s="45">
        <v>518.17700000000002</v>
      </c>
      <c r="K194" s="45">
        <v>151.404</v>
      </c>
      <c r="L194" s="45">
        <v>887.83900000000006</v>
      </c>
      <c r="M194" s="45">
        <v>422.233</v>
      </c>
      <c r="N194" s="45">
        <v>329.995</v>
      </c>
      <c r="O194" s="45">
        <v>370.589</v>
      </c>
      <c r="P194" s="45">
        <v>8.5999999999999993E-2</v>
      </c>
      <c r="Q194" s="46">
        <v>6255.1579999999994</v>
      </c>
      <c r="S194" s="49">
        <f t="shared" si="36"/>
        <v>45597</v>
      </c>
      <c r="T194" s="88">
        <f t="shared" si="37"/>
        <v>2.0451307100755045E-4</v>
      </c>
      <c r="U194" s="26">
        <f t="shared" si="44"/>
        <v>1278.9999999995416</v>
      </c>
      <c r="W194" s="22">
        <f t="shared" si="38"/>
        <v>-8.5475418551750337E-4</v>
      </c>
      <c r="X194" s="26">
        <f t="shared" si="39"/>
        <v>-1000</v>
      </c>
      <c r="Y194" s="53">
        <f t="shared" si="40"/>
        <v>92.335807360784599</v>
      </c>
      <c r="AA194" s="22">
        <f t="shared" si="41"/>
        <v>1.5541788352517738E-3</v>
      </c>
      <c r="AB194" s="26">
        <f t="shared" si="42"/>
        <v>579.00000000000773</v>
      </c>
      <c r="AC194" s="53">
        <f t="shared" si="43"/>
        <v>79.212257081109541</v>
      </c>
      <c r="AE194" s="22">
        <f t="shared" si="34"/>
        <v>3.526829759387784E-3</v>
      </c>
      <c r="AF194" s="26">
        <f t="shared" si="35"/>
        <v>4378.9999999999054</v>
      </c>
      <c r="AG194" s="53">
        <f t="shared" si="26"/>
        <v>98.987722701800024</v>
      </c>
    </row>
    <row r="195" spans="1:33" x14ac:dyDescent="0.3">
      <c r="A195" s="40">
        <v>45627</v>
      </c>
      <c r="B195" s="45">
        <v>322.017</v>
      </c>
      <c r="C195" s="45">
        <v>14.496</v>
      </c>
      <c r="D195" s="45">
        <v>94.379000000000005</v>
      </c>
      <c r="E195" s="45">
        <v>1167.1369999999999</v>
      </c>
      <c r="F195" s="45">
        <v>75.962000000000003</v>
      </c>
      <c r="G195" s="45">
        <v>376.61500000000001</v>
      </c>
      <c r="H195" s="45">
        <v>1249.97</v>
      </c>
      <c r="I195" s="45">
        <v>279.78199999999998</v>
      </c>
      <c r="J195" s="45">
        <v>516.72</v>
      </c>
      <c r="K195" s="45">
        <v>151.41</v>
      </c>
      <c r="L195" s="45">
        <v>891.19100000000003</v>
      </c>
      <c r="M195" s="45">
        <v>422.34300000000002</v>
      </c>
      <c r="N195" s="45">
        <v>330.12400000000002</v>
      </c>
      <c r="O195" s="45">
        <v>371.524</v>
      </c>
      <c r="P195" s="45">
        <v>8.5999999999999993E-2</v>
      </c>
      <c r="Q195" s="46">
        <v>6263.7560000000003</v>
      </c>
      <c r="S195" s="49">
        <f t="shared" si="36"/>
        <v>45627</v>
      </c>
      <c r="T195" s="88">
        <f t="shared" si="37"/>
        <v>1.3745456149949487E-3</v>
      </c>
      <c r="U195" s="26">
        <f t="shared" si="44"/>
        <v>8598.0000000008658</v>
      </c>
      <c r="W195" s="22">
        <f t="shared" si="38"/>
        <v>-1.5313188933098187E-3</v>
      </c>
      <c r="X195" s="26">
        <f t="shared" si="39"/>
        <v>-1789.9999999999636</v>
      </c>
      <c r="Y195" s="53">
        <f t="shared" si="40"/>
        <v>92.194411794444022</v>
      </c>
      <c r="AA195" s="22">
        <f t="shared" si="41"/>
        <v>9.3588441345080486E-3</v>
      </c>
      <c r="AB195" s="26">
        <f>(G195-G194)*1000</f>
        <v>3492.0000000000186</v>
      </c>
      <c r="AC195" s="53">
        <f t="shared" si="43"/>
        <v>79.953592248674227</v>
      </c>
      <c r="AE195" s="22">
        <f t="shared" si="34"/>
        <v>3.1829753355527846E-3</v>
      </c>
      <c r="AF195" s="26">
        <f t="shared" si="35"/>
        <v>3966.0000000001219</v>
      </c>
      <c r="AG195" s="53">
        <f t="shared" si="26"/>
        <v>99.302798181682391</v>
      </c>
    </row>
    <row r="196" spans="1:33" x14ac:dyDescent="0.3">
      <c r="A196" s="40">
        <v>45658</v>
      </c>
      <c r="B196" s="45">
        <v>320.596</v>
      </c>
      <c r="C196" s="45">
        <v>14.772</v>
      </c>
      <c r="D196" s="45">
        <v>94.028000000000006</v>
      </c>
      <c r="E196" s="45">
        <v>1167.0039999999999</v>
      </c>
      <c r="F196" s="45">
        <v>75.942999999999998</v>
      </c>
      <c r="G196" s="45">
        <v>378.65699999999998</v>
      </c>
      <c r="H196" s="45">
        <v>1250.299</v>
      </c>
      <c r="I196" s="45">
        <v>277.89999999999998</v>
      </c>
      <c r="J196" s="45">
        <v>515.58500000000004</v>
      </c>
      <c r="K196" s="45">
        <v>151.13800000000001</v>
      </c>
      <c r="L196" s="45">
        <v>888.173</v>
      </c>
      <c r="M196" s="45">
        <v>422.83300000000003</v>
      </c>
      <c r="N196" s="45">
        <v>329.86799999999999</v>
      </c>
      <c r="O196" s="45">
        <v>367.78199999999998</v>
      </c>
      <c r="P196" s="45">
        <v>9.0999999999999998E-2</v>
      </c>
      <c r="Q196" s="46">
        <v>6254.6690000000008</v>
      </c>
      <c r="S196" s="49">
        <f t="shared" si="36"/>
        <v>45658</v>
      </c>
      <c r="T196" s="88">
        <f t="shared" si="37"/>
        <v>-1.4507270078846224E-3</v>
      </c>
      <c r="U196" s="26">
        <f t="shared" ref="U196:U201" si="45">(Q196-Q195)*1000</f>
        <v>-9086.9999999995343</v>
      </c>
      <c r="W196" s="22">
        <f t="shared" si="38"/>
        <v>-1.1395406023462229E-4</v>
      </c>
      <c r="X196" s="26">
        <f t="shared" si="39"/>
        <v>-133.0000000000382</v>
      </c>
      <c r="Y196" s="53">
        <f t="shared" si="40"/>
        <v>92.183905866889106</v>
      </c>
      <c r="AA196" s="22">
        <f t="shared" si="41"/>
        <v>5.4219826613384203E-3</v>
      </c>
      <c r="AB196" s="26">
        <f t="shared" si="42"/>
        <v>2041.9999999999732</v>
      </c>
      <c r="AC196" s="53">
        <f t="shared" si="43"/>
        <v>80.387099239558253</v>
      </c>
      <c r="AE196" s="22">
        <f t="shared" si="34"/>
        <v>2.6320631695164742E-4</v>
      </c>
      <c r="AF196" s="26">
        <f t="shared" si="35"/>
        <v>328.99999999995089</v>
      </c>
      <c r="AG196" s="53">
        <f t="shared" si="26"/>
        <v>99.328935305454777</v>
      </c>
    </row>
    <row r="197" spans="1:33" x14ac:dyDescent="0.3">
      <c r="A197" s="40">
        <v>45689</v>
      </c>
      <c r="B197" s="45">
        <v>319.82499999999999</v>
      </c>
      <c r="C197" s="45">
        <v>14.778</v>
      </c>
      <c r="D197" s="45">
        <v>92.872</v>
      </c>
      <c r="E197" s="45">
        <v>1166.5</v>
      </c>
      <c r="F197" s="45">
        <v>75.998000000000005</v>
      </c>
      <c r="G197" s="45">
        <v>381.05399999999997</v>
      </c>
      <c r="H197" s="45">
        <v>1252.5129999999999</v>
      </c>
      <c r="I197" s="45">
        <v>279.233</v>
      </c>
      <c r="J197" s="45">
        <v>515.66499999999996</v>
      </c>
      <c r="K197" s="45">
        <v>151.09100000000001</v>
      </c>
      <c r="L197" s="45">
        <v>892.81500000000005</v>
      </c>
      <c r="M197" s="45">
        <v>423.90600000000001</v>
      </c>
      <c r="N197" s="45">
        <v>330.05599999999998</v>
      </c>
      <c r="O197" s="45">
        <v>368.93</v>
      </c>
      <c r="P197" s="45">
        <v>8.8999999999999996E-2</v>
      </c>
      <c r="Q197" s="46">
        <v>6265.3250000000007</v>
      </c>
      <c r="S197" s="49">
        <f t="shared" si="36"/>
        <v>45689</v>
      </c>
      <c r="T197" s="88">
        <f t="shared" si="37"/>
        <v>1.7036872774562895E-3</v>
      </c>
      <c r="U197" s="26">
        <f t="shared" si="45"/>
        <v>10655.999999999949</v>
      </c>
      <c r="W197" s="22">
        <f t="shared" si="38"/>
        <v>-4.3187512639197845E-4</v>
      </c>
      <c r="X197" s="26">
        <f t="shared" si="39"/>
        <v>-503.99999999990541</v>
      </c>
      <c r="Y197" s="53">
        <f t="shared" si="40"/>
        <v>92.144093930891529</v>
      </c>
      <c r="AA197" s="22">
        <f t="shared" si="41"/>
        <v>6.3302672339347055E-3</v>
      </c>
      <c r="AB197" s="26">
        <f t="shared" si="42"/>
        <v>2396.9999999999914</v>
      </c>
      <c r="AC197" s="53">
        <f t="shared" si="43"/>
        <v>80.895971059905477</v>
      </c>
      <c r="AE197" s="22">
        <f t="shared" si="34"/>
        <v>1.7707764302778983E-3</v>
      </c>
      <c r="AF197" s="26">
        <f t="shared" si="35"/>
        <v>2213.9999999999418</v>
      </c>
      <c r="AG197" s="53">
        <f t="shared" ref="AG197:AG209" si="46">H197/$H$200*100</f>
        <v>99.504824642938274</v>
      </c>
    </row>
    <row r="198" spans="1:33" x14ac:dyDescent="0.3">
      <c r="A198" s="40">
        <v>45717</v>
      </c>
      <c r="B198" s="45">
        <v>316.27699999999999</v>
      </c>
      <c r="C198" s="45">
        <v>14.476000000000001</v>
      </c>
      <c r="D198" s="45">
        <v>91.765000000000001</v>
      </c>
      <c r="E198" s="45">
        <v>1163.741</v>
      </c>
      <c r="F198" s="45">
        <v>75.882000000000005</v>
      </c>
      <c r="G198" s="45">
        <v>377.91</v>
      </c>
      <c r="H198" s="45">
        <v>1253.039</v>
      </c>
      <c r="I198" s="45">
        <v>280.613</v>
      </c>
      <c r="J198" s="45">
        <v>515.74</v>
      </c>
      <c r="K198" s="45">
        <v>150.99100000000001</v>
      </c>
      <c r="L198" s="45">
        <v>893.00599999999997</v>
      </c>
      <c r="M198" s="45">
        <v>422.09</v>
      </c>
      <c r="N198" s="45">
        <v>330.01900000000001</v>
      </c>
      <c r="O198" s="45">
        <v>368.61200000000002</v>
      </c>
      <c r="P198" s="45">
        <v>8.3000000000000004E-2</v>
      </c>
      <c r="Q198" s="46">
        <v>6254.2440000000006</v>
      </c>
      <c r="S198" s="49">
        <f t="shared" si="36"/>
        <v>45717</v>
      </c>
      <c r="T198" s="88">
        <f t="shared" si="37"/>
        <v>-1.7686233355811432E-3</v>
      </c>
      <c r="U198" s="26">
        <f t="shared" si="45"/>
        <v>-11081.000000000131</v>
      </c>
      <c r="W198" s="22">
        <f t="shared" si="38"/>
        <v>-2.3651950278611444E-3</v>
      </c>
      <c r="X198" s="26">
        <f t="shared" si="39"/>
        <v>-2759.0000000000146</v>
      </c>
      <c r="Y198" s="53">
        <f t="shared" si="40"/>
        <v>91.926155178079412</v>
      </c>
      <c r="AA198" s="22">
        <f t="shared" si="41"/>
        <v>-8.2507990993401226E-3</v>
      </c>
      <c r="AB198" s="26">
        <f t="shared" si="42"/>
        <v>-3143.9999999999486</v>
      </c>
      <c r="AC198" s="53">
        <f t="shared" si="43"/>
        <v>80.228514654744174</v>
      </c>
      <c r="AE198" s="22">
        <f t="shared" ref="AE198:AE209" si="47">H198/H197-1</f>
        <v>4.1995572101849454E-4</v>
      </c>
      <c r="AF198" s="26">
        <f t="shared" ref="AF198:AF209" si="48">(H198-H197)*1000</f>
        <v>526.0000000000673</v>
      </c>
      <c r="AG198" s="53">
        <f t="shared" si="46"/>
        <v>99.546612263316021</v>
      </c>
    </row>
    <row r="199" spans="1:33" x14ac:dyDescent="0.3">
      <c r="A199" s="40">
        <v>45748</v>
      </c>
      <c r="B199" s="45">
        <v>320.54599999999999</v>
      </c>
      <c r="C199" s="47">
        <v>14.481999999999999</v>
      </c>
      <c r="D199" s="47">
        <v>91.123999999999995</v>
      </c>
      <c r="E199" s="47">
        <v>1162.1569999999999</v>
      </c>
      <c r="F199" s="47">
        <v>75.992000000000004</v>
      </c>
      <c r="G199" s="47">
        <v>379.71100000000001</v>
      </c>
      <c r="H199" s="47">
        <v>1256.337</v>
      </c>
      <c r="I199" s="47">
        <v>280.28199999999998</v>
      </c>
      <c r="J199" s="47">
        <v>516.04700000000003</v>
      </c>
      <c r="K199" s="47">
        <v>150.78</v>
      </c>
      <c r="L199" s="47">
        <v>895.79399999999998</v>
      </c>
      <c r="M199" s="47">
        <v>422.98</v>
      </c>
      <c r="N199" s="47">
        <v>330.245</v>
      </c>
      <c r="O199" s="47">
        <v>368.161</v>
      </c>
      <c r="P199" s="47">
        <v>7.6999999999999999E-2</v>
      </c>
      <c r="Q199" s="106">
        <v>6264.7150000000001</v>
      </c>
      <c r="S199" s="49">
        <f t="shared" ref="S199:S209" si="49">A199</f>
        <v>45748</v>
      </c>
      <c r="T199" s="88">
        <f t="shared" ref="T199:T209" si="50">Q199/Q198-1</f>
        <v>1.6742231355220127E-3</v>
      </c>
      <c r="U199" s="26">
        <f t="shared" si="45"/>
        <v>10470.999999999549</v>
      </c>
      <c r="W199" s="22">
        <f t="shared" ref="W199:W209" si="51">E199/E198-1</f>
        <v>-1.3611276048537402E-3</v>
      </c>
      <c r="X199" s="26">
        <f t="shared" ref="X199:X204" si="52">(E199-E198)*1000</f>
        <v>-1584.00000000006</v>
      </c>
      <c r="Y199" s="53">
        <f t="shared" ref="Y199:Y209" si="53">E199/$E$61*100</f>
        <v>91.801031950658469</v>
      </c>
      <c r="AA199" s="22">
        <f t="shared" ref="AA199:AA209" si="54">G199/G198-1</f>
        <v>4.7656849514434718E-3</v>
      </c>
      <c r="AB199" s="26">
        <f t="shared" ref="AB199:AB209" si="55">(G199-G198)*1000</f>
        <v>1800.9999999999877</v>
      </c>
      <c r="AC199" s="53">
        <f t="shared" ref="AC199:AC209" si="56">G199/$G$176*100</f>
        <v>80.610858479710942</v>
      </c>
      <c r="AE199" s="22">
        <f t="shared" si="47"/>
        <v>2.6320010789768755E-3</v>
      </c>
      <c r="AF199" s="26">
        <f t="shared" si="48"/>
        <v>3298.0000000000018</v>
      </c>
      <c r="AG199" s="53">
        <f t="shared" si="46"/>
        <v>99.808619054201557</v>
      </c>
    </row>
    <row r="200" spans="1:33" x14ac:dyDescent="0.3">
      <c r="A200" s="40">
        <v>45778</v>
      </c>
      <c r="B200" s="45">
        <v>319.392</v>
      </c>
      <c r="C200" s="47">
        <v>14.68</v>
      </c>
      <c r="D200" s="47">
        <v>90.194999999999993</v>
      </c>
      <c r="E200" s="47">
        <v>1160.6880000000001</v>
      </c>
      <c r="F200" s="47">
        <v>76.277000000000001</v>
      </c>
      <c r="G200" s="47">
        <v>379.61700000000002</v>
      </c>
      <c r="H200" s="47">
        <v>1258.7460000000001</v>
      </c>
      <c r="I200" s="47">
        <v>281.017</v>
      </c>
      <c r="J200" s="47">
        <v>517.64099999999996</v>
      </c>
      <c r="K200" s="47">
        <v>150.41399999999999</v>
      </c>
      <c r="L200" s="47">
        <v>896.95100000000002</v>
      </c>
      <c r="M200" s="47">
        <v>423.392</v>
      </c>
      <c r="N200" s="47">
        <v>330.31700000000001</v>
      </c>
      <c r="O200" s="47">
        <v>367.55500000000001</v>
      </c>
      <c r="P200" s="47">
        <v>7.6999999999999999E-2</v>
      </c>
      <c r="Q200" s="106">
        <v>6266.9589999999998</v>
      </c>
      <c r="S200" s="49">
        <f t="shared" si="49"/>
        <v>45778</v>
      </c>
      <c r="T200" s="88">
        <f t="shared" si="50"/>
        <v>3.5819666177938636E-4</v>
      </c>
      <c r="U200" s="26">
        <f t="shared" si="45"/>
        <v>2243.9999999996871</v>
      </c>
      <c r="W200" s="22">
        <f t="shared" si="51"/>
        <v>-1.2640288704536262E-3</v>
      </c>
      <c r="X200" s="26">
        <f t="shared" si="52"/>
        <v>-1468.9999999998236</v>
      </c>
      <c r="Y200" s="53">
        <f t="shared" si="53"/>
        <v>91.684992795935401</v>
      </c>
      <c r="AA200" s="22">
        <f t="shared" si="54"/>
        <v>-2.4755669443343731E-4</v>
      </c>
      <c r="AB200" s="26">
        <f t="shared" si="55"/>
        <v>-93.999999999994088</v>
      </c>
      <c r="AC200" s="53">
        <f t="shared" si="56"/>
        <v>80.590902722050274</v>
      </c>
      <c r="AE200" s="22">
        <f t="shared" si="47"/>
        <v>1.9174791477127862E-3</v>
      </c>
      <c r="AF200" s="26">
        <f t="shared" si="48"/>
        <v>2409.0000000001055</v>
      </c>
      <c r="AG200" s="53">
        <f t="shared" si="46"/>
        <v>100</v>
      </c>
    </row>
    <row r="201" spans="1:33" x14ac:dyDescent="0.3">
      <c r="A201" s="40">
        <v>45809</v>
      </c>
      <c r="B201" s="45">
        <v>318.85399999999998</v>
      </c>
      <c r="C201" s="47">
        <v>14.013</v>
      </c>
      <c r="D201" s="47">
        <v>89.263999999999996</v>
      </c>
      <c r="E201" s="47">
        <v>1157.7840000000001</v>
      </c>
      <c r="F201" s="47">
        <v>76.266000000000005</v>
      </c>
      <c r="G201" s="47">
        <v>379.30700000000002</v>
      </c>
      <c r="H201" s="47">
        <v>1257.7370000000001</v>
      </c>
      <c r="I201" s="47">
        <v>280.57299999999998</v>
      </c>
      <c r="J201" s="47">
        <v>514.78</v>
      </c>
      <c r="K201" s="47">
        <v>149.80199999999999</v>
      </c>
      <c r="L201" s="47">
        <v>893.47</v>
      </c>
      <c r="M201" s="47">
        <v>423.94799999999998</v>
      </c>
      <c r="N201" s="47">
        <v>330.42200000000003</v>
      </c>
      <c r="O201" s="47">
        <v>366.10199999999998</v>
      </c>
      <c r="P201" s="47">
        <v>6.6000000000000003E-2</v>
      </c>
      <c r="Q201" s="106">
        <v>6252.3880000000008</v>
      </c>
      <c r="S201" s="49">
        <f t="shared" si="49"/>
        <v>45809</v>
      </c>
      <c r="T201" s="88">
        <f t="shared" si="50"/>
        <v>-2.3250511133069418E-3</v>
      </c>
      <c r="U201" s="26">
        <f t="shared" si="45"/>
        <v>-14570.999999999003</v>
      </c>
      <c r="W201" s="22">
        <f t="shared" si="51"/>
        <v>-2.5019643521773105E-3</v>
      </c>
      <c r="X201" s="26">
        <f t="shared" si="52"/>
        <v>-2903.9999999999964</v>
      </c>
      <c r="Y201" s="53">
        <f t="shared" si="53"/>
        <v>91.455600212330339</v>
      </c>
      <c r="AA201" s="22">
        <f t="shared" si="54"/>
        <v>-8.1661253315845617E-4</v>
      </c>
      <c r="AB201" s="26">
        <f t="shared" si="55"/>
        <v>-310.00000000000227</v>
      </c>
      <c r="AC201" s="53">
        <f t="shared" si="56"/>
        <v>80.525091180828895</v>
      </c>
      <c r="AE201" s="88">
        <f t="shared" si="47"/>
        <v>-8.0159142511671E-4</v>
      </c>
      <c r="AF201" s="26">
        <f t="shared" si="48"/>
        <v>-1009.0000000000146</v>
      </c>
      <c r="AG201" s="53">
        <f t="shared" si="46"/>
        <v>99.919840857488325</v>
      </c>
    </row>
    <row r="202" spans="1:33" x14ac:dyDescent="0.3">
      <c r="A202" s="40">
        <v>45839</v>
      </c>
      <c r="B202" s="45">
        <v>319.94099999999997</v>
      </c>
      <c r="C202" s="47">
        <v>13.193</v>
      </c>
      <c r="D202" s="47">
        <v>88.628</v>
      </c>
      <c r="E202" s="47">
        <v>1153.826</v>
      </c>
      <c r="F202" s="47">
        <v>76.260000000000005</v>
      </c>
      <c r="G202" s="47">
        <v>379.37400000000002</v>
      </c>
      <c r="H202" s="47">
        <v>1256.2760000000001</v>
      </c>
      <c r="I202" s="47">
        <v>279.60700000000003</v>
      </c>
      <c r="J202" s="47">
        <v>514.49900000000002</v>
      </c>
      <c r="K202" s="47">
        <v>149.72900000000001</v>
      </c>
      <c r="L202" s="47">
        <v>889.84500000000003</v>
      </c>
      <c r="M202" s="47">
        <v>423.85399999999998</v>
      </c>
      <c r="N202" s="47">
        <v>330.32600000000002</v>
      </c>
      <c r="O202" s="47">
        <v>364.85300000000001</v>
      </c>
      <c r="P202" s="47">
        <v>6.4000000000000001E-2</v>
      </c>
      <c r="Q202" s="106">
        <v>6240.2750000000015</v>
      </c>
      <c r="S202" s="49">
        <f t="shared" si="49"/>
        <v>45839</v>
      </c>
      <c r="T202" s="88">
        <f t="shared" si="50"/>
        <v>-1.9373397812162407E-3</v>
      </c>
      <c r="U202" s="26">
        <f t="shared" ref="U202:U209" si="57">(Q202-Q201)*1000</f>
        <v>-12112.999999999374</v>
      </c>
      <c r="W202" s="22">
        <f t="shared" si="51"/>
        <v>-3.4185996697139176E-3</v>
      </c>
      <c r="X202" s="26">
        <f t="shared" si="52"/>
        <v>-3958.0000000000837</v>
      </c>
      <c r="Y202" s="53">
        <f t="shared" si="53"/>
        <v>91.142950127650963</v>
      </c>
      <c r="AA202" s="22">
        <f t="shared" si="54"/>
        <v>1.7663792126176858E-4</v>
      </c>
      <c r="AB202" s="26">
        <f t="shared" si="55"/>
        <v>67.000000000007276</v>
      </c>
      <c r="AC202" s="53">
        <f t="shared" si="56"/>
        <v>80.539314965544477</v>
      </c>
      <c r="AE202" s="88">
        <f t="shared" si="47"/>
        <v>-1.161610098136534E-3</v>
      </c>
      <c r="AF202" s="26">
        <f t="shared" si="48"/>
        <v>-1461.0000000000127</v>
      </c>
      <c r="AG202" s="53">
        <f t="shared" si="46"/>
        <v>99.803772961344066</v>
      </c>
    </row>
    <row r="203" spans="1:33" x14ac:dyDescent="0.3">
      <c r="A203" s="40">
        <v>45870</v>
      </c>
      <c r="B203" s="45">
        <v>319.35300000000001</v>
      </c>
      <c r="C203" s="47">
        <v>14.382</v>
      </c>
      <c r="D203" s="47">
        <v>88.064999999999998</v>
      </c>
      <c r="E203" s="47">
        <v>1150.2550000000001</v>
      </c>
      <c r="F203" s="47">
        <v>76.369</v>
      </c>
      <c r="G203" s="47">
        <v>378.32</v>
      </c>
      <c r="H203" s="47">
        <v>1254.242</v>
      </c>
      <c r="I203" s="47">
        <v>279.61900000000003</v>
      </c>
      <c r="J203" s="47">
        <v>514.44799999999998</v>
      </c>
      <c r="K203" s="47">
        <v>148.89500000000001</v>
      </c>
      <c r="L203" s="47">
        <v>887.12400000000002</v>
      </c>
      <c r="M203" s="47">
        <v>423.53699999999998</v>
      </c>
      <c r="N203" s="47">
        <v>330.24799999999999</v>
      </c>
      <c r="O203" s="47">
        <v>364.51900000000001</v>
      </c>
      <c r="P203" s="47">
        <v>6.3E-2</v>
      </c>
      <c r="Q203" s="106">
        <v>6229.4390000000003</v>
      </c>
      <c r="S203" s="49">
        <f t="shared" si="49"/>
        <v>45870</v>
      </c>
      <c r="T203" s="88">
        <f t="shared" si="50"/>
        <v>-1.7364619347707277E-3</v>
      </c>
      <c r="U203" s="26">
        <f t="shared" si="57"/>
        <v>-10836.00000000115</v>
      </c>
      <c r="W203" s="22">
        <f t="shared" si="51"/>
        <v>-3.0949207246152577E-3</v>
      </c>
      <c r="X203" s="26">
        <f t="shared" si="52"/>
        <v>-3570.9999999999127</v>
      </c>
      <c r="Y203" s="53">
        <f t="shared" si="53"/>
        <v>90.860869922398336</v>
      </c>
      <c r="AA203" s="22">
        <f t="shared" si="54"/>
        <v>-2.7782610300126631E-3</v>
      </c>
      <c r="AB203" s="26">
        <f t="shared" si="55"/>
        <v>-1054.0000000000305</v>
      </c>
      <c r="AC203" s="53">
        <f t="shared" si="56"/>
        <v>80.315555725391789</v>
      </c>
      <c r="AE203" s="88">
        <f t="shared" si="47"/>
        <v>-1.6190709684815729E-3</v>
      </c>
      <c r="AF203" s="26">
        <f t="shared" si="48"/>
        <v>-2034.0000000001055</v>
      </c>
      <c r="AG203" s="53">
        <f t="shared" si="46"/>
        <v>99.642183569997428</v>
      </c>
    </row>
    <row r="204" spans="1:33" x14ac:dyDescent="0.3">
      <c r="A204" s="40">
        <v>45901</v>
      </c>
      <c r="B204" s="45">
        <v>318.63099999999997</v>
      </c>
      <c r="C204" s="47">
        <v>14.891999999999999</v>
      </c>
      <c r="D204" s="47">
        <v>87.603999999999999</v>
      </c>
      <c r="E204" s="47">
        <v>1145.3779999999999</v>
      </c>
      <c r="F204" s="47">
        <v>76.44</v>
      </c>
      <c r="G204" s="47">
        <v>377.01100000000002</v>
      </c>
      <c r="H204" s="47">
        <v>1250.3969999999999</v>
      </c>
      <c r="I204" s="47">
        <v>279.351</v>
      </c>
      <c r="J204" s="47">
        <v>513.31899999999996</v>
      </c>
      <c r="K204" s="47">
        <v>148.63800000000001</v>
      </c>
      <c r="L204" s="47">
        <v>886.68799999999999</v>
      </c>
      <c r="M204" s="47">
        <v>423.58199999999999</v>
      </c>
      <c r="N204" s="47">
        <v>330.17399999999998</v>
      </c>
      <c r="O204" s="47">
        <v>364.47300000000001</v>
      </c>
      <c r="P204" s="47">
        <v>7.0999999999999994E-2</v>
      </c>
      <c r="Q204" s="106">
        <v>6216.6490000000003</v>
      </c>
      <c r="S204" s="49">
        <f t="shared" si="49"/>
        <v>45901</v>
      </c>
      <c r="T204" s="88">
        <f t="shared" si="50"/>
        <v>-2.053154385170175E-3</v>
      </c>
      <c r="U204" s="26">
        <f t="shared" si="57"/>
        <v>-12789.999999999964</v>
      </c>
      <c r="W204" s="22">
        <f t="shared" si="51"/>
        <v>-4.2399294069577209E-3</v>
      </c>
      <c r="X204" s="26">
        <f t="shared" si="52"/>
        <v>-4877.0000000001801</v>
      </c>
      <c r="Y204" s="53">
        <f t="shared" si="53"/>
        <v>90.475626248072587</v>
      </c>
      <c r="AA204" s="22">
        <f t="shared" si="54"/>
        <v>-3.4600338337914538E-3</v>
      </c>
      <c r="AB204" s="26">
        <f t="shared" si="55"/>
        <v>-1308.9999999999691</v>
      </c>
      <c r="AC204" s="53">
        <f t="shared" si="56"/>
        <v>80.037661185202182</v>
      </c>
      <c r="AE204" s="88">
        <f t="shared" si="47"/>
        <v>-3.0655965914073713E-3</v>
      </c>
      <c r="AF204" s="26">
        <f t="shared" si="48"/>
        <v>-3845.0000000000273</v>
      </c>
      <c r="AG204" s="53">
        <f t="shared" si="46"/>
        <v>99.336720831684858</v>
      </c>
    </row>
    <row r="205" spans="1:33" x14ac:dyDescent="0.3">
      <c r="A205" s="40">
        <v>45931</v>
      </c>
      <c r="B205" s="45">
        <v>317.5</v>
      </c>
      <c r="C205" s="47">
        <v>15.074999999999999</v>
      </c>
      <c r="D205" s="47">
        <v>87.224000000000004</v>
      </c>
      <c r="E205" s="47">
        <v>1139.6469999999999</v>
      </c>
      <c r="F205" s="47">
        <v>76.433999999999997</v>
      </c>
      <c r="G205" s="47">
        <v>376.59</v>
      </c>
      <c r="H205" s="47">
        <v>1246.223</v>
      </c>
      <c r="I205" s="47">
        <v>278.85199999999998</v>
      </c>
      <c r="J205" s="47">
        <v>512.63099999999997</v>
      </c>
      <c r="K205" s="47">
        <v>148.22499999999999</v>
      </c>
      <c r="L205" s="47">
        <v>884.42899999999997</v>
      </c>
      <c r="M205" s="47">
        <v>423.767</v>
      </c>
      <c r="N205" s="47">
        <v>330.096</v>
      </c>
      <c r="O205" s="47">
        <v>364.14600000000002</v>
      </c>
      <c r="P205" s="47">
        <v>8.5999999999999993E-2</v>
      </c>
      <c r="Q205" s="106">
        <v>6200.9249999999993</v>
      </c>
      <c r="S205" s="49">
        <f t="shared" si="49"/>
        <v>45931</v>
      </c>
      <c r="T205" s="88">
        <f t="shared" si="50"/>
        <v>-2.5293369466413695E-3</v>
      </c>
      <c r="U205" s="26">
        <f t="shared" si="57"/>
        <v>-15724.00000000107</v>
      </c>
      <c r="W205" s="22">
        <f t="shared" si="51"/>
        <v>-5.003588335030007E-3</v>
      </c>
      <c r="X205" s="26">
        <f t="shared" ref="X205:X210" si="58">(E205-E204)*1000</f>
        <v>-5730.9999999999945</v>
      </c>
      <c r="Y205" s="53">
        <f t="shared" si="53"/>
        <v>90.0229234599732</v>
      </c>
      <c r="AA205" s="22">
        <f t="shared" si="54"/>
        <v>-1.1166782932063857E-3</v>
      </c>
      <c r="AB205" s="26">
        <f t="shared" si="55"/>
        <v>-421.00000000004911</v>
      </c>
      <c r="AC205" s="53">
        <f t="shared" si="56"/>
        <v>79.94828486631765</v>
      </c>
      <c r="AE205" s="88">
        <f t="shared" si="47"/>
        <v>-3.3381398067973134E-3</v>
      </c>
      <c r="AF205" s="26">
        <f t="shared" si="48"/>
        <v>-4173.9999999999782</v>
      </c>
      <c r="AG205" s="53">
        <f t="shared" si="46"/>
        <v>99.005120969599886</v>
      </c>
    </row>
    <row r="206" spans="1:33" x14ac:dyDescent="0.3">
      <c r="A206" s="40">
        <v>45962</v>
      </c>
      <c r="B206" s="45">
        <v>317.976</v>
      </c>
      <c r="C206" s="47">
        <v>15.045999999999999</v>
      </c>
      <c r="D206" s="47">
        <v>86.855999999999995</v>
      </c>
      <c r="E206" s="47">
        <v>1134.0740000000001</v>
      </c>
      <c r="F206" s="47">
        <v>76.423000000000002</v>
      </c>
      <c r="G206" s="47">
        <v>375.60700000000003</v>
      </c>
      <c r="H206" s="47">
        <v>1240.9690000000001</v>
      </c>
      <c r="I206" s="47">
        <v>279.05799999999999</v>
      </c>
      <c r="J206" s="47">
        <v>511.471</v>
      </c>
      <c r="K206" s="47">
        <v>147.84399999999999</v>
      </c>
      <c r="L206" s="47">
        <v>881.28899999999999</v>
      </c>
      <c r="M206" s="47">
        <v>423.34399999999999</v>
      </c>
      <c r="N206" s="47">
        <v>329.95400000000001</v>
      </c>
      <c r="O206" s="47">
        <v>364.45299999999997</v>
      </c>
      <c r="P206" s="47">
        <v>0.10199999999999999</v>
      </c>
      <c r="Q206" s="106">
        <v>6184.4659999999994</v>
      </c>
      <c r="S206" s="49">
        <f t="shared" si="49"/>
        <v>45962</v>
      </c>
      <c r="T206" s="88">
        <f t="shared" si="50"/>
        <v>-2.6542814176916396E-3</v>
      </c>
      <c r="U206" s="26">
        <f t="shared" si="57"/>
        <v>-16458.999999999833</v>
      </c>
      <c r="W206" s="22">
        <f t="shared" si="51"/>
        <v>-4.890110709719675E-3</v>
      </c>
      <c r="X206" s="26">
        <f t="shared" si="58"/>
        <v>-5572.9999999998654</v>
      </c>
      <c r="Y206" s="53">
        <f t="shared" si="53"/>
        <v>89.582701397841319</v>
      </c>
      <c r="AA206" s="22">
        <f t="shared" si="54"/>
        <v>-2.6102658063144046E-3</v>
      </c>
      <c r="AB206" s="26">
        <f t="shared" si="55"/>
        <v>-982.99999999994725</v>
      </c>
      <c r="AC206" s="53">
        <f t="shared" si="56"/>
        <v>79.739598592057618</v>
      </c>
      <c r="AE206" s="88">
        <f t="shared" si="47"/>
        <v>-4.2159388809225318E-3</v>
      </c>
      <c r="AF206" s="26">
        <f t="shared" si="48"/>
        <v>-5253.9999999999054</v>
      </c>
      <c r="AG206" s="53">
        <f t="shared" si="46"/>
        <v>98.587721430693719</v>
      </c>
    </row>
    <row r="207" spans="1:33" x14ac:dyDescent="0.3">
      <c r="A207" s="40">
        <v>45992</v>
      </c>
      <c r="B207" s="45">
        <v>317.40699999999998</v>
      </c>
      <c r="C207" s="47">
        <v>15.221</v>
      </c>
      <c r="D207" s="47">
        <v>86.192999999999998</v>
      </c>
      <c r="E207" s="47">
        <v>1129.01</v>
      </c>
      <c r="F207" s="47">
        <v>76.417000000000002</v>
      </c>
      <c r="G207" s="47">
        <v>377.23500000000001</v>
      </c>
      <c r="H207" s="47">
        <v>1237.3140000000001</v>
      </c>
      <c r="I207" s="47">
        <v>277.75700000000001</v>
      </c>
      <c r="J207" s="47">
        <v>510.79599999999999</v>
      </c>
      <c r="K207" s="47">
        <v>147.18700000000001</v>
      </c>
      <c r="L207" s="47">
        <v>879.51499999999999</v>
      </c>
      <c r="M207" s="47">
        <v>423.85500000000002</v>
      </c>
      <c r="N207" s="47">
        <v>330.04899999999998</v>
      </c>
      <c r="O207" s="47">
        <v>363.74400000000003</v>
      </c>
      <c r="P207" s="47">
        <v>0.115</v>
      </c>
      <c r="Q207" s="106">
        <v>6171.8149999999987</v>
      </c>
      <c r="S207" s="49">
        <f t="shared" si="49"/>
        <v>45992</v>
      </c>
      <c r="T207" s="88">
        <f t="shared" si="50"/>
        <v>-2.0456091116033415E-3</v>
      </c>
      <c r="U207" s="26">
        <f t="shared" si="57"/>
        <v>-12651.000000000749</v>
      </c>
      <c r="W207" s="22">
        <f t="shared" si="51"/>
        <v>-4.4653170780742935E-3</v>
      </c>
      <c r="X207" s="26">
        <f t="shared" si="58"/>
        <v>-5064.0000000000782</v>
      </c>
      <c r="Y207" s="53">
        <f t="shared" si="53"/>
        <v>89.182686231389496</v>
      </c>
      <c r="AA207" s="22">
        <f t="shared" si="54"/>
        <v>4.3343175180441396E-3</v>
      </c>
      <c r="AB207" s="26">
        <f t="shared" si="55"/>
        <v>1627.9999999999859</v>
      </c>
      <c r="AC207" s="53">
        <f t="shared" si="56"/>
        <v>80.08521533111697</v>
      </c>
      <c r="AE207" s="88">
        <f t="shared" si="47"/>
        <v>-2.9452790520955174E-3</v>
      </c>
      <c r="AF207" s="26">
        <f t="shared" si="48"/>
        <v>-3654.9999999999727</v>
      </c>
      <c r="AG207" s="53">
        <f t="shared" si="46"/>
        <v>98.297353079970065</v>
      </c>
    </row>
    <row r="208" spans="1:33" x14ac:dyDescent="0.3">
      <c r="A208" s="40">
        <v>46023</v>
      </c>
      <c r="B208" s="45">
        <v>317.23</v>
      </c>
      <c r="C208" s="47">
        <v>15.14</v>
      </c>
      <c r="D208" s="47">
        <v>85.995999999999995</v>
      </c>
      <c r="E208" s="47">
        <v>1124.5619999999999</v>
      </c>
      <c r="F208" s="47">
        <v>76.45</v>
      </c>
      <c r="G208" s="47">
        <v>380.72199999999998</v>
      </c>
      <c r="H208" s="47">
        <v>1233.307</v>
      </c>
      <c r="I208" s="47">
        <v>276.077</v>
      </c>
      <c r="J208" s="47">
        <v>510.47399999999999</v>
      </c>
      <c r="K208" s="47">
        <v>146.74299999999999</v>
      </c>
      <c r="L208" s="47">
        <v>875.20699999999999</v>
      </c>
      <c r="M208" s="47">
        <v>425.17599999999999</v>
      </c>
      <c r="N208" s="47">
        <v>329.98500000000001</v>
      </c>
      <c r="O208" s="47">
        <v>366.91699999999997</v>
      </c>
      <c r="P208" s="47">
        <v>0.13300000000000001</v>
      </c>
      <c r="Q208" s="106">
        <v>6164.1190000000015</v>
      </c>
      <c r="S208" s="49">
        <f t="shared" si="49"/>
        <v>46023</v>
      </c>
      <c r="T208" s="88">
        <f t="shared" si="50"/>
        <v>-1.2469589577778217E-3</v>
      </c>
      <c r="U208" s="26">
        <f t="shared" si="57"/>
        <v>-7695.9999999971842</v>
      </c>
      <c r="W208" s="22">
        <f t="shared" si="51"/>
        <v>-3.9397348119148967E-3</v>
      </c>
      <c r="X208" s="26">
        <f t="shared" si="58"/>
        <v>-4448.0000000000928</v>
      </c>
      <c r="Y208" s="53">
        <f t="shared" si="53"/>
        <v>88.831330097823596</v>
      </c>
      <c r="AA208" s="22">
        <f t="shared" si="54"/>
        <v>9.2435749599055761E-3</v>
      </c>
      <c r="AB208" s="26">
        <f t="shared" si="55"/>
        <v>3486.9999999999663</v>
      </c>
      <c r="AC208" s="53">
        <f t="shared" si="56"/>
        <v>80.825489022210334</v>
      </c>
      <c r="AE208" s="88">
        <f t="shared" si="47"/>
        <v>-3.2384665493156994E-3</v>
      </c>
      <c r="AF208" s="26">
        <f t="shared" si="48"/>
        <v>-4007.0000000000618</v>
      </c>
      <c r="AG208" s="53">
        <f t="shared" si="46"/>
        <v>97.979020390134295</v>
      </c>
    </row>
    <row r="209" spans="1:33" x14ac:dyDescent="0.3">
      <c r="A209" s="40">
        <v>46054</v>
      </c>
      <c r="B209" s="45">
        <v>318.01600000000002</v>
      </c>
      <c r="C209" s="47">
        <v>15.167</v>
      </c>
      <c r="D209" s="47">
        <v>86.16</v>
      </c>
      <c r="E209" s="47">
        <v>1120.2650000000001</v>
      </c>
      <c r="F209" s="47">
        <v>76.412999999999997</v>
      </c>
      <c r="G209" s="47">
        <v>380.84199999999998</v>
      </c>
      <c r="H209" s="47">
        <v>1230.902</v>
      </c>
      <c r="I209" s="47">
        <v>276.23</v>
      </c>
      <c r="J209" s="47">
        <v>509.46499999999997</v>
      </c>
      <c r="K209" s="47">
        <v>146.209</v>
      </c>
      <c r="L209" s="47">
        <v>879.19</v>
      </c>
      <c r="M209" s="47">
        <v>423.99700000000001</v>
      </c>
      <c r="N209" s="47">
        <v>329.85899999999998</v>
      </c>
      <c r="O209" s="47">
        <v>369.24099999999999</v>
      </c>
      <c r="P209" s="47">
        <v>0.13900000000000001</v>
      </c>
      <c r="Q209" s="106">
        <v>6162.0950000000012</v>
      </c>
      <c r="S209" s="49">
        <f t="shared" si="49"/>
        <v>46054</v>
      </c>
      <c r="T209" s="88">
        <f t="shared" si="50"/>
        <v>-3.2835186991042598E-4</v>
      </c>
      <c r="U209" s="26">
        <f t="shared" si="57"/>
        <v>-2024.000000000342</v>
      </c>
      <c r="W209" s="22">
        <f t="shared" si="51"/>
        <v>-3.8210432150470597E-3</v>
      </c>
      <c r="X209" s="26">
        <f t="shared" si="58"/>
        <v>-4296.9999999997981</v>
      </c>
      <c r="Y209" s="53">
        <f t="shared" si="53"/>
        <v>88.491901746669711</v>
      </c>
      <c r="AA209" s="22">
        <f t="shared" si="54"/>
        <v>3.1519061152240901E-4</v>
      </c>
      <c r="AB209" s="26">
        <f t="shared" si="55"/>
        <v>120.00000000000455</v>
      </c>
      <c r="AC209" s="53">
        <f t="shared" si="56"/>
        <v>80.85096445752184</v>
      </c>
      <c r="AE209" s="88">
        <f t="shared" si="47"/>
        <v>-1.9500416360240802E-3</v>
      </c>
      <c r="AF209" s="26">
        <f t="shared" si="48"/>
        <v>-2404.9999999999727</v>
      </c>
      <c r="AG209" s="53">
        <f t="shared" si="46"/>
        <v>97.787957220916695</v>
      </c>
    </row>
    <row r="210" spans="1:33" x14ac:dyDescent="0.3">
      <c r="A210" s="40">
        <v>46082</v>
      </c>
      <c r="B210" s="45">
        <v>319.34699999999998</v>
      </c>
      <c r="C210" s="47">
        <v>15.351000000000001</v>
      </c>
      <c r="D210" s="47">
        <v>86.528000000000006</v>
      </c>
      <c r="E210" s="47">
        <v>1115.2739999999999</v>
      </c>
      <c r="F210" s="47">
        <v>76.335999999999999</v>
      </c>
      <c r="G210" s="47">
        <v>380.75599999999997</v>
      </c>
      <c r="H210" s="47">
        <v>1227.6759999999999</v>
      </c>
      <c r="I210" s="47">
        <v>276.25400000000002</v>
      </c>
      <c r="J210" s="47">
        <v>507.72399999999999</v>
      </c>
      <c r="K210" s="47">
        <v>145.09899999999999</v>
      </c>
      <c r="L210" s="47">
        <v>878.84500000000003</v>
      </c>
      <c r="M210" s="47">
        <v>423.91199999999998</v>
      </c>
      <c r="N210" s="47">
        <v>329.90300000000002</v>
      </c>
      <c r="O210" s="47">
        <v>369.35399999999998</v>
      </c>
      <c r="P210" s="47">
        <v>0.16600000000000001</v>
      </c>
      <c r="Q210" s="106">
        <v>6152.5250000000015</v>
      </c>
      <c r="S210" s="49">
        <f>A210</f>
        <v>46082</v>
      </c>
      <c r="T210" s="88">
        <f>Q210/Q209-1</f>
        <v>-1.5530432425984175E-3</v>
      </c>
      <c r="U210" s="26">
        <f>(Q210-Q209)*1000</f>
        <v>-9569.999999999709</v>
      </c>
      <c r="W210" s="22">
        <f>E210/E209-1</f>
        <v>-4.4551958688348048E-3</v>
      </c>
      <c r="X210" s="26">
        <f t="shared" si="58"/>
        <v>-4991.0000000002128</v>
      </c>
      <c r="Y210" s="53">
        <f>E210/$E$61*100</f>
        <v>88.097652991582606</v>
      </c>
      <c r="AA210" s="22">
        <f>G210/G209-1</f>
        <v>-2.2581543002087034E-4</v>
      </c>
      <c r="AB210" s="26">
        <f>(G210-G209)*1000</f>
        <v>-86.000000000012733</v>
      </c>
      <c r="AC210" s="53">
        <f>G210/$G$176*100</f>
        <v>80.832707062215263</v>
      </c>
      <c r="AE210" s="88">
        <f>H210/H209-1</f>
        <v>-2.6208422766395012E-3</v>
      </c>
      <c r="AF210" s="26">
        <f>(H210-H209)*1000</f>
        <v>-3226.0000000001128</v>
      </c>
      <c r="AG210" s="53">
        <f>H210/$H$200*100</f>
        <v>97.531670408485894</v>
      </c>
    </row>
    <row r="211" spans="1:33" x14ac:dyDescent="0.3">
      <c r="A211" s="40">
        <v>46113</v>
      </c>
      <c r="B211" s="47">
        <v>320.38200000000001</v>
      </c>
      <c r="C211" s="47">
        <v>14.394</v>
      </c>
      <c r="D211" s="47">
        <v>86.4</v>
      </c>
      <c r="E211" s="47">
        <v>1111.5039999999999</v>
      </c>
      <c r="F211" s="47">
        <v>76.313999999999993</v>
      </c>
      <c r="G211" s="47">
        <v>380.18400000000003</v>
      </c>
      <c r="H211" s="47">
        <v>1223.806</v>
      </c>
      <c r="I211" s="47">
        <v>277.23500000000001</v>
      </c>
      <c r="J211" s="47">
        <v>505.42200000000003</v>
      </c>
      <c r="K211" s="47">
        <v>143.79</v>
      </c>
      <c r="L211" s="47">
        <v>878.06899999999996</v>
      </c>
      <c r="M211" s="47">
        <v>424.15199999999999</v>
      </c>
      <c r="N211" s="47">
        <v>329.81700000000001</v>
      </c>
      <c r="O211" s="47">
        <v>368.94900000000001</v>
      </c>
      <c r="P211" s="47">
        <v>0.16200000000000001</v>
      </c>
      <c r="Q211" s="106">
        <v>6140.58</v>
      </c>
      <c r="S211" s="49">
        <f>A211</f>
        <v>46113</v>
      </c>
      <c r="T211" s="88">
        <f>Q211/Q210-1</f>
        <v>-1.941479311339922E-3</v>
      </c>
      <c r="U211" s="26">
        <f>(Q211-Q210)*1000</f>
        <v>-11945.000000001528</v>
      </c>
      <c r="W211" s="22">
        <f>E211/E210-1</f>
        <v>-3.3803352360047834E-3</v>
      </c>
      <c r="X211" s="26">
        <f t="shared" ref="X211" si="59">(E211-E210)*1000</f>
        <v>-3769.9999999999818</v>
      </c>
      <c r="Y211" s="53">
        <f>E211/$E$61*100</f>
        <v>87.799853390965836</v>
      </c>
      <c r="AA211" s="22">
        <f>G211/G210-1</f>
        <v>-1.5022744224646445E-3</v>
      </c>
      <c r="AB211" s="26">
        <f>(G211-G210)*1000</f>
        <v>-571.99999999994589</v>
      </c>
      <c r="AC211" s="53">
        <f>G211/$G$176*100</f>
        <v>80.711274153897122</v>
      </c>
      <c r="AE211" s="88">
        <f>H211/H210-1</f>
        <v>-3.1522975117211915E-3</v>
      </c>
      <c r="AF211" s="26">
        <f>(H211-H210)*1000</f>
        <v>-3869.9999999998909</v>
      </c>
      <c r="AG211" s="53">
        <f>H211/$H$200*100</f>
        <v>97.224221566543207</v>
      </c>
    </row>
    <row r="212" spans="1:33" x14ac:dyDescent="0.3">
      <c r="A212" s="105">
        <v>46143</v>
      </c>
      <c r="B212" s="47">
        <v>322.63499999999999</v>
      </c>
      <c r="C212" s="47">
        <v>13.977</v>
      </c>
      <c r="D212" s="47">
        <v>86.691999999999993</v>
      </c>
      <c r="E212" s="47">
        <v>1108.347</v>
      </c>
      <c r="F212" s="47">
        <v>76.358000000000004</v>
      </c>
      <c r="G212" s="47">
        <v>378.19400000000002</v>
      </c>
      <c r="H212" s="47">
        <v>1219.5920000000001</v>
      </c>
      <c r="I212" s="47">
        <v>276.83800000000002</v>
      </c>
      <c r="J212" s="47">
        <v>503.726</v>
      </c>
      <c r="K212" s="47">
        <v>143.49</v>
      </c>
      <c r="L212" s="47">
        <v>878.77200000000005</v>
      </c>
      <c r="M212" s="47">
        <v>423.79</v>
      </c>
      <c r="N212" s="47">
        <v>330.06299999999999</v>
      </c>
      <c r="O212" s="47">
        <v>368.88900000000001</v>
      </c>
      <c r="P212" s="47">
        <v>0.158</v>
      </c>
      <c r="Q212" s="106">
        <v>6131.5210000000006</v>
      </c>
      <c r="S212" s="49">
        <f>A212</f>
        <v>46143</v>
      </c>
      <c r="T212" s="88">
        <f>Q212/Q211-1</f>
        <v>-1.4752678085782067E-3</v>
      </c>
      <c r="U212" s="26">
        <f>(Q212-Q211)*1000</f>
        <v>-9058.999999999287</v>
      </c>
      <c r="W212" s="22">
        <f>E212/E211-1</f>
        <v>-2.840295671450499E-3</v>
      </c>
      <c r="X212" s="26">
        <f t="shared" ref="X212" si="60">(E212-E211)*1000</f>
        <v>-3156.9999999999254</v>
      </c>
      <c r="Y212" s="53">
        <f>E212/$E$61*100</f>
        <v>87.550475847425488</v>
      </c>
      <c r="AA212" s="22">
        <f>G212/G211-1</f>
        <v>-5.2343075984260246E-3</v>
      </c>
      <c r="AB212" s="26">
        <f>(G212-G211)*1000</f>
        <v>-1990.0000000000091</v>
      </c>
      <c r="AC212" s="53">
        <f>G212/$G$176*100</f>
        <v>80.288806518314729</v>
      </c>
      <c r="AE212" s="88">
        <f>H212/H211-1</f>
        <v>-3.443356218224114E-3</v>
      </c>
      <c r="AF212" s="26">
        <f>(H212-H211)*1000</f>
        <v>-4213.9999999999418</v>
      </c>
      <c r="AG212" s="53">
        <f>H212/$H$200*100</f>
        <v>96.889443938650061</v>
      </c>
    </row>
    <row r="213" spans="1:33" x14ac:dyDescent="0.3">
      <c r="A213" s="105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106"/>
      <c r="S213" s="49"/>
      <c r="T213" s="88"/>
      <c r="U213" s="26"/>
      <c r="W213" s="22"/>
      <c r="X213" s="26"/>
      <c r="Y213" s="53"/>
      <c r="AA213" s="22"/>
      <c r="AB213" s="26"/>
      <c r="AC213" s="53"/>
      <c r="AE213" s="88"/>
      <c r="AF213" s="26"/>
      <c r="AG213" s="53"/>
    </row>
    <row r="214" spans="1:33" x14ac:dyDescent="0.3">
      <c r="A214" s="15" t="s">
        <v>18</v>
      </c>
      <c r="B214" s="103">
        <f>MAX(B4:B212)</f>
        <v>342.25599999999997</v>
      </c>
      <c r="C214" s="103">
        <f t="shared" ref="C214:Q214" si="61">MAX(C4:C212)</f>
        <v>15.377000000000001</v>
      </c>
      <c r="D214" s="103">
        <f t="shared" si="61"/>
        <v>95.893000000000001</v>
      </c>
      <c r="E214" s="103">
        <f t="shared" si="61"/>
        <v>1265.952</v>
      </c>
      <c r="F214" s="103">
        <f t="shared" si="61"/>
        <v>77.176000000000002</v>
      </c>
      <c r="G214" s="103">
        <f t="shared" si="61"/>
        <v>471.04199999999997</v>
      </c>
      <c r="H214" s="103">
        <f t="shared" si="61"/>
        <v>1258.7460000000001</v>
      </c>
      <c r="I214" s="103">
        <f t="shared" si="61"/>
        <v>288.83300000000003</v>
      </c>
      <c r="J214" s="103">
        <f t="shared" si="61"/>
        <v>561.95799999999997</v>
      </c>
      <c r="K214" s="103">
        <f t="shared" si="61"/>
        <v>163.65799999999999</v>
      </c>
      <c r="L214" s="103">
        <f t="shared" si="61"/>
        <v>906.55799999999999</v>
      </c>
      <c r="M214" s="103">
        <f t="shared" si="61"/>
        <v>425.17599999999999</v>
      </c>
      <c r="N214" s="103">
        <f t="shared" si="61"/>
        <v>334.53500000000003</v>
      </c>
      <c r="O214" s="103">
        <f t="shared" si="61"/>
        <v>387.91</v>
      </c>
      <c r="P214" s="103">
        <f t="shared" si="61"/>
        <v>1.5109999999999999</v>
      </c>
      <c r="Q214" s="103">
        <f t="shared" si="61"/>
        <v>6408.1359999999986</v>
      </c>
    </row>
    <row r="215" spans="1:33" x14ac:dyDescent="0.3">
      <c r="E215" s="103"/>
      <c r="G215" s="132">
        <f>G214-G208</f>
        <v>90.32</v>
      </c>
      <c r="H215" s="103"/>
    </row>
  </sheetData>
  <mergeCells count="4">
    <mergeCell ref="T2:U2"/>
    <mergeCell ref="W2:Y2"/>
    <mergeCell ref="AA2:AC2"/>
    <mergeCell ref="AE2:AG2"/>
  </mergeCells>
  <conditionalFormatting sqref="B4:B213">
    <cfRule type="cellIs" dxfId="21" priority="13" operator="equal">
      <formula>$B$206</formula>
    </cfRule>
  </conditionalFormatting>
  <conditionalFormatting sqref="C4:C213">
    <cfRule type="cellIs" dxfId="20" priority="14" operator="equal">
      <formula>$C$206</formula>
    </cfRule>
  </conditionalFormatting>
  <conditionalFormatting sqref="D4:D213">
    <cfRule type="cellIs" dxfId="19" priority="15" operator="equal">
      <formula>$D$206</formula>
    </cfRule>
  </conditionalFormatting>
  <conditionalFormatting sqref="E4:E213">
    <cfRule type="cellIs" dxfId="18" priority="16" operator="equal">
      <formula>$E$206</formula>
    </cfRule>
  </conditionalFormatting>
  <conditionalFormatting sqref="F4:F213">
    <cfRule type="cellIs" dxfId="17" priority="17" operator="equal">
      <formula>$F$206</formula>
    </cfRule>
  </conditionalFormatting>
  <conditionalFormatting sqref="G4:G213">
    <cfRule type="cellIs" dxfId="16" priority="18" operator="equal">
      <formula>$G$206</formula>
    </cfRule>
  </conditionalFormatting>
  <conditionalFormatting sqref="H4:H213">
    <cfRule type="cellIs" dxfId="15" priority="19" operator="equal">
      <formula>$H$206</formula>
    </cfRule>
  </conditionalFormatting>
  <conditionalFormatting sqref="Q4">
    <cfRule type="cellIs" dxfId="14" priority="21" operator="equal">
      <formula>Q206</formula>
    </cfRule>
  </conditionalFormatting>
  <conditionalFormatting sqref="Q5">
    <cfRule type="cellIs" dxfId="13" priority="22" operator="equal">
      <formula>#REF!</formula>
    </cfRule>
  </conditionalFormatting>
  <conditionalFormatting sqref="Q6">
    <cfRule type="cellIs" dxfId="12" priority="2" operator="equal">
      <formula>Q210</formula>
    </cfRule>
  </conditionalFormatting>
  <conditionalFormatting sqref="Q7:Q212">
    <cfRule type="cellIs" dxfId="11" priority="33" operator="equal">
      <formula>Q214</formula>
    </cfRule>
  </conditionalFormatting>
  <conditionalFormatting sqref="Q213">
    <cfRule type="cellIs" dxfId="10" priority="31" operator="equal">
      <formula>Q419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Button 1">
              <controlPr defaultSize="0" print="0" autoFill="0" autoPict="0" macro="[0]!ActualizarA22">
                <anchor moveWithCells="1" sizeWithCells="1">
                  <from>
                    <xdr:col>34</xdr:col>
                    <xdr:colOff>0</xdr:colOff>
                    <xdr:row>1</xdr:row>
                    <xdr:rowOff>0</xdr:rowOff>
                  </from>
                  <to>
                    <xdr:col>35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Button 2">
              <controlPr defaultSize="0" print="0" autoFill="0" autoPict="0" macro="[0]!ActualizarA22">
                <anchor moveWithCells="1" sizeWithCells="1">
                  <from>
                    <xdr:col>34</xdr:col>
                    <xdr:colOff>0</xdr:colOff>
                    <xdr:row>1</xdr:row>
                    <xdr:rowOff>0</xdr:rowOff>
                  </from>
                  <to>
                    <xdr:col>35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5" name="Button 3">
              <controlPr defaultSize="0" print="0" autoFill="0" autoPict="0" macro="[0]!ActualizarA22">
                <anchor moveWithCells="1" sizeWithCells="1">
                  <from>
                    <xdr:col>34</xdr:col>
                    <xdr:colOff>0</xdr:colOff>
                    <xdr:row>1</xdr:row>
                    <xdr:rowOff>0</xdr:rowOff>
                  </from>
                  <to>
                    <xdr:col>35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3"/>
  <dimension ref="A1:AQ129"/>
  <sheetViews>
    <sheetView zoomScale="97" zoomScaleNormal="90" workbookViewId="0">
      <pane ySplit="1" topLeftCell="A61" activePane="bottomLeft" state="frozen"/>
      <selection pane="bottomLeft" activeCell="C66" sqref="C66:C84"/>
    </sheetView>
  </sheetViews>
  <sheetFormatPr baseColWidth="10" defaultColWidth="11.5703125" defaultRowHeight="17" x14ac:dyDescent="0.3"/>
  <cols>
    <col min="1" max="1" width="18.7109375" style="55" customWidth="1"/>
    <col min="2" max="3" width="8" style="56" customWidth="1"/>
    <col min="4" max="4" width="10" style="56" customWidth="1"/>
    <col min="5" max="5" width="8" style="56" customWidth="1"/>
    <col min="6" max="6" width="9.28515625" style="56" customWidth="1"/>
    <col min="7" max="7" width="10.7109375" style="56" customWidth="1"/>
    <col min="8" max="15" width="8" style="56" customWidth="1"/>
    <col min="16" max="16" width="8.42578125" style="56" customWidth="1"/>
    <col min="17" max="17" width="11.5703125" style="55"/>
    <col min="18" max="18" width="31.28515625" style="55" customWidth="1"/>
    <col min="19" max="16384" width="11.5703125" style="55"/>
  </cols>
  <sheetData>
    <row r="1" spans="1:43" ht="135" thickBot="1" x14ac:dyDescent="0.35">
      <c r="A1" s="36"/>
      <c r="B1" s="36" t="s">
        <v>48</v>
      </c>
      <c r="C1" s="36" t="s">
        <v>49</v>
      </c>
      <c r="D1" s="36" t="s">
        <v>45</v>
      </c>
      <c r="E1" s="36" t="s">
        <v>50</v>
      </c>
      <c r="F1" s="36" t="s">
        <v>34</v>
      </c>
      <c r="G1" s="36" t="s">
        <v>51</v>
      </c>
      <c r="H1" s="36" t="s">
        <v>36</v>
      </c>
      <c r="I1" s="36" t="s">
        <v>52</v>
      </c>
      <c r="J1" s="36" t="s">
        <v>53</v>
      </c>
      <c r="K1" s="36" t="s">
        <v>54</v>
      </c>
      <c r="L1" s="36" t="s">
        <v>55</v>
      </c>
      <c r="M1" s="36" t="s">
        <v>56</v>
      </c>
      <c r="N1" s="36" t="s">
        <v>57</v>
      </c>
      <c r="O1" s="36" t="s">
        <v>43</v>
      </c>
      <c r="P1" s="36" t="s">
        <v>58</v>
      </c>
    </row>
    <row r="2" spans="1:43" x14ac:dyDescent="0.3">
      <c r="A2" s="40">
        <v>45017</v>
      </c>
      <c r="B2" s="45">
        <f>'A.2.2'!B175+'A.2.2'!C175</f>
        <v>324.45499999999998</v>
      </c>
      <c r="C2" s="45">
        <f>'A.2.2'!D175</f>
        <v>91.313000000000002</v>
      </c>
      <c r="D2" s="45">
        <f>'A.2.2'!E175</f>
        <v>1187.7950000000001</v>
      </c>
      <c r="E2" s="45">
        <f>'A.2.2'!F175</f>
        <v>75.876999999999995</v>
      </c>
      <c r="F2" s="45">
        <f>'A.2.2'!G175</f>
        <v>470.21</v>
      </c>
      <c r="G2" s="45">
        <f>'A.2.2'!H175</f>
        <v>1207.74</v>
      </c>
      <c r="H2" s="45">
        <f>'A.2.2'!I175</f>
        <v>282.81299999999999</v>
      </c>
      <c r="I2" s="45">
        <f>'A.2.2'!J175</f>
        <v>528.42100000000005</v>
      </c>
      <c r="J2" s="45">
        <f>'A.2.2'!K175</f>
        <v>152.857</v>
      </c>
      <c r="K2" s="45">
        <f>'A.2.2'!L175</f>
        <v>899.94</v>
      </c>
      <c r="L2" s="45">
        <f>'A.2.2'!M175</f>
        <v>420.33199999999999</v>
      </c>
      <c r="M2" s="45">
        <f>'A.2.2'!N175</f>
        <v>332.541</v>
      </c>
      <c r="N2" s="45">
        <f>'A.2.2'!O175</f>
        <v>376.83199999999999</v>
      </c>
      <c r="O2" s="45">
        <f>'A.2.2'!P175</f>
        <v>0.186</v>
      </c>
      <c r="P2" s="46">
        <f>SUM(B2:O2)</f>
        <v>6351.3120000000008</v>
      </c>
      <c r="R2" s="150"/>
      <c r="S2" s="138">
        <v>45778</v>
      </c>
      <c r="T2" s="138">
        <v>45809</v>
      </c>
      <c r="U2" s="138">
        <v>45839</v>
      </c>
      <c r="V2" s="138">
        <v>45870</v>
      </c>
      <c r="W2" s="138">
        <v>45901</v>
      </c>
      <c r="X2" s="138">
        <v>45931</v>
      </c>
      <c r="Y2" s="138">
        <v>45962</v>
      </c>
      <c r="Z2" s="138">
        <v>45992</v>
      </c>
      <c r="AA2" s="138">
        <v>46023</v>
      </c>
      <c r="AB2" s="138">
        <v>46054</v>
      </c>
      <c r="AC2" s="138">
        <v>46082</v>
      </c>
      <c r="AD2" s="138">
        <v>46113</v>
      </c>
      <c r="AE2" s="155">
        <v>46143</v>
      </c>
    </row>
    <row r="3" spans="1:43" x14ac:dyDescent="0.3">
      <c r="A3" s="40">
        <v>45047</v>
      </c>
      <c r="B3" s="45">
        <f>'A.2.2'!B176+'A.2.2'!C176</f>
        <v>325.45100000000002</v>
      </c>
      <c r="C3" s="45">
        <f>'A.2.2'!D176</f>
        <v>91.962999999999994</v>
      </c>
      <c r="D3" s="45">
        <f>'A.2.2'!E176</f>
        <v>1190.376</v>
      </c>
      <c r="E3" s="45">
        <f>'A.2.2'!F176</f>
        <v>75.89</v>
      </c>
      <c r="F3" s="45">
        <f>'A.2.2'!G176</f>
        <v>471.04199999999997</v>
      </c>
      <c r="G3" s="45">
        <f>'A.2.2'!H176</f>
        <v>1212.0070000000001</v>
      </c>
      <c r="H3" s="45">
        <f>'A.2.2'!I176</f>
        <v>285.101</v>
      </c>
      <c r="I3" s="45">
        <f>'A.2.2'!J176</f>
        <v>529.12800000000004</v>
      </c>
      <c r="J3" s="45">
        <f>'A.2.2'!K176</f>
        <v>152.761</v>
      </c>
      <c r="K3" s="45">
        <f>'A.2.2'!L176</f>
        <v>901.72299999999996</v>
      </c>
      <c r="L3" s="45">
        <f>'A.2.2'!M176</f>
        <v>421.85399999999998</v>
      </c>
      <c r="M3" s="45">
        <f>'A.2.2'!N176</f>
        <v>332.80500000000001</v>
      </c>
      <c r="N3" s="45">
        <f>'A.2.2'!O176</f>
        <v>378.19499999999999</v>
      </c>
      <c r="O3" s="45">
        <f>'A.2.2'!P176</f>
        <v>0.189</v>
      </c>
      <c r="P3" s="46">
        <f>SUM(B3:O3)</f>
        <v>6368.4850000000015</v>
      </c>
      <c r="R3" s="135" t="s">
        <v>48</v>
      </c>
      <c r="S3" s="133">
        <f>+HLOOKUP($R3,$A$51:$P$138,MATCH(S$2,$A$51:$A$138,0),FALSE)</f>
        <v>-2.853492842389338E-3</v>
      </c>
      <c r="T3" s="133">
        <f>+HLOOKUP($R3,$A$51:$P$138,MATCH(T$2,$A$51:$A$138,0),FALSE)</f>
        <v>-3.6070068727700466E-3</v>
      </c>
      <c r="U3" s="133">
        <f>+HLOOKUP($R3,$A$51:$P$138,MATCH(U$2,$A$51:$A$138,0),FALSE)</f>
        <v>8.0212216891428767E-4</v>
      </c>
      <c r="V3" s="133">
        <f>+HLOOKUP($R3,$A$51:$P$138,MATCH(V$2,$A$51:$A$138,0),FALSE)</f>
        <v>1.8040788391460172E-3</v>
      </c>
      <c r="W3" s="133">
        <f>+HLOOKUP($R3,$A$51:$P$138,MATCH(W$2,$A$51:$A$138,0),FALSE)</f>
        <v>-6.3523454237657262E-4</v>
      </c>
      <c r="X3" s="133">
        <f>+HLOOKUP($R3,$A$51:$P$138,MATCH(X$2,$A$51:$A$138,0),FALSE)</f>
        <v>-2.8423826842526312E-3</v>
      </c>
      <c r="Y3" s="133">
        <f>+HLOOKUP($R3,$A$51:$P$138,MATCH(Y$2,$A$51:$A$138,0),FALSE)</f>
        <v>1.3440577313388324E-3</v>
      </c>
      <c r="Z3" s="133">
        <f>+HLOOKUP($R3,$A$51:$P$138,MATCH(Z$2,$A$51:$A$138,0),FALSE)</f>
        <v>-1.1831050200887816E-3</v>
      </c>
      <c r="AA3" s="133">
        <f>+HLOOKUP($R3,$A$51:$P$138,MATCH(AA$2,$A$51:$A$138,0),FALSE)</f>
        <v>-7.7564125689955077E-4</v>
      </c>
      <c r="AB3" s="133">
        <f>+HLOOKUP($R3,$A$51:$P$138,MATCH(AB$2,$A$51:$A$138,0),FALSE)</f>
        <v>2.4460691398140444E-3</v>
      </c>
      <c r="AC3" s="133">
        <f>+HLOOKUP($R3,$A$51:$P$138,MATCH(AC$2,$A$51:$A$138,0),FALSE)</f>
        <v>4.5470507198746013E-3</v>
      </c>
      <c r="AD3" s="133">
        <f>+HLOOKUP($R3,$A$51:$P$138,MATCH(AD$2,$A$51:$A$138,0),FALSE)</f>
        <v>2.3304591004436048E-4</v>
      </c>
      <c r="AE3" s="156">
        <f>+HLOOKUP($R3,$A$51:$P$138,MATCH(AE$2,$A$51:$A$138,0),FALSE)</f>
        <v>5.4842641049537288E-3</v>
      </c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x14ac:dyDescent="0.3">
      <c r="A4" s="40">
        <v>45078</v>
      </c>
      <c r="B4" s="45">
        <f>'A.2.2'!B177+'A.2.2'!C177</f>
        <v>327.70299999999997</v>
      </c>
      <c r="C4" s="45">
        <f>'A.2.2'!D177</f>
        <v>92.558000000000007</v>
      </c>
      <c r="D4" s="45">
        <f>'A.2.2'!E177</f>
        <v>1193.029</v>
      </c>
      <c r="E4" s="45">
        <f>'A.2.2'!F177</f>
        <v>75.908000000000001</v>
      </c>
      <c r="F4" s="45">
        <f>'A.2.2'!G177</f>
        <v>470.738</v>
      </c>
      <c r="G4" s="45">
        <f>'A.2.2'!H177</f>
        <v>1218.376</v>
      </c>
      <c r="H4" s="45">
        <f>'A.2.2'!I177</f>
        <v>287.72199999999998</v>
      </c>
      <c r="I4" s="45">
        <f>'A.2.2'!J177</f>
        <v>530.24699999999996</v>
      </c>
      <c r="J4" s="45">
        <f>'A.2.2'!K177</f>
        <v>152.63</v>
      </c>
      <c r="K4" s="45">
        <f>'A.2.2'!L177</f>
        <v>902.81</v>
      </c>
      <c r="L4" s="45">
        <f>'A.2.2'!M177</f>
        <v>422.48899999999998</v>
      </c>
      <c r="M4" s="45">
        <f>'A.2.2'!N177</f>
        <v>333.024</v>
      </c>
      <c r="N4" s="45">
        <f>'A.2.2'!O177</f>
        <v>378.64499999999998</v>
      </c>
      <c r="O4" s="45">
        <f>'A.2.2'!P177</f>
        <v>0.183</v>
      </c>
      <c r="P4" s="46">
        <f t="shared" ref="P4:P11" si="0">SUM(B4:O4)</f>
        <v>6386.061999999999</v>
      </c>
      <c r="R4" s="135" t="s">
        <v>49</v>
      </c>
      <c r="S4" s="133">
        <f>+HLOOKUP($R4,$A$51:$P$138,MATCH(S$2,$A$51:$A$138,0),FALSE)</f>
        <v>-1.0194899258153756E-2</v>
      </c>
      <c r="T4" s="133">
        <f>+HLOOKUP($R4,$A$51:$P$138,MATCH(T$2,$A$51:$A$138,0),FALSE)</f>
        <v>-1.0322079937912232E-2</v>
      </c>
      <c r="U4" s="133">
        <f>+HLOOKUP($R4,$A$51:$P$138,MATCH(U$2,$A$51:$A$138,0),FALSE)</f>
        <v>-7.1249327836528931E-3</v>
      </c>
      <c r="V4" s="133">
        <f>+HLOOKUP($R4,$A$51:$P$138,MATCH(V$2,$A$51:$A$138,0),FALSE)</f>
        <v>-6.3523942772035769E-3</v>
      </c>
      <c r="W4" s="133">
        <f>+HLOOKUP($R4,$A$51:$P$138,MATCH(W$2,$A$51:$A$138,0),FALSE)</f>
        <v>-5.2347697723272857E-3</v>
      </c>
      <c r="X4" s="133">
        <f>+HLOOKUP($R4,$A$51:$P$138,MATCH(X$2,$A$51:$A$138,0),FALSE)</f>
        <v>-4.3377014748184894E-3</v>
      </c>
      <c r="Y4" s="133">
        <f>+HLOOKUP($R4,$A$51:$P$138,MATCH(Y$2,$A$51:$A$138,0),FALSE)</f>
        <v>-4.2190222874439742E-3</v>
      </c>
      <c r="Z4" s="133">
        <f>+HLOOKUP($R4,$A$51:$P$138,MATCH(Z$2,$A$51:$A$138,0),FALSE)</f>
        <v>-7.6333241226858028E-3</v>
      </c>
      <c r="AA4" s="133">
        <f>+HLOOKUP($R4,$A$51:$P$138,MATCH(AA$2,$A$51:$A$138,0),FALSE)</f>
        <v>-2.2855684336314797E-3</v>
      </c>
      <c r="AB4" s="133">
        <f>+HLOOKUP($R4,$A$51:$P$138,MATCH(AB$2,$A$51:$A$138,0),FALSE)</f>
        <v>1.9070654449044877E-3</v>
      </c>
      <c r="AC4" s="133">
        <f>+HLOOKUP($R4,$A$51:$P$138,MATCH(AC$2,$A$51:$A$138,0),FALSE)</f>
        <v>4.2711234911794183E-3</v>
      </c>
      <c r="AD4" s="133">
        <f>+HLOOKUP($R4,$A$51:$P$138,MATCH(AD$2,$A$51:$A$138,0),FALSE)</f>
        <v>-1.4792899408283544E-3</v>
      </c>
      <c r="AE4" s="156">
        <f>+HLOOKUP($R4,$A$51:$P$138,MATCH(AE$2,$A$51:$A$138,0),FALSE)</f>
        <v>3.3796296296295658E-3</v>
      </c>
      <c r="AH4" s="61"/>
      <c r="AI4" s="61"/>
      <c r="AJ4" s="61"/>
      <c r="AK4" s="61"/>
      <c r="AL4" s="61"/>
      <c r="AM4" s="61"/>
      <c r="AN4" s="61"/>
      <c r="AO4" s="61"/>
      <c r="AP4" s="61"/>
    </row>
    <row r="5" spans="1:43" x14ac:dyDescent="0.3">
      <c r="A5" s="40">
        <v>45108</v>
      </c>
      <c r="B5" s="45">
        <f>'A.2.2'!B178+'A.2.2'!C178</f>
        <v>330.06400000000002</v>
      </c>
      <c r="C5" s="45">
        <f>'A.2.2'!D178</f>
        <v>93.231999999999999</v>
      </c>
      <c r="D5" s="45">
        <f>'A.2.2'!E178</f>
        <v>1196.922</v>
      </c>
      <c r="E5" s="45">
        <f>'A.2.2'!F178</f>
        <v>76.088999999999999</v>
      </c>
      <c r="F5" s="45">
        <f>'A.2.2'!G178</f>
        <v>468.52300000000002</v>
      </c>
      <c r="G5" s="45">
        <f>'A.2.2'!H178</f>
        <v>1224.4659999999999</v>
      </c>
      <c r="H5" s="45">
        <f>'A.2.2'!I178</f>
        <v>288.83300000000003</v>
      </c>
      <c r="I5" s="45">
        <f>'A.2.2'!J178</f>
        <v>530.62300000000005</v>
      </c>
      <c r="J5" s="45">
        <f>'A.2.2'!K178</f>
        <v>152.727</v>
      </c>
      <c r="K5" s="45">
        <f>'A.2.2'!L178</f>
        <v>906.55799999999999</v>
      </c>
      <c r="L5" s="45">
        <f>'A.2.2'!M178</f>
        <v>423.05900000000003</v>
      </c>
      <c r="M5" s="45">
        <f>'A.2.2'!N178</f>
        <v>333.35899999999998</v>
      </c>
      <c r="N5" s="45">
        <f>'A.2.2'!O178</f>
        <v>380.18200000000002</v>
      </c>
      <c r="O5" s="45">
        <f>'A.2.2'!P178</f>
        <v>0.17599999999999999</v>
      </c>
      <c r="P5" s="46">
        <f t="shared" si="0"/>
        <v>6404.813000000001</v>
      </c>
      <c r="R5" s="135" t="s">
        <v>45</v>
      </c>
      <c r="S5" s="133">
        <f>+HLOOKUP($R5,$A$51:$P$138,MATCH(S$2,$A$51:$A$138,0),FALSE)</f>
        <v>-1.2640288704536262E-3</v>
      </c>
      <c r="T5" s="133">
        <f>+HLOOKUP($R5,$A$51:$P$138,MATCH(T$2,$A$51:$A$138,0),FALSE)</f>
        <v>-2.5019643521773105E-3</v>
      </c>
      <c r="U5" s="133">
        <f>+HLOOKUP($R5,$A$51:$P$138,MATCH(U$2,$A$51:$A$138,0),FALSE)</f>
        <v>-3.4185996697139176E-3</v>
      </c>
      <c r="V5" s="133">
        <f>+HLOOKUP($R5,$A$51:$P$138,MATCH(V$2,$A$51:$A$138,0),FALSE)</f>
        <v>-3.0949207246152577E-3</v>
      </c>
      <c r="W5" s="133">
        <f>+HLOOKUP($R5,$A$51:$P$138,MATCH(W$2,$A$51:$A$138,0),FALSE)</f>
        <v>-4.2399294069577209E-3</v>
      </c>
      <c r="X5" s="133">
        <f>+HLOOKUP($R5,$A$51:$P$138,MATCH(X$2,$A$51:$A$138,0),FALSE)</f>
        <v>-5.003588335030007E-3</v>
      </c>
      <c r="Y5" s="133">
        <f>+HLOOKUP($R5,$A$51:$P$138,MATCH(Y$2,$A$51:$A$138,0),FALSE)</f>
        <v>-4.890110709719675E-3</v>
      </c>
      <c r="Z5" s="133">
        <f>+HLOOKUP($R5,$A$51:$P$138,MATCH(Z$2,$A$51:$A$138,0),FALSE)</f>
        <v>-4.4653170780742935E-3</v>
      </c>
      <c r="AA5" s="133">
        <f>+HLOOKUP($R5,$A$51:$P$138,MATCH(AA$2,$A$51:$A$138,0),FALSE)</f>
        <v>-3.9397348119148967E-3</v>
      </c>
      <c r="AB5" s="133">
        <f>+HLOOKUP($R5,$A$51:$P$138,MATCH(AB$2,$A$51:$A$138,0),FALSE)</f>
        <v>-3.8210432150470597E-3</v>
      </c>
      <c r="AC5" s="133">
        <f>+HLOOKUP($R5,$A$51:$P$138,MATCH(AC$2,$A$51:$A$138,0),FALSE)</f>
        <v>-4.4551958688348048E-3</v>
      </c>
      <c r="AD5" s="133">
        <f>+HLOOKUP($R5,$A$51:$P$138,MATCH(AD$2,$A$51:$A$138,0),FALSE)</f>
        <v>-3.3803352360047834E-3</v>
      </c>
      <c r="AE5" s="156">
        <f>+HLOOKUP($R5,$A$51:$P$138,MATCH(AE$2,$A$51:$A$138,0),FALSE)</f>
        <v>-2.840295671450499E-3</v>
      </c>
      <c r="AH5" s="61"/>
      <c r="AI5" s="61"/>
      <c r="AJ5" s="61"/>
      <c r="AK5" s="61"/>
      <c r="AL5" s="61"/>
      <c r="AM5" s="61"/>
      <c r="AN5" s="61"/>
      <c r="AO5" s="61"/>
      <c r="AP5" s="61"/>
    </row>
    <row r="6" spans="1:43" x14ac:dyDescent="0.3">
      <c r="A6" s="40">
        <v>45139</v>
      </c>
      <c r="B6" s="45">
        <f>'A.2.2'!B179+'A.2.2'!C179</f>
        <v>330.03700000000003</v>
      </c>
      <c r="C6" s="45">
        <f>'A.2.2'!D179</f>
        <v>93.727999999999994</v>
      </c>
      <c r="D6" s="45">
        <f>'A.2.2'!E179</f>
        <v>1198.0139999999999</v>
      </c>
      <c r="E6" s="45">
        <f>'A.2.2'!F179</f>
        <v>76.278999999999996</v>
      </c>
      <c r="F6" s="45">
        <f>'A.2.2'!G179</f>
        <v>465.01</v>
      </c>
      <c r="G6" s="45">
        <f>'A.2.2'!H179</f>
        <v>1228.6559999999999</v>
      </c>
      <c r="H6" s="45">
        <f>'A.2.2'!I179</f>
        <v>288.80700000000002</v>
      </c>
      <c r="I6" s="45">
        <f>'A.2.2'!J179</f>
        <v>530.93499999999995</v>
      </c>
      <c r="J6" s="45">
        <f>'A.2.2'!K179</f>
        <v>152.476</v>
      </c>
      <c r="K6" s="45">
        <f>'A.2.2'!L179</f>
        <v>906.26199999999994</v>
      </c>
      <c r="L6" s="45">
        <f>'A.2.2'!M179</f>
        <v>423.70400000000001</v>
      </c>
      <c r="M6" s="45">
        <f>'A.2.2'!N179</f>
        <v>333.94</v>
      </c>
      <c r="N6" s="45">
        <f>'A.2.2'!O179</f>
        <v>380.125</v>
      </c>
      <c r="O6" s="45">
        <f>'A.2.2'!P179</f>
        <v>0.16300000000000001</v>
      </c>
      <c r="P6" s="46">
        <f t="shared" si="0"/>
        <v>6408.1359999999986</v>
      </c>
      <c r="R6" s="135" t="s">
        <v>50</v>
      </c>
      <c r="S6" s="133">
        <f>+HLOOKUP($R6,$A$51:$P$138,MATCH(S$2,$A$51:$A$138,0),FALSE)</f>
        <v>3.7503947783976699E-3</v>
      </c>
      <c r="T6" s="133">
        <f>+HLOOKUP($R6,$A$51:$P$138,MATCH(T$2,$A$51:$A$138,0),FALSE)</f>
        <v>-1.4421123012176018E-4</v>
      </c>
      <c r="U6" s="133">
        <f>+HLOOKUP($R6,$A$51:$P$138,MATCH(U$2,$A$51:$A$138,0),FALSE)</f>
        <v>-7.8672016363801056E-5</v>
      </c>
      <c r="V6" s="133">
        <f>+HLOOKUP($R6,$A$51:$P$138,MATCH(V$2,$A$51:$A$138,0),FALSE)</f>
        <v>1.4293207448203837E-3</v>
      </c>
      <c r="W6" s="133">
        <f>+HLOOKUP($R6,$A$51:$P$138,MATCH(W$2,$A$51:$A$138,0),FALSE)</f>
        <v>9.2969660464325976E-4</v>
      </c>
      <c r="X6" s="133">
        <f>+HLOOKUP($R6,$A$51:$P$138,MATCH(X$2,$A$51:$A$138,0),FALSE)</f>
        <v>-7.8492935635776639E-5</v>
      </c>
      <c r="Y6" s="133">
        <f>+HLOOKUP($R6,$A$51:$P$138,MATCH(Y$2,$A$51:$A$138,0),FALSE)</f>
        <v>-1.4391501164401355E-4</v>
      </c>
      <c r="Z6" s="133">
        <f>+HLOOKUP($R6,$A$51:$P$138,MATCH(Z$2,$A$51:$A$138,0),FALSE)</f>
        <v>-7.8510396084974232E-5</v>
      </c>
      <c r="AA6" s="133">
        <f>+HLOOKUP($R6,$A$51:$P$138,MATCH(AA$2,$A$51:$A$138,0),FALSE)</f>
        <v>4.3184108248173203E-4</v>
      </c>
      <c r="AB6" s="133">
        <f>+HLOOKUP($R6,$A$51:$P$138,MATCH(AB$2,$A$51:$A$138,0),FALSE)</f>
        <v>-4.8397645519959731E-4</v>
      </c>
      <c r="AC6" s="133">
        <f>+HLOOKUP($R6,$A$51:$P$138,MATCH(AC$2,$A$51:$A$138,0),FALSE)</f>
        <v>-1.0076819389370772E-3</v>
      </c>
      <c r="AD6" s="133">
        <f>+HLOOKUP($R6,$A$51:$P$138,MATCH(AD$2,$A$51:$A$138,0),FALSE)</f>
        <v>-2.8819953888081784E-4</v>
      </c>
      <c r="AE6" s="156">
        <f>+HLOOKUP($R6,$A$51:$P$138,MATCH(AE$2,$A$51:$A$138,0),FALSE)</f>
        <v>5.7656524359894767E-4</v>
      </c>
      <c r="AH6" s="61"/>
      <c r="AI6" s="61"/>
      <c r="AJ6" s="61"/>
      <c r="AK6" s="61"/>
      <c r="AL6" s="61"/>
      <c r="AM6" s="61"/>
      <c r="AN6" s="61"/>
      <c r="AO6" s="61"/>
      <c r="AP6" s="61"/>
    </row>
    <row r="7" spans="1:43" x14ac:dyDescent="0.3">
      <c r="A7" s="40">
        <v>45170</v>
      </c>
      <c r="B7" s="45">
        <f>'A.2.2'!B180+'A.2.2'!C180</f>
        <v>325.82</v>
      </c>
      <c r="C7" s="45">
        <f>'A.2.2'!D180</f>
        <v>93.921000000000006</v>
      </c>
      <c r="D7" s="45">
        <f>'A.2.2'!E180</f>
        <v>1196.2329999999999</v>
      </c>
      <c r="E7" s="45">
        <f>'A.2.2'!F180</f>
        <v>76.484999999999999</v>
      </c>
      <c r="F7" s="45">
        <f>'A.2.2'!G180</f>
        <v>458.53899999999999</v>
      </c>
      <c r="G7" s="45">
        <f>'A.2.2'!H180</f>
        <v>1229.838</v>
      </c>
      <c r="H7" s="45">
        <f>'A.2.2'!I180</f>
        <v>288.31599999999997</v>
      </c>
      <c r="I7" s="45">
        <f>'A.2.2'!J180</f>
        <v>531.36800000000005</v>
      </c>
      <c r="J7" s="45">
        <f>'A.2.2'!K180</f>
        <v>152.37</v>
      </c>
      <c r="K7" s="45">
        <f>'A.2.2'!L180</f>
        <v>902.11599999999999</v>
      </c>
      <c r="L7" s="45">
        <f>'A.2.2'!M180</f>
        <v>423.49</v>
      </c>
      <c r="M7" s="45">
        <f>'A.2.2'!N180</f>
        <v>334.09399999999999</v>
      </c>
      <c r="N7" s="45">
        <f>'A.2.2'!O180</f>
        <v>380.51600000000002</v>
      </c>
      <c r="O7" s="45">
        <f>'A.2.2'!P180</f>
        <v>0.153</v>
      </c>
      <c r="P7" s="46">
        <f t="shared" si="0"/>
        <v>6393.2589999999991</v>
      </c>
      <c r="R7" s="135" t="s">
        <v>34</v>
      </c>
      <c r="S7" s="133">
        <f>+HLOOKUP($R7,$A$51:$P$138,MATCH(S$2,$A$51:$A$138,0),FALSE)</f>
        <v>-2.4755669443343731E-4</v>
      </c>
      <c r="T7" s="133">
        <f>+HLOOKUP($R7,$A$51:$P$138,MATCH(T$2,$A$51:$A$138,0),FALSE)</f>
        <v>-8.1661253315845617E-4</v>
      </c>
      <c r="U7" s="133">
        <f>+HLOOKUP($R7,$A$51:$P$138,MATCH(U$2,$A$51:$A$138,0),FALSE)</f>
        <v>1.7663792126176858E-4</v>
      </c>
      <c r="V7" s="133">
        <f>+HLOOKUP($R7,$A$51:$P$138,MATCH(V$2,$A$51:$A$138,0),FALSE)</f>
        <v>-2.7782610300126631E-3</v>
      </c>
      <c r="W7" s="133">
        <f>+HLOOKUP($R7,$A$51:$P$138,MATCH(W$2,$A$51:$A$138,0),FALSE)</f>
        <v>-3.4600338337914538E-3</v>
      </c>
      <c r="X7" s="133">
        <f>+HLOOKUP($R7,$A$51:$P$138,MATCH(X$2,$A$51:$A$138,0),FALSE)</f>
        <v>-1.1166782932063857E-3</v>
      </c>
      <c r="Y7" s="133">
        <f>+HLOOKUP($R7,$A$51:$P$138,MATCH(Y$2,$A$51:$A$138,0),FALSE)</f>
        <v>-2.6102658063144046E-3</v>
      </c>
      <c r="Z7" s="133">
        <f>+HLOOKUP($R7,$A$51:$P$138,MATCH(Z$2,$A$51:$A$138,0),FALSE)</f>
        <v>4.3343175180441396E-3</v>
      </c>
      <c r="AA7" s="133">
        <f>+HLOOKUP($R7,$A$51:$P$138,MATCH(AA$2,$A$51:$A$138,0),FALSE)</f>
        <v>9.2435749599055761E-3</v>
      </c>
      <c r="AB7" s="133">
        <f>+HLOOKUP($R7,$A$51:$P$138,MATCH(AB$2,$A$51:$A$138,0),FALSE)</f>
        <v>3.1519061152240901E-4</v>
      </c>
      <c r="AC7" s="133">
        <f>+HLOOKUP($R7,$A$51:$P$138,MATCH(AC$2,$A$51:$A$138,0),FALSE)</f>
        <v>-2.2581543002087034E-4</v>
      </c>
      <c r="AD7" s="133">
        <f>+HLOOKUP($R7,$A$51:$P$138,MATCH(AD$2,$A$51:$A$138,0),FALSE)</f>
        <v>-1.5022744224646445E-3</v>
      </c>
      <c r="AE7" s="156">
        <f>+HLOOKUP($R7,$A$51:$P$138,MATCH(AE$2,$A$51:$A$138,0),FALSE)</f>
        <v>-5.2343075984260246E-3</v>
      </c>
      <c r="AH7" s="61"/>
      <c r="AI7" s="61"/>
      <c r="AJ7" s="61"/>
      <c r="AK7" s="61"/>
      <c r="AL7" s="61"/>
      <c r="AM7" s="61"/>
      <c r="AN7" s="61"/>
      <c r="AO7" s="61"/>
      <c r="AP7" s="61"/>
    </row>
    <row r="8" spans="1:43" x14ac:dyDescent="0.3">
      <c r="A8" s="40">
        <v>45200</v>
      </c>
      <c r="B8" s="45">
        <f>'A.2.2'!B181+'A.2.2'!C181</f>
        <v>323.31799999999998</v>
      </c>
      <c r="C8" s="45">
        <f>'A.2.2'!D181</f>
        <v>94.247</v>
      </c>
      <c r="D8" s="45">
        <f>'A.2.2'!E181</f>
        <v>1196.018</v>
      </c>
      <c r="E8" s="45">
        <f>'A.2.2'!F181</f>
        <v>76.786000000000001</v>
      </c>
      <c r="F8" s="45">
        <f>'A.2.2'!G181</f>
        <v>449.37200000000001</v>
      </c>
      <c r="G8" s="45">
        <f>'A.2.2'!H181</f>
        <v>1231.9190000000001</v>
      </c>
      <c r="H8" s="45">
        <f>'A.2.2'!I181</f>
        <v>288.07600000000002</v>
      </c>
      <c r="I8" s="45">
        <f>'A.2.2'!J181</f>
        <v>529.66800000000001</v>
      </c>
      <c r="J8" s="45">
        <f>'A.2.2'!K181</f>
        <v>152.351</v>
      </c>
      <c r="K8" s="45">
        <f>'A.2.2'!L181</f>
        <v>901.12599999999998</v>
      </c>
      <c r="L8" s="45">
        <f>'A.2.2'!M181</f>
        <v>423.17500000000001</v>
      </c>
      <c r="M8" s="45">
        <f>'A.2.2'!N181</f>
        <v>334.31099999999998</v>
      </c>
      <c r="N8" s="45">
        <f>'A.2.2'!O181</f>
        <v>380.30799999999999</v>
      </c>
      <c r="O8" s="45">
        <f>'A.2.2'!P181</f>
        <v>0.156</v>
      </c>
      <c r="P8" s="46">
        <f t="shared" si="0"/>
        <v>6380.8309999999992</v>
      </c>
      <c r="R8" s="135" t="s">
        <v>51</v>
      </c>
      <c r="S8" s="133">
        <f>+HLOOKUP($R8,$A$51:$P$138,MATCH(S$2,$A$51:$A$138,0),FALSE)</f>
        <v>1.9174791477127862E-3</v>
      </c>
      <c r="T8" s="133">
        <f>+HLOOKUP($R8,$A$51:$P$138,MATCH(T$2,$A$51:$A$138,0),FALSE)</f>
        <v>-8.0159142511671E-4</v>
      </c>
      <c r="U8" s="133">
        <f>+HLOOKUP($R8,$A$51:$P$138,MATCH(U$2,$A$51:$A$138,0),FALSE)</f>
        <v>-1.161610098136534E-3</v>
      </c>
      <c r="V8" s="133">
        <f>+HLOOKUP($R8,$A$51:$P$138,MATCH(V$2,$A$51:$A$138,0),FALSE)</f>
        <v>-1.6190709684815729E-3</v>
      </c>
      <c r="W8" s="133">
        <f>+HLOOKUP($R8,$A$51:$P$138,MATCH(W$2,$A$51:$A$138,0),FALSE)</f>
        <v>-3.0655965914073713E-3</v>
      </c>
      <c r="X8" s="133">
        <f>+HLOOKUP($R8,$A$51:$P$138,MATCH(X$2,$A$51:$A$138,0),FALSE)</f>
        <v>-3.3381398067973134E-3</v>
      </c>
      <c r="Y8" s="133">
        <f>+HLOOKUP($R8,$A$51:$P$138,MATCH(Y$2,$A$51:$A$138,0),FALSE)</f>
        <v>-4.2159388809225318E-3</v>
      </c>
      <c r="Z8" s="133">
        <f>+HLOOKUP($R8,$A$51:$P$138,MATCH(Z$2,$A$51:$A$138,0),FALSE)</f>
        <v>-2.9452790520955174E-3</v>
      </c>
      <c r="AA8" s="133">
        <f>+HLOOKUP($R8,$A$51:$P$138,MATCH(AA$2,$A$51:$A$138,0),FALSE)</f>
        <v>-3.2384665493156994E-3</v>
      </c>
      <c r="AB8" s="133">
        <f>+HLOOKUP($R8,$A$51:$P$138,MATCH(AB$2,$A$51:$A$138,0),FALSE)</f>
        <v>-1.9500416360240802E-3</v>
      </c>
      <c r="AC8" s="133">
        <f>+HLOOKUP($R8,$A$51:$P$138,MATCH(AC$2,$A$51:$A$138,0),FALSE)</f>
        <v>-2.6208422766395012E-3</v>
      </c>
      <c r="AD8" s="133">
        <f>+HLOOKUP($R8,$A$51:$P$138,MATCH(AD$2,$A$51:$A$138,0),FALSE)</f>
        <v>-3.1522975117211915E-3</v>
      </c>
      <c r="AE8" s="156">
        <f>+HLOOKUP($R8,$A$51:$P$138,MATCH(AE$2,$A$51:$A$138,0),FALSE)</f>
        <v>-3.443356218224114E-3</v>
      </c>
      <c r="AH8" s="61"/>
      <c r="AI8" s="61"/>
      <c r="AJ8" s="61"/>
      <c r="AK8" s="61"/>
      <c r="AL8" s="61"/>
      <c r="AM8" s="61"/>
      <c r="AN8" s="61"/>
      <c r="AO8" s="61"/>
      <c r="AP8" s="61"/>
    </row>
    <row r="9" spans="1:43" x14ac:dyDescent="0.3">
      <c r="A9" s="40">
        <v>45231</v>
      </c>
      <c r="B9" s="45">
        <f>'A.2.2'!B182+'A.2.2'!C182</f>
        <v>322.27800000000002</v>
      </c>
      <c r="C9" s="45">
        <f>'A.2.2'!D182</f>
        <v>94.638999999999996</v>
      </c>
      <c r="D9" s="45">
        <f>'A.2.2'!E182</f>
        <v>1193.9079999999999</v>
      </c>
      <c r="E9" s="45">
        <f>'A.2.2'!F182</f>
        <v>76.980999999999995</v>
      </c>
      <c r="F9" s="45">
        <f>'A.2.2'!G182</f>
        <v>440.94099999999997</v>
      </c>
      <c r="G9" s="45">
        <f>'A.2.2'!H182</f>
        <v>1233.221</v>
      </c>
      <c r="H9" s="45">
        <f>'A.2.2'!I182</f>
        <v>287.75</v>
      </c>
      <c r="I9" s="45">
        <f>'A.2.2'!J182</f>
        <v>529.39</v>
      </c>
      <c r="J9" s="45">
        <f>'A.2.2'!K182</f>
        <v>152.08600000000001</v>
      </c>
      <c r="K9" s="45">
        <f>'A.2.2'!L182</f>
        <v>903.25599999999997</v>
      </c>
      <c r="L9" s="45">
        <f>'A.2.2'!M182</f>
        <v>423.553</v>
      </c>
      <c r="M9" s="45">
        <f>'A.2.2'!N182</f>
        <v>334.53500000000003</v>
      </c>
      <c r="N9" s="45">
        <f>'A.2.2'!O182</f>
        <v>380.01499999999999</v>
      </c>
      <c r="O9" s="45">
        <f>'A.2.2'!P182</f>
        <v>0.14399999999999999</v>
      </c>
      <c r="P9" s="46">
        <f t="shared" si="0"/>
        <v>6372.697000000001</v>
      </c>
      <c r="R9" s="135" t="s">
        <v>36</v>
      </c>
      <c r="S9" s="133">
        <f>+HLOOKUP($R9,$A$51:$P$138,MATCH(S$2,$A$51:$A$138,0),FALSE)</f>
        <v>2.6223589099549915E-3</v>
      </c>
      <c r="T9" s="133">
        <f>+HLOOKUP($R9,$A$51:$P$138,MATCH(T$2,$A$51:$A$138,0),FALSE)</f>
        <v>-1.5799755886655165E-3</v>
      </c>
      <c r="U9" s="133">
        <f>+HLOOKUP($R9,$A$51:$P$138,MATCH(U$2,$A$51:$A$138,0),FALSE)</f>
        <v>-3.442954240072793E-3</v>
      </c>
      <c r="V9" s="133">
        <f>+HLOOKUP($R9,$A$51:$P$138,MATCH(V$2,$A$51:$A$138,0),FALSE)</f>
        <v>4.2917380466134247E-5</v>
      </c>
      <c r="W9" s="133">
        <f>+HLOOKUP($R9,$A$51:$P$138,MATCH(W$2,$A$51:$A$138,0),FALSE)</f>
        <v>-9.5844702970837581E-4</v>
      </c>
      <c r="X9" s="133">
        <f>+HLOOKUP($R9,$A$51:$P$138,MATCH(X$2,$A$51:$A$138,0),FALSE)</f>
        <v>-1.7862832064321488E-3</v>
      </c>
      <c r="Y9" s="133">
        <f>+HLOOKUP($R9,$A$51:$P$138,MATCH(Y$2,$A$51:$A$138,0),FALSE)</f>
        <v>7.3874313255783974E-4</v>
      </c>
      <c r="Z9" s="133">
        <f>+HLOOKUP($R9,$A$51:$P$138,MATCH(Z$2,$A$51:$A$138,0),FALSE)</f>
        <v>-4.662113252442146E-3</v>
      </c>
      <c r="AA9" s="133">
        <f>+HLOOKUP($R9,$A$51:$P$138,MATCH(AA$2,$A$51:$A$138,0),FALSE)</f>
        <v>-6.0484524242413462E-3</v>
      </c>
      <c r="AB9" s="133">
        <f>+HLOOKUP($R9,$A$51:$P$138,MATCH(AB$2,$A$51:$A$138,0),FALSE)</f>
        <v>5.5419321421212864E-4</v>
      </c>
      <c r="AC9" s="133">
        <f>+HLOOKUP($R9,$A$51:$P$138,MATCH(AC$2,$A$51:$A$138,0),FALSE)</f>
        <v>8.688411830726217E-5</v>
      </c>
      <c r="AD9" s="133">
        <f>+HLOOKUP($R9,$A$51:$P$138,MATCH(AD$2,$A$51:$A$138,0),FALSE)</f>
        <v>3.551079803369328E-3</v>
      </c>
      <c r="AE9" s="156">
        <f>+HLOOKUP($R9,$A$51:$P$138,MATCH(AE$2,$A$51:$A$138,0),FALSE)</f>
        <v>-1.4319981243349211E-3</v>
      </c>
      <c r="AH9" s="61"/>
      <c r="AI9" s="61"/>
      <c r="AJ9" s="61"/>
      <c r="AK9" s="61"/>
      <c r="AL9" s="61"/>
      <c r="AM9" s="61"/>
      <c r="AN9" s="61"/>
      <c r="AO9" s="61"/>
      <c r="AP9" s="61"/>
    </row>
    <row r="10" spans="1:43" x14ac:dyDescent="0.3">
      <c r="A10" s="40">
        <v>45261</v>
      </c>
      <c r="B10" s="45">
        <f>'A.2.2'!B183+'A.2.2'!C183</f>
        <v>327.685</v>
      </c>
      <c r="C10" s="45">
        <f>'A.2.2'!D183</f>
        <v>94.995000000000005</v>
      </c>
      <c r="D10" s="45">
        <f>'A.2.2'!E183</f>
        <v>1192.1079999999999</v>
      </c>
      <c r="E10" s="45">
        <f>'A.2.2'!F183</f>
        <v>77.067999999999998</v>
      </c>
      <c r="F10" s="45">
        <f>'A.2.2'!G183</f>
        <v>427.24099999999999</v>
      </c>
      <c r="G10" s="45">
        <f>'A.2.2'!H183</f>
        <v>1234.4860000000001</v>
      </c>
      <c r="H10" s="45">
        <f>'A.2.2'!I183</f>
        <v>287.23899999999998</v>
      </c>
      <c r="I10" s="45">
        <f>'A.2.2'!J183</f>
        <v>528.91</v>
      </c>
      <c r="J10" s="45">
        <f>'A.2.2'!K183</f>
        <v>152.10900000000001</v>
      </c>
      <c r="K10" s="45">
        <f>'A.2.2'!L183</f>
        <v>902.35299999999995</v>
      </c>
      <c r="L10" s="45">
        <f>'A.2.2'!M183</f>
        <v>423.125</v>
      </c>
      <c r="M10" s="45">
        <f>'A.2.2'!N183</f>
        <v>334.20400000000001</v>
      </c>
      <c r="N10" s="45">
        <f>'A.2.2'!O183</f>
        <v>379.65</v>
      </c>
      <c r="O10" s="45">
        <f>'A.2.2'!P183</f>
        <v>0.14499999999999999</v>
      </c>
      <c r="P10" s="46">
        <f t="shared" si="0"/>
        <v>6361.3180000000002</v>
      </c>
      <c r="R10" s="135" t="s">
        <v>52</v>
      </c>
      <c r="S10" s="133">
        <f>+HLOOKUP($R10,$A$51:$P$138,MATCH(S$2,$A$51:$A$138,0),FALSE)</f>
        <v>3.0888659366297144E-3</v>
      </c>
      <c r="T10" s="133">
        <f>+HLOOKUP($R10,$A$51:$P$138,MATCH(T$2,$A$51:$A$138,0),FALSE)</f>
        <v>-5.5269965091636619E-3</v>
      </c>
      <c r="U10" s="133">
        <f>+HLOOKUP($R10,$A$51:$P$138,MATCH(U$2,$A$51:$A$138,0),FALSE)</f>
        <v>-5.4586425269032013E-4</v>
      </c>
      <c r="V10" s="133">
        <f>+HLOOKUP($R10,$A$51:$P$138,MATCH(V$2,$A$51:$A$138,0),FALSE)</f>
        <v>-9.9125557095458561E-5</v>
      </c>
      <c r="W10" s="133">
        <f>+HLOOKUP($R10,$A$51:$P$138,MATCH(W$2,$A$51:$A$138,0),FALSE)</f>
        <v>-2.194585264205573E-3</v>
      </c>
      <c r="X10" s="133">
        <f>+HLOOKUP($R10,$A$51:$P$138,MATCH(X$2,$A$51:$A$138,0),FALSE)</f>
        <v>-1.340297164141524E-3</v>
      </c>
      <c r="Y10" s="133">
        <f>+HLOOKUP($R10,$A$51:$P$138,MATCH(Y$2,$A$51:$A$138,0),FALSE)</f>
        <v>-2.2628362311291061E-3</v>
      </c>
      <c r="Z10" s="133">
        <f>+HLOOKUP($R10,$A$51:$P$138,MATCH(Z$2,$A$51:$A$138,0),FALSE)</f>
        <v>-1.3197229168417923E-3</v>
      </c>
      <c r="AA10" s="133">
        <f>+HLOOKUP($R10,$A$51:$P$138,MATCH(AA$2,$A$51:$A$138,0),FALSE)</f>
        <v>-6.3038864830577968E-4</v>
      </c>
      <c r="AB10" s="133">
        <f>+HLOOKUP($R10,$A$51:$P$138,MATCH(AB$2,$A$51:$A$138,0),FALSE)</f>
        <v>-1.9765943025502608E-3</v>
      </c>
      <c r="AC10" s="133">
        <f>+HLOOKUP($R10,$A$51:$P$138,MATCH(AC$2,$A$51:$A$138,0),FALSE)</f>
        <v>-3.4173103157233431E-3</v>
      </c>
      <c r="AD10" s="133">
        <f>+HLOOKUP($R10,$A$51:$P$138,MATCH(AD$2,$A$51:$A$138,0),FALSE)</f>
        <v>-4.5339593952619106E-3</v>
      </c>
      <c r="AE10" s="156">
        <f>+HLOOKUP($R10,$A$51:$P$138,MATCH(AE$2,$A$51:$A$138,0),FALSE)</f>
        <v>-3.3556117462240076E-3</v>
      </c>
      <c r="AH10" s="61"/>
      <c r="AI10" s="61"/>
      <c r="AJ10" s="61"/>
      <c r="AK10" s="61"/>
      <c r="AL10" s="61"/>
      <c r="AM10" s="61"/>
      <c r="AN10" s="61"/>
      <c r="AO10" s="61"/>
      <c r="AP10" s="61"/>
    </row>
    <row r="11" spans="1:43" x14ac:dyDescent="0.3">
      <c r="A11" s="40">
        <v>45292</v>
      </c>
      <c r="B11" s="45">
        <f>'A.2.2'!B184+'A.2.2'!C184</f>
        <v>332.00299999999999</v>
      </c>
      <c r="C11" s="45">
        <f>'A.2.2'!D184</f>
        <v>95.337999999999994</v>
      </c>
      <c r="D11" s="45">
        <f>'A.2.2'!E184</f>
        <v>1188.6469999999999</v>
      </c>
      <c r="E11" s="45">
        <f>'A.2.2'!F184</f>
        <v>77.176000000000002</v>
      </c>
      <c r="F11" s="45">
        <f>'A.2.2'!G184</f>
        <v>407.041</v>
      </c>
      <c r="G11" s="45">
        <f>'A.2.2'!H184</f>
        <v>1231.1400000000001</v>
      </c>
      <c r="H11" s="45">
        <f>'A.2.2'!I184</f>
        <v>284.02699999999999</v>
      </c>
      <c r="I11" s="45">
        <f>'A.2.2'!J184</f>
        <v>527.24800000000005</v>
      </c>
      <c r="J11" s="45">
        <f>'A.2.2'!K184</f>
        <v>152.03</v>
      </c>
      <c r="K11" s="45">
        <f>'A.2.2'!L184</f>
        <v>897.95600000000002</v>
      </c>
      <c r="L11" s="45">
        <f>'A.2.2'!M184</f>
        <v>422.36900000000003</v>
      </c>
      <c r="M11" s="45">
        <f>'A.2.2'!N184</f>
        <v>333.71199999999999</v>
      </c>
      <c r="N11" s="45">
        <f>'A.2.2'!O184</f>
        <v>377.82299999999998</v>
      </c>
      <c r="O11" s="45">
        <f>'A.2.2'!P184</f>
        <v>0.14199999999999999</v>
      </c>
      <c r="P11" s="46">
        <f t="shared" si="0"/>
        <v>6326.652</v>
      </c>
      <c r="R11" s="135" t="s">
        <v>104</v>
      </c>
      <c r="S11" s="133">
        <f>+HLOOKUP($R11,$A$51:$P$138,MATCH(S$2,$A$51:$A$138,0),FALSE)</f>
        <v>-2.4273776362914168E-3</v>
      </c>
      <c r="T11" s="133">
        <f>+HLOOKUP($R11,$A$51:$P$138,MATCH(T$2,$A$51:$A$138,0),FALSE)</f>
        <v>-4.0687701942637711E-3</v>
      </c>
      <c r="U11" s="133">
        <f>+HLOOKUP($R11,$A$51:$P$138,MATCH(U$2,$A$51:$A$138,0),FALSE)</f>
        <v>-4.8730991575529625E-4</v>
      </c>
      <c r="V11" s="133">
        <f>+HLOOKUP($R11,$A$51:$P$138,MATCH(V$2,$A$51:$A$138,0),FALSE)</f>
        <v>-5.5700632476006762E-3</v>
      </c>
      <c r="W11" s="133">
        <f>+HLOOKUP($R11,$A$51:$P$138,MATCH(W$2,$A$51:$A$138,0),FALSE)</f>
        <v>-1.7260485577085261E-3</v>
      </c>
      <c r="X11" s="133">
        <f>+HLOOKUP($R11,$A$51:$P$138,MATCH(X$2,$A$51:$A$138,0),FALSE)</f>
        <v>-2.7785626824904375E-3</v>
      </c>
      <c r="Y11" s="133">
        <f>+HLOOKUP($R11,$A$51:$P$138,MATCH(Y$2,$A$51:$A$138,0),FALSE)</f>
        <v>-2.5704165963906789E-3</v>
      </c>
      <c r="Z11" s="133">
        <f>+HLOOKUP($R11,$A$51:$P$138,MATCH(Z$2,$A$51:$A$138,0),FALSE)</f>
        <v>-4.4438732718269369E-3</v>
      </c>
      <c r="AA11" s="133">
        <f>+HLOOKUP($R11,$A$51:$P$138,MATCH(AA$2,$A$51:$A$138,0),FALSE)</f>
        <v>-3.016570756928405E-3</v>
      </c>
      <c r="AB11" s="133">
        <f>+HLOOKUP($R11,$A$51:$P$138,MATCH(AB$2,$A$51:$A$138,0),FALSE)</f>
        <v>-3.6390151489338329E-3</v>
      </c>
      <c r="AC11" s="133">
        <f>+HLOOKUP($R11,$A$51:$P$138,MATCH(AC$2,$A$51:$A$138,0),FALSE)</f>
        <v>-7.5918719093900355E-3</v>
      </c>
      <c r="AD11" s="133">
        <f>+HLOOKUP($R11,$A$51:$P$138,MATCH(AD$2,$A$51:$A$138,0),FALSE)</f>
        <v>-9.0214267500120515E-3</v>
      </c>
      <c r="AE11" s="156">
        <f>+HLOOKUP($R11,$A$51:$P$138,MATCH(AE$2,$A$51:$A$138,0),FALSE)</f>
        <v>-2.0863759649487612E-3</v>
      </c>
      <c r="AH11" s="61"/>
      <c r="AI11" s="61"/>
      <c r="AJ11" s="61"/>
      <c r="AK11" s="61"/>
      <c r="AL11" s="61"/>
      <c r="AM11" s="61"/>
      <c r="AN11" s="61"/>
      <c r="AO11" s="61"/>
      <c r="AP11" s="61"/>
    </row>
    <row r="12" spans="1:43" x14ac:dyDescent="0.3">
      <c r="A12" s="40">
        <v>45323</v>
      </c>
      <c r="B12" s="45">
        <f>'A.2.2'!B185+'A.2.2'!C185</f>
        <v>333.52300000000002</v>
      </c>
      <c r="C12" s="45">
        <f>'A.2.2'!D185</f>
        <v>95.635000000000005</v>
      </c>
      <c r="D12" s="45">
        <f>'A.2.2'!E185</f>
        <v>1185.4549999999999</v>
      </c>
      <c r="E12" s="45">
        <f>'A.2.2'!F185</f>
        <v>77.144000000000005</v>
      </c>
      <c r="F12" s="45">
        <f>'A.2.2'!G185</f>
        <v>394.35899999999998</v>
      </c>
      <c r="G12" s="45">
        <f>'A.2.2'!H185</f>
        <v>1229.5519999999999</v>
      </c>
      <c r="H12" s="45">
        <f>'A.2.2'!I185</f>
        <v>283.55399999999997</v>
      </c>
      <c r="I12" s="45">
        <f>'A.2.2'!J185</f>
        <v>525.05600000000004</v>
      </c>
      <c r="J12" s="45">
        <f>'A.2.2'!K185</f>
        <v>151.83799999999999</v>
      </c>
      <c r="K12" s="45">
        <f>'A.2.2'!L185</f>
        <v>892.87</v>
      </c>
      <c r="L12" s="45">
        <f>'A.2.2'!M185</f>
        <v>421.767</v>
      </c>
      <c r="M12" s="45">
        <f>'A.2.2'!N185</f>
        <v>333.113</v>
      </c>
      <c r="N12" s="45">
        <f>'A.2.2'!O185</f>
        <v>376.73700000000002</v>
      </c>
      <c r="O12" s="45">
        <f>'A.2.2'!P185</f>
        <v>0.13500000000000001</v>
      </c>
      <c r="P12" s="46">
        <f>SUM(B12:O12)</f>
        <v>6300.7380000000003</v>
      </c>
      <c r="R12" s="135" t="s">
        <v>105</v>
      </c>
      <c r="S12" s="133">
        <f>+HLOOKUP($R12,$A$51:$P$138,MATCH(S$2,$A$51:$A$138,0),FALSE)</f>
        <v>1.2915915936031475E-3</v>
      </c>
      <c r="T12" s="133">
        <f>+HLOOKUP($R12,$A$51:$P$138,MATCH(T$2,$A$51:$A$138,0),FALSE)</f>
        <v>-3.880925490913123E-3</v>
      </c>
      <c r="U12" s="133">
        <f>+HLOOKUP($R12,$A$51:$P$138,MATCH(U$2,$A$51:$A$138,0),FALSE)</f>
        <v>-4.0572151275364288E-3</v>
      </c>
      <c r="V12" s="133">
        <f>+HLOOKUP($R12,$A$51:$P$138,MATCH(V$2,$A$51:$A$138,0),FALSE)</f>
        <v>-3.0578359152436674E-3</v>
      </c>
      <c r="W12" s="133">
        <f>+HLOOKUP($R12,$A$51:$P$138,MATCH(W$2,$A$51:$A$138,0),FALSE)</f>
        <v>-4.9147582525110867E-4</v>
      </c>
      <c r="X12" s="133">
        <f>+HLOOKUP($R12,$A$51:$P$138,MATCH(X$2,$A$51:$A$138,0),FALSE)</f>
        <v>-2.5476830632646941E-3</v>
      </c>
      <c r="Y12" s="133">
        <f>+HLOOKUP($R12,$A$51:$P$138,MATCH(Y$2,$A$51:$A$138,0),FALSE)</f>
        <v>-3.5503132529575154E-3</v>
      </c>
      <c r="Z12" s="133">
        <f>+HLOOKUP($R12,$A$51:$P$138,MATCH(Z$2,$A$51:$A$138,0),FALSE)</f>
        <v>-2.0129605611780566E-3</v>
      </c>
      <c r="AA12" s="133">
        <f>+HLOOKUP($R12,$A$51:$P$138,MATCH(AA$2,$A$51:$A$138,0),FALSE)</f>
        <v>-4.8981540962916847E-3</v>
      </c>
      <c r="AB12" s="133">
        <f>+HLOOKUP($R12,$A$51:$P$138,MATCH(AB$2,$A$51:$A$138,0),FALSE)</f>
        <v>4.5509233815543837E-3</v>
      </c>
      <c r="AC12" s="133">
        <f>+HLOOKUP($R12,$A$51:$P$138,MATCH(AC$2,$A$51:$A$138,0),FALSE)</f>
        <v>-3.9240664702744343E-4</v>
      </c>
      <c r="AD12" s="133">
        <f>+HLOOKUP($R12,$A$51:$P$138,MATCH(AD$2,$A$51:$A$138,0),FALSE)</f>
        <v>-8.8297708924789386E-4</v>
      </c>
      <c r="AE12" s="156">
        <f>+HLOOKUP($R12,$A$51:$P$138,MATCH(AE$2,$A$51:$A$138,0),FALSE)</f>
        <v>8.0062045237916379E-4</v>
      </c>
      <c r="AH12" s="61"/>
      <c r="AI12" s="61"/>
      <c r="AJ12" s="61"/>
      <c r="AK12" s="61"/>
      <c r="AL12" s="61"/>
      <c r="AM12" s="61"/>
      <c r="AN12" s="61"/>
      <c r="AO12" s="61"/>
      <c r="AP12" s="61"/>
    </row>
    <row r="13" spans="1:43" x14ac:dyDescent="0.3">
      <c r="A13" s="40">
        <v>45352</v>
      </c>
      <c r="B13" s="45">
        <f>'A.2.2'!B186+'A.2.2'!C186</f>
        <v>332.565</v>
      </c>
      <c r="C13" s="45">
        <f>'A.2.2'!D186</f>
        <v>95.834999999999994</v>
      </c>
      <c r="D13" s="45">
        <f>'A.2.2'!E186</f>
        <v>1181.797</v>
      </c>
      <c r="E13" s="45">
        <f>'A.2.2'!F186</f>
        <v>77.061999999999998</v>
      </c>
      <c r="F13" s="45">
        <f>'A.2.2'!G186</f>
        <v>384.13600000000002</v>
      </c>
      <c r="G13" s="45">
        <f>'A.2.2'!H186</f>
        <v>1227.72</v>
      </c>
      <c r="H13" s="45">
        <f>'A.2.2'!I186</f>
        <v>283.48700000000002</v>
      </c>
      <c r="I13" s="45">
        <f>'A.2.2'!J186</f>
        <v>523.18600000000004</v>
      </c>
      <c r="J13" s="45">
        <f>'A.2.2'!K186</f>
        <v>151.69900000000001</v>
      </c>
      <c r="K13" s="45">
        <f>'A.2.2'!L186</f>
        <v>890.58</v>
      </c>
      <c r="L13" s="45">
        <f>'A.2.2'!M186</f>
        <v>420.84500000000003</v>
      </c>
      <c r="M13" s="45">
        <f>'A.2.2'!N186</f>
        <v>332.56299999999999</v>
      </c>
      <c r="N13" s="45">
        <f>'A.2.2'!O186</f>
        <v>374.25700000000001</v>
      </c>
      <c r="O13" s="45">
        <f>'A.2.2'!P186</f>
        <v>0.123</v>
      </c>
      <c r="P13" s="46">
        <f>SUM(B13:O13)</f>
        <v>6275.8549999999987</v>
      </c>
      <c r="R13" s="135" t="s">
        <v>55</v>
      </c>
      <c r="S13" s="133">
        <f>+HLOOKUP($R13,$A$51:$P$138,MATCH(S$2,$A$51:$A$138,0),FALSE)</f>
        <v>9.7404132583100989E-4</v>
      </c>
      <c r="T13" s="133">
        <f>+HLOOKUP($R13,$A$51:$P$138,MATCH(T$2,$A$51:$A$138,0),FALSE)</f>
        <v>1.3132038394678691E-3</v>
      </c>
      <c r="U13" s="133">
        <f>+HLOOKUP($R13,$A$51:$P$138,MATCH(U$2,$A$51:$A$138,0),FALSE)</f>
        <v>-2.2172530593378426E-4</v>
      </c>
      <c r="V13" s="133">
        <f>+HLOOKUP($R13,$A$51:$P$138,MATCH(V$2,$A$51:$A$138,0),FALSE)</f>
        <v>-7.4789904070737823E-4</v>
      </c>
      <c r="W13" s="133">
        <f>+HLOOKUP($R13,$A$51:$P$138,MATCH(W$2,$A$51:$A$138,0),FALSE)</f>
        <v>1.0624809638826171E-4</v>
      </c>
      <c r="X13" s="133">
        <f>+HLOOKUP($R13,$A$51:$P$138,MATCH(X$2,$A$51:$A$138,0),FALSE)</f>
        <v>4.3675132559939378E-4</v>
      </c>
      <c r="Y13" s="133">
        <f>+HLOOKUP($R13,$A$51:$P$138,MATCH(Y$2,$A$51:$A$138,0),FALSE)</f>
        <v>-9.9819004311330062E-4</v>
      </c>
      <c r="Z13" s="133">
        <f>+HLOOKUP($R13,$A$51:$P$138,MATCH(Z$2,$A$51:$A$138,0),FALSE)</f>
        <v>1.2070562001587071E-3</v>
      </c>
      <c r="AA13" s="133">
        <f>+HLOOKUP($R13,$A$51:$P$138,MATCH(AA$2,$A$51:$A$138,0),FALSE)</f>
        <v>3.1166318670299287E-3</v>
      </c>
      <c r="AB13" s="133">
        <f>+HLOOKUP($R13,$A$51:$P$138,MATCH(AB$2,$A$51:$A$138,0),FALSE)</f>
        <v>-2.7729693115321474E-3</v>
      </c>
      <c r="AC13" s="133">
        <f>+HLOOKUP($R13,$A$51:$P$138,MATCH(AC$2,$A$51:$A$138,0),FALSE)</f>
        <v>-2.0047311655513322E-4</v>
      </c>
      <c r="AD13" s="133">
        <f>+HLOOKUP($R13,$A$51:$P$138,MATCH(AD$2,$A$51:$A$138,0),FALSE)</f>
        <v>5.661552397666636E-4</v>
      </c>
      <c r="AE13" s="156">
        <f>+HLOOKUP($R13,$A$51:$P$138,MATCH(AE$2,$A$51:$A$138,0),FALSE)</f>
        <v>-8.5346762481364191E-4</v>
      </c>
      <c r="AH13" s="61"/>
      <c r="AI13" s="61"/>
      <c r="AJ13" s="61"/>
      <c r="AK13" s="61"/>
      <c r="AL13" s="61"/>
      <c r="AM13" s="61"/>
      <c r="AN13" s="61"/>
      <c r="AO13" s="61"/>
      <c r="AP13" s="61"/>
    </row>
    <row r="14" spans="1:43" x14ac:dyDescent="0.3">
      <c r="A14" s="40">
        <v>45383</v>
      </c>
      <c r="B14" s="45">
        <f>'A.2.2'!B187+'A.2.2'!C187</f>
        <v>333.34500000000003</v>
      </c>
      <c r="C14" s="45">
        <f>'A.2.2'!D187</f>
        <v>95.632999999999996</v>
      </c>
      <c r="D14" s="45">
        <f>'A.2.2'!E187</f>
        <v>1177.019</v>
      </c>
      <c r="E14" s="45">
        <f>'A.2.2'!F187</f>
        <v>76.805000000000007</v>
      </c>
      <c r="F14" s="45">
        <f>'A.2.2'!G187</f>
        <v>376.40300000000002</v>
      </c>
      <c r="G14" s="45">
        <f>'A.2.2'!H187</f>
        <v>1227.066</v>
      </c>
      <c r="H14" s="45">
        <f>'A.2.2'!I187</f>
        <v>283.33100000000002</v>
      </c>
      <c r="I14" s="45">
        <f>'A.2.2'!J187</f>
        <v>522.52700000000004</v>
      </c>
      <c r="J14" s="45">
        <f>'A.2.2'!K187</f>
        <v>151.65199999999999</v>
      </c>
      <c r="K14" s="45">
        <f>'A.2.2'!L187</f>
        <v>887.45899999999995</v>
      </c>
      <c r="L14" s="45">
        <f>'A.2.2'!M187</f>
        <v>421.495</v>
      </c>
      <c r="M14" s="45">
        <f>'A.2.2'!N187</f>
        <v>331.97800000000001</v>
      </c>
      <c r="N14" s="45">
        <f>'A.2.2'!O187</f>
        <v>373.97699999999998</v>
      </c>
      <c r="O14" s="45">
        <f>'A.2.2'!P187</f>
        <v>0.106</v>
      </c>
      <c r="P14" s="46">
        <f>SUM(B14:O14)</f>
        <v>6258.7959999999994</v>
      </c>
      <c r="R14" s="135" t="s">
        <v>56</v>
      </c>
      <c r="S14" s="133">
        <f>+HLOOKUP($R14,$A$51:$P$138,MATCH(S$2,$A$51:$A$138,0),FALSE)</f>
        <v>2.1801995488202053E-4</v>
      </c>
      <c r="T14" s="133">
        <f>+HLOOKUP($R14,$A$51:$P$138,MATCH(T$2,$A$51:$A$138,0),FALSE)</f>
        <v>3.1787646412384518E-4</v>
      </c>
      <c r="U14" s="133">
        <f>+HLOOKUP($R14,$A$51:$P$138,MATCH(U$2,$A$51:$A$138,0),FALSE)</f>
        <v>-2.9053755500541012E-4</v>
      </c>
      <c r="V14" s="133">
        <f>+HLOOKUP($R14,$A$51:$P$138,MATCH(V$2,$A$51:$A$138,0),FALSE)</f>
        <v>-2.3613036818181943E-4</v>
      </c>
      <c r="W14" s="133">
        <f>+HLOOKUP($R14,$A$51:$P$138,MATCH(W$2,$A$51:$A$138,0),FALSE)</f>
        <v>-2.2407402921442721E-4</v>
      </c>
      <c r="X14" s="133">
        <f>+HLOOKUP($R14,$A$51:$P$138,MATCH(X$2,$A$51:$A$138,0),FALSE)</f>
        <v>-2.3623907394276777E-4</v>
      </c>
      <c r="Y14" s="133">
        <f>+HLOOKUP($R14,$A$51:$P$138,MATCH(Y$2,$A$51:$A$138,0),FALSE)</f>
        <v>-4.3017788764476705E-4</v>
      </c>
      <c r="Z14" s="133">
        <f>+HLOOKUP($R14,$A$51:$P$138,MATCH(Z$2,$A$51:$A$138,0),FALSE)</f>
        <v>2.8791892203150482E-4</v>
      </c>
      <c r="AA14" s="133">
        <f>+HLOOKUP($R14,$A$51:$P$138,MATCH(AA$2,$A$51:$A$138,0),FALSE)</f>
        <v>-1.939106011530356E-4</v>
      </c>
      <c r="AB14" s="133">
        <f>+HLOOKUP($R14,$A$51:$P$138,MATCH(AB$2,$A$51:$A$138,0),FALSE)</f>
        <v>-3.8183553797910275E-4</v>
      </c>
      <c r="AC14" s="133">
        <f>+HLOOKUP($R14,$A$51:$P$138,MATCH(AC$2,$A$51:$A$138,0),FALSE)</f>
        <v>1.3339032738235446E-4</v>
      </c>
      <c r="AD14" s="133">
        <f>+HLOOKUP($R14,$A$51:$P$138,MATCH(AD$2,$A$51:$A$138,0),FALSE)</f>
        <v>-2.6068268551671103E-4</v>
      </c>
      <c r="AE14" s="156">
        <f>+HLOOKUP($R14,$A$51:$P$138,MATCH(AE$2,$A$51:$A$138,0),FALSE)</f>
        <v>7.4586816325417082E-4</v>
      </c>
      <c r="AH14" s="61"/>
      <c r="AI14" s="61"/>
      <c r="AJ14" s="61"/>
      <c r="AK14" s="61"/>
      <c r="AL14" s="61"/>
      <c r="AM14" s="61"/>
      <c r="AN14" s="61"/>
      <c r="AO14" s="61"/>
      <c r="AP14" s="61"/>
    </row>
    <row r="15" spans="1:43" x14ac:dyDescent="0.3">
      <c r="A15" s="40">
        <v>45413</v>
      </c>
      <c r="B15" s="45">
        <f>'A.2.2'!B188+'A.2.2'!C188</f>
        <v>335.89800000000002</v>
      </c>
      <c r="C15" s="45">
        <f>'A.2.2'!D188</f>
        <v>95.801000000000002</v>
      </c>
      <c r="D15" s="45">
        <f>'A.2.2'!E188</f>
        <v>1172.049</v>
      </c>
      <c r="E15" s="45">
        <f>'A.2.2'!F188</f>
        <v>76.557000000000002</v>
      </c>
      <c r="F15" s="45">
        <f>'A.2.2'!G188</f>
        <v>375.22500000000002</v>
      </c>
      <c r="G15" s="45">
        <f>'A.2.2'!H188</f>
        <v>1226.9449999999999</v>
      </c>
      <c r="H15" s="45">
        <f>'A.2.2'!I188</f>
        <v>282.50200000000001</v>
      </c>
      <c r="I15" s="45">
        <f>'A.2.2'!J188</f>
        <v>520.78800000000001</v>
      </c>
      <c r="J15" s="45">
        <f>'A.2.2'!K188</f>
        <v>151.50299999999999</v>
      </c>
      <c r="K15" s="45">
        <f>'A.2.2'!L188</f>
        <v>885.79399999999998</v>
      </c>
      <c r="L15" s="45">
        <f>'A.2.2'!M188</f>
        <v>421.613</v>
      </c>
      <c r="M15" s="45">
        <f>'A.2.2'!N188</f>
        <v>331.315</v>
      </c>
      <c r="N15" s="45">
        <f>'A.2.2'!O188</f>
        <v>372.87599999999998</v>
      </c>
      <c r="O15" s="45">
        <f>'A.2.2'!P188</f>
        <v>0.10299999999999999</v>
      </c>
      <c r="P15" s="46">
        <f>SUM(B15:O15)</f>
        <v>6248.9690000000001</v>
      </c>
      <c r="R15" s="136" t="s">
        <v>106</v>
      </c>
      <c r="S15" s="133">
        <f>+HLOOKUP($R15,$A$51:$P$138,MATCH(S$2,$A$51:$A$138,0),FALSE)</f>
        <v>-1.6460189971235772E-3</v>
      </c>
      <c r="T15" s="133">
        <f>+HLOOKUP($R15,$A$51:$P$138,MATCH(T$2,$A$51:$A$138,0),FALSE)</f>
        <v>-3.9531498687271904E-3</v>
      </c>
      <c r="U15" s="133">
        <f>+HLOOKUP($R15,$A$51:$P$138,MATCH(U$2,$A$51:$A$138,0),FALSE)</f>
        <v>-3.4116175273556371E-3</v>
      </c>
      <c r="V15" s="133">
        <f>+HLOOKUP($R15,$A$51:$P$138,MATCH(V$2,$A$51:$A$138,0),FALSE)</f>
        <v>-9.1543717606812347E-4</v>
      </c>
      <c r="W15" s="133">
        <f>+HLOOKUP($R15,$A$51:$P$138,MATCH(W$2,$A$51:$A$138,0),FALSE)</f>
        <v>-1.2619369635047395E-4</v>
      </c>
      <c r="X15" s="133">
        <f>+HLOOKUP($R15,$A$51:$P$138,MATCH(X$2,$A$51:$A$138,0),FALSE)</f>
        <v>-8.9718579977116075E-4</v>
      </c>
      <c r="Y15" s="133">
        <f>+HLOOKUP($R15,$A$51:$P$138,MATCH(Y$2,$A$51:$A$138,0),FALSE)</f>
        <v>8.4306843958170674E-4</v>
      </c>
      <c r="Z15" s="133">
        <f>+HLOOKUP($R15,$A$51:$P$138,MATCH(Z$2,$A$51:$A$138,0),FALSE)</f>
        <v>-1.9453811602592186E-3</v>
      </c>
      <c r="AA15" s="133">
        <f>+HLOOKUP($R15,$A$51:$P$138,MATCH(AA$2,$A$51:$A$138,0),FALSE)</f>
        <v>8.7231679422890007E-3</v>
      </c>
      <c r="AB15" s="133">
        <f>+HLOOKUP($R15,$A$51:$P$138,MATCH(AB$2,$A$51:$A$138,0),FALSE)</f>
        <v>6.3338575209108683E-3</v>
      </c>
      <c r="AC15" s="133">
        <f>+HLOOKUP($R15,$A$51:$P$138,MATCH(AC$2,$A$51:$A$138,0),FALSE)</f>
        <v>3.0603318699706783E-4</v>
      </c>
      <c r="AD15" s="133">
        <f>+HLOOKUP($R15,$A$51:$P$138,MATCH(AD$2,$A$51:$A$138,0),FALSE)</f>
        <v>-1.0965090401078292E-3</v>
      </c>
      <c r="AE15" s="156">
        <f>+HLOOKUP($R15,$A$51:$P$138,MATCH(AE$2,$A$51:$A$138,0),FALSE)</f>
        <v>-1.6262410251821624E-4</v>
      </c>
      <c r="AH15" s="61"/>
      <c r="AI15" s="61"/>
      <c r="AJ15" s="61"/>
      <c r="AK15" s="61"/>
      <c r="AL15" s="61"/>
      <c r="AM15" s="61"/>
      <c r="AN15" s="61"/>
      <c r="AO15" s="61"/>
      <c r="AP15" s="61"/>
    </row>
    <row r="16" spans="1:43" ht="18" thickBot="1" x14ac:dyDescent="0.35">
      <c r="A16" s="40">
        <v>45444</v>
      </c>
      <c r="B16" s="45">
        <f>'A.2.2'!B189+'A.2.2'!C189</f>
        <v>335.72</v>
      </c>
      <c r="C16" s="45">
        <f>'A.2.2'!D189</f>
        <v>95.893000000000001</v>
      </c>
      <c r="D16" s="45">
        <f>'A.2.2'!E189</f>
        <v>1167.788</v>
      </c>
      <c r="E16" s="45">
        <f>'A.2.2'!F189</f>
        <v>76.188999999999993</v>
      </c>
      <c r="F16" s="45">
        <f>'A.2.2'!G189</f>
        <v>372.78399999999999</v>
      </c>
      <c r="G16" s="45">
        <f>'A.2.2'!H189</f>
        <v>1227.579</v>
      </c>
      <c r="H16" s="45">
        <f>'A.2.2'!I189</f>
        <v>281.53500000000003</v>
      </c>
      <c r="I16" s="45">
        <f>'A.2.2'!J189</f>
        <v>520.375</v>
      </c>
      <c r="J16" s="45">
        <f>'A.2.2'!K189</f>
        <v>151.71199999999999</v>
      </c>
      <c r="K16" s="45">
        <f>'A.2.2'!L189</f>
        <v>883.673</v>
      </c>
      <c r="L16" s="45">
        <f>'A.2.2'!M189</f>
        <v>421.45699999999999</v>
      </c>
      <c r="M16" s="45">
        <f>'A.2.2'!N189</f>
        <v>330.48099999999999</v>
      </c>
      <c r="N16" s="45">
        <f>'A.2.2'!O189</f>
        <v>373.97199999999998</v>
      </c>
      <c r="O16" s="45">
        <f>'A.2.2'!P189</f>
        <v>0.10199999999999999</v>
      </c>
      <c r="P16" s="46">
        <f>SUM(B16:O16)</f>
        <v>6239.26</v>
      </c>
      <c r="R16" s="137" t="s">
        <v>58</v>
      </c>
      <c r="S16" s="134">
        <f>+HLOOKUP($R16,$A$51:$P$138,MATCH(S$2,$A$51:$A$138,0),FALSE)</f>
        <v>3.5819666177938636E-4</v>
      </c>
      <c r="T16" s="134">
        <f>+HLOOKUP($R16,$A$51:$P$138,MATCH(T$2,$A$51:$A$138,0),FALSE)</f>
        <v>-2.3250511133069418E-3</v>
      </c>
      <c r="U16" s="134">
        <f>+HLOOKUP($R16,$A$51:$P$138,MATCH(U$2,$A$51:$A$138,0),FALSE)</f>
        <v>-1.9373397812162407E-3</v>
      </c>
      <c r="V16" s="134">
        <f>+HLOOKUP($R16,$A$51:$P$138,MATCH(V$2,$A$51:$A$138,0),FALSE)</f>
        <v>-1.7364619347707277E-3</v>
      </c>
      <c r="W16" s="134">
        <f>+HLOOKUP($R16,$A$51:$P$138,MATCH(W$2,$A$51:$A$138,0),FALSE)</f>
        <v>-2.053154385170175E-3</v>
      </c>
      <c r="X16" s="134">
        <f>+HLOOKUP($R16,$A$51:$P$138,MATCH(X$2,$A$51:$A$138,0),FALSE)</f>
        <v>-2.5293369466413695E-3</v>
      </c>
      <c r="Y16" s="134">
        <f>+HLOOKUP($R16,$A$51:$P$138,MATCH(Y$2,$A$51:$A$138,0),FALSE)</f>
        <v>-2.6542814176916396E-3</v>
      </c>
      <c r="Z16" s="134">
        <f>+HLOOKUP($R16,$A$51:$P$138,MATCH(Z$2,$A$51:$A$138,0),FALSE)</f>
        <v>-2.0456091116033415E-3</v>
      </c>
      <c r="AA16" s="134">
        <f>+HLOOKUP($R16,$A$51:$P$138,MATCH(AA$2,$A$51:$A$138,0),FALSE)</f>
        <v>-1.2469589577778217E-3</v>
      </c>
      <c r="AB16" s="134">
        <f>+HLOOKUP($R16,$A$51:$P$138,MATCH(AB$2,$A$51:$A$138,0),FALSE)</f>
        <v>-3.2835186991042598E-4</v>
      </c>
      <c r="AC16" s="134">
        <f>+HLOOKUP($R16,$A$51:$P$138,MATCH(AC$2,$A$51:$A$138,0),FALSE)</f>
        <v>-1.5530432425984175E-3</v>
      </c>
      <c r="AD16" s="134">
        <f>+HLOOKUP($R16,$A$51:$P$138,MATCH(AD$2,$A$51:$A$138,0),FALSE)</f>
        <v>-1.941479311339922E-3</v>
      </c>
      <c r="AE16" s="157">
        <f>+HLOOKUP($R16,$A$51:$P$138,MATCH(AE$2,$A$51:$A$138,0),FALSE)</f>
        <v>-1.4752678085782067E-3</v>
      </c>
      <c r="AH16" s="61"/>
      <c r="AI16" s="61"/>
      <c r="AJ16" s="61"/>
      <c r="AK16" s="61"/>
      <c r="AL16" s="61"/>
      <c r="AM16" s="61"/>
      <c r="AN16" s="61"/>
      <c r="AO16" s="61"/>
      <c r="AP16" s="61"/>
    </row>
    <row r="17" spans="1:34" x14ac:dyDescent="0.3">
      <c r="A17" s="40">
        <v>45474</v>
      </c>
      <c r="B17" s="45">
        <f>'A.2.2'!B190+'A.2.2'!C190</f>
        <v>334.45400000000001</v>
      </c>
      <c r="C17" s="45">
        <f>'A.2.2'!D190</f>
        <v>95.727000000000004</v>
      </c>
      <c r="D17" s="45">
        <f>'A.2.2'!E190</f>
        <v>1165.8489999999999</v>
      </c>
      <c r="E17" s="45">
        <f>'A.2.2'!F190</f>
        <v>76.180000000000007</v>
      </c>
      <c r="F17" s="45">
        <f>'A.2.2'!G190</f>
        <v>371.82299999999998</v>
      </c>
      <c r="G17" s="45">
        <f>'A.2.2'!H190</f>
        <v>1228.423</v>
      </c>
      <c r="H17" s="45">
        <f>'A.2.2'!I190</f>
        <v>281.06299999999999</v>
      </c>
      <c r="I17" s="45">
        <f>'A.2.2'!J190</f>
        <v>520.08399999999995</v>
      </c>
      <c r="J17" s="45">
        <f>'A.2.2'!K190</f>
        <v>151.44999999999999</v>
      </c>
      <c r="K17" s="45">
        <f>'A.2.2'!L190</f>
        <v>882.91300000000001</v>
      </c>
      <c r="L17" s="45">
        <f>'A.2.2'!M190</f>
        <v>421.91899999999998</v>
      </c>
      <c r="M17" s="45">
        <f>'A.2.2'!N190</f>
        <v>330.11</v>
      </c>
      <c r="N17" s="45">
        <f>'A.2.2'!O190</f>
        <v>373.03199999999998</v>
      </c>
      <c r="O17" s="45">
        <f>'A.2.2'!P190</f>
        <v>9.0999999999999998E-2</v>
      </c>
      <c r="P17" s="46">
        <f t="shared" ref="P17:P22" si="1">SUM(B17:O17)</f>
        <v>6233.1180000000004</v>
      </c>
      <c r="AF17" s="61"/>
      <c r="AG17" s="57"/>
      <c r="AH17" s="61"/>
    </row>
    <row r="18" spans="1:34" ht="18" thickBot="1" x14ac:dyDescent="0.35">
      <c r="A18" s="40">
        <v>45505</v>
      </c>
      <c r="B18" s="45">
        <f>'A.2.2'!B191+'A.2.2'!C191</f>
        <v>335.76900000000001</v>
      </c>
      <c r="C18" s="45">
        <f>'A.2.2'!D191</f>
        <v>95.525999999999996</v>
      </c>
      <c r="D18" s="45">
        <f>'A.2.2'!E191</f>
        <v>1165.8119999999999</v>
      </c>
      <c r="E18" s="45">
        <f>'A.2.2'!F191</f>
        <v>75.881</v>
      </c>
      <c r="F18" s="45">
        <f>'A.2.2'!G191</f>
        <v>372.68799999999999</v>
      </c>
      <c r="G18" s="45">
        <f>'A.2.2'!H191</f>
        <v>1232.0530000000001</v>
      </c>
      <c r="H18" s="45">
        <f>'A.2.2'!I191</f>
        <v>280.38499999999999</v>
      </c>
      <c r="I18" s="45">
        <f>'A.2.2'!J191</f>
        <v>519.19600000000003</v>
      </c>
      <c r="J18" s="45">
        <f>'A.2.2'!K191</f>
        <v>151.83099999999999</v>
      </c>
      <c r="K18" s="45">
        <f>'A.2.2'!L191</f>
        <v>883.98400000000004</v>
      </c>
      <c r="L18" s="45">
        <f>'A.2.2'!M191</f>
        <v>421.75599999999997</v>
      </c>
      <c r="M18" s="45">
        <f>'A.2.2'!N191</f>
        <v>330.04</v>
      </c>
      <c r="N18" s="45">
        <f>'A.2.2'!O191</f>
        <v>372.22199999999998</v>
      </c>
      <c r="O18" s="45">
        <f>'A.2.2'!P191</f>
        <v>8.5999999999999993E-2</v>
      </c>
      <c r="P18" s="46">
        <f t="shared" si="1"/>
        <v>6237.2290000000012</v>
      </c>
      <c r="R18" s="55" t="s">
        <v>118</v>
      </c>
      <c r="AF18" s="61"/>
      <c r="AG18" s="57"/>
      <c r="AH18" s="61"/>
    </row>
    <row r="19" spans="1:34" x14ac:dyDescent="0.3">
      <c r="A19" s="40">
        <v>45536</v>
      </c>
      <c r="B19" s="45">
        <f>'A.2.2'!B192+'A.2.2'!C192</f>
        <v>335.74099999999999</v>
      </c>
      <c r="C19" s="45">
        <f>'A.2.2'!D192</f>
        <v>95.441000000000003</v>
      </c>
      <c r="D19" s="45">
        <f>'A.2.2'!E192</f>
        <v>1167.3979999999999</v>
      </c>
      <c r="E19" s="45">
        <f>'A.2.2'!F192</f>
        <v>75.909000000000006</v>
      </c>
      <c r="F19" s="45">
        <f>'A.2.2'!G192</f>
        <v>373.92099999999999</v>
      </c>
      <c r="G19" s="45">
        <f>'A.2.2'!H192</f>
        <v>1237.0940000000001</v>
      </c>
      <c r="H19" s="45">
        <f>'A.2.2'!I192</f>
        <v>280.25400000000002</v>
      </c>
      <c r="I19" s="45">
        <f>'A.2.2'!J192</f>
        <v>518.71500000000003</v>
      </c>
      <c r="J19" s="45">
        <f>'A.2.2'!K192</f>
        <v>151.65700000000001</v>
      </c>
      <c r="K19" s="45">
        <f>'A.2.2'!L192</f>
        <v>886.298</v>
      </c>
      <c r="L19" s="45">
        <f>'A.2.2'!M192</f>
        <v>421.952</v>
      </c>
      <c r="M19" s="45">
        <f>'A.2.2'!N192</f>
        <v>330.166</v>
      </c>
      <c r="N19" s="45">
        <f>'A.2.2'!O192</f>
        <v>371.69799999999998</v>
      </c>
      <c r="O19" s="45">
        <f>'A.2.2'!P192</f>
        <v>9.2999999999999999E-2</v>
      </c>
      <c r="P19" s="46">
        <f t="shared" si="1"/>
        <v>6246.3370000000004</v>
      </c>
      <c r="R19" s="63"/>
      <c r="S19" s="94">
        <f>A21</f>
        <v>45597</v>
      </c>
      <c r="T19" s="94">
        <f>A22</f>
        <v>45627</v>
      </c>
      <c r="U19" s="94">
        <f>A23</f>
        <v>45658</v>
      </c>
      <c r="V19" s="94">
        <f>A24</f>
        <v>45689</v>
      </c>
      <c r="W19" s="94">
        <f>A25</f>
        <v>45717</v>
      </c>
      <c r="X19" s="94">
        <f>A26</f>
        <v>45748</v>
      </c>
      <c r="Y19" s="94">
        <f>A27</f>
        <v>45778</v>
      </c>
      <c r="Z19" s="94">
        <f>A28</f>
        <v>45809</v>
      </c>
      <c r="AA19" s="94">
        <f>A29</f>
        <v>45839</v>
      </c>
      <c r="AB19" s="94">
        <f>A30</f>
        <v>45870</v>
      </c>
      <c r="AC19" s="94">
        <f>A31</f>
        <v>45901</v>
      </c>
      <c r="AD19" s="104">
        <f>A32</f>
        <v>45931</v>
      </c>
      <c r="AE19" s="104">
        <f>A33</f>
        <v>45962</v>
      </c>
      <c r="AF19" s="61"/>
      <c r="AG19" s="57"/>
      <c r="AH19" s="61"/>
    </row>
    <row r="20" spans="1:34" x14ac:dyDescent="0.3">
      <c r="A20" s="40">
        <v>45566</v>
      </c>
      <c r="B20" s="45">
        <f>'A.2.2'!B193+'A.2.2'!C193</f>
        <v>336.16</v>
      </c>
      <c r="C20" s="45">
        <f>'A.2.2'!D193</f>
        <v>95.194000000000003</v>
      </c>
      <c r="D20" s="45">
        <f>'A.2.2'!E193</f>
        <v>1169.9269999999999</v>
      </c>
      <c r="E20" s="45">
        <f>'A.2.2'!F193</f>
        <v>75.884</v>
      </c>
      <c r="F20" s="45">
        <f>'A.2.2'!G193</f>
        <v>372.54399999999998</v>
      </c>
      <c r="G20" s="45">
        <f>'A.2.2'!H193</f>
        <v>1241.625</v>
      </c>
      <c r="H20" s="45">
        <f>'A.2.2'!I193</f>
        <v>280.37099999999998</v>
      </c>
      <c r="I20" s="45">
        <f>'A.2.2'!J193</f>
        <v>518.4</v>
      </c>
      <c r="J20" s="45">
        <f>'A.2.2'!K193</f>
        <v>151.52099999999999</v>
      </c>
      <c r="K20" s="45">
        <f>'A.2.2'!L193</f>
        <v>888.12900000000002</v>
      </c>
      <c r="L20" s="45">
        <f>'A.2.2'!M193</f>
        <v>422.22699999999998</v>
      </c>
      <c r="M20" s="45">
        <f>'A.2.2'!N193</f>
        <v>329.98899999999998</v>
      </c>
      <c r="N20" s="45">
        <f>'A.2.2'!O193</f>
        <v>371.827</v>
      </c>
      <c r="O20" s="45">
        <f>'A.2.2'!P193</f>
        <v>8.1000000000000003E-2</v>
      </c>
      <c r="P20" s="46">
        <f t="shared" si="1"/>
        <v>6253.8789999999999</v>
      </c>
      <c r="R20" s="95" t="s">
        <v>48</v>
      </c>
      <c r="S20" s="124">
        <f>$B$111</f>
        <v>0.1239999999999668</v>
      </c>
      <c r="T20" s="124">
        <f>$B$112</f>
        <v>0.22899999999998499</v>
      </c>
      <c r="U20" s="124">
        <f>$B$113</f>
        <v>-1.1449999999999818</v>
      </c>
      <c r="V20" s="124">
        <f>$B$114</f>
        <v>-0.76499999999998636</v>
      </c>
      <c r="W20" s="124">
        <f>$B$115</f>
        <v>-3.8500000000000227</v>
      </c>
      <c r="X20" s="124">
        <f>$B$116</f>
        <v>4.2750000000000341</v>
      </c>
      <c r="Y20" s="124">
        <f>$B$117</f>
        <v>-0.95600000000001728</v>
      </c>
      <c r="Z20" s="124">
        <f>$B$118</f>
        <v>-1.2050000000000409</v>
      </c>
      <c r="AA20" s="124">
        <f>$B$119</f>
        <v>0.26699999999999591</v>
      </c>
      <c r="AB20" s="124">
        <f>$B$122</f>
        <v>-0.94799999999997908</v>
      </c>
      <c r="AC20" s="124">
        <f>$B123</f>
        <v>0.44700000000000273</v>
      </c>
      <c r="AD20" s="124">
        <f>$B124</f>
        <v>-0.39400000000000546</v>
      </c>
      <c r="AE20" s="124">
        <f>$B125</f>
        <v>-0.25799999999998136</v>
      </c>
      <c r="AF20" s="61"/>
      <c r="AG20" s="57"/>
      <c r="AH20" s="61"/>
    </row>
    <row r="21" spans="1:34" x14ac:dyDescent="0.3">
      <c r="A21" s="40">
        <v>45597</v>
      </c>
      <c r="B21" s="45">
        <f>'A.2.2'!B194+'A.2.2'!C194</f>
        <v>336.28399999999999</v>
      </c>
      <c r="C21" s="45">
        <f>'A.2.2'!D194</f>
        <v>94.772000000000006</v>
      </c>
      <c r="D21" s="45">
        <f>'A.2.2'!E194</f>
        <v>1168.9269999999999</v>
      </c>
      <c r="E21" s="45">
        <f>'A.2.2'!F194</f>
        <v>75.959999999999994</v>
      </c>
      <c r="F21" s="45">
        <f>'A.2.2'!G194</f>
        <v>373.12299999999999</v>
      </c>
      <c r="G21" s="45">
        <f>'A.2.2'!H194</f>
        <v>1246.0039999999999</v>
      </c>
      <c r="H21" s="45">
        <f>'A.2.2'!I194</f>
        <v>279.76499999999999</v>
      </c>
      <c r="I21" s="45">
        <f>'A.2.2'!J194</f>
        <v>518.17700000000002</v>
      </c>
      <c r="J21" s="45">
        <f>'A.2.2'!K194</f>
        <v>151.404</v>
      </c>
      <c r="K21" s="45">
        <f>'A.2.2'!L194</f>
        <v>887.83900000000006</v>
      </c>
      <c r="L21" s="45">
        <f>'A.2.2'!M194</f>
        <v>422.233</v>
      </c>
      <c r="M21" s="45">
        <f>'A.2.2'!N194</f>
        <v>329.995</v>
      </c>
      <c r="N21" s="45">
        <f>'A.2.2'!O194</f>
        <v>370.589</v>
      </c>
      <c r="O21" s="45">
        <f>'A.2.2'!P194</f>
        <v>8.5999999999999993E-2</v>
      </c>
      <c r="P21" s="46">
        <f t="shared" si="1"/>
        <v>6255.1579999999994</v>
      </c>
      <c r="R21" s="95" t="s">
        <v>49</v>
      </c>
      <c r="S21" s="124">
        <f>$C$111</f>
        <v>-0.42199999999999704</v>
      </c>
      <c r="T21" s="124">
        <f>$C$112</f>
        <v>-0.39300000000000068</v>
      </c>
      <c r="U21" s="124">
        <f>$C$113</f>
        <v>-0.35099999999999909</v>
      </c>
      <c r="V21" s="124">
        <f>$C$114</f>
        <v>-1.1560000000000059</v>
      </c>
      <c r="W21" s="124">
        <f>$C$115</f>
        <v>-1.1069999999999993</v>
      </c>
      <c r="X21" s="124">
        <f>$C$116</f>
        <v>-0.64100000000000534</v>
      </c>
      <c r="Y21" s="124">
        <f>$C$117</f>
        <v>-0.92900000000000205</v>
      </c>
      <c r="Z21" s="124">
        <f>$C$118</f>
        <v>-0.93099999999999739</v>
      </c>
      <c r="AA21" s="124">
        <f>$C$119</f>
        <v>-0.63599999999999568</v>
      </c>
      <c r="AB21" s="124">
        <f>$C$122</f>
        <v>-0.37999999999999545</v>
      </c>
      <c r="AC21" s="124">
        <f>$C$123</f>
        <v>-0.36800000000000921</v>
      </c>
      <c r="AD21" s="124">
        <f>$C$124</f>
        <v>-0.6629999999999967</v>
      </c>
      <c r="AE21" s="125">
        <f>$C$125</f>
        <v>-0.19700000000000273</v>
      </c>
      <c r="AF21" s="61"/>
      <c r="AG21" s="57"/>
      <c r="AH21" s="61"/>
    </row>
    <row r="22" spans="1:34" x14ac:dyDescent="0.3">
      <c r="A22" s="40">
        <v>45627</v>
      </c>
      <c r="B22" s="45">
        <f>'A.2.2'!B195+'A.2.2'!C195</f>
        <v>336.51299999999998</v>
      </c>
      <c r="C22" s="45">
        <f>'A.2.2'!D195</f>
        <v>94.379000000000005</v>
      </c>
      <c r="D22" s="45">
        <f>'A.2.2'!E195</f>
        <v>1167.1369999999999</v>
      </c>
      <c r="E22" s="45">
        <f>'A.2.2'!F195</f>
        <v>75.962000000000003</v>
      </c>
      <c r="F22" s="45">
        <f>'A.2.2'!G195</f>
        <v>376.61500000000001</v>
      </c>
      <c r="G22" s="45">
        <f>'A.2.2'!H195</f>
        <v>1249.97</v>
      </c>
      <c r="H22" s="45">
        <f>'A.2.2'!I195</f>
        <v>279.78199999999998</v>
      </c>
      <c r="I22" s="45">
        <f>'A.2.2'!J195</f>
        <v>516.72</v>
      </c>
      <c r="J22" s="45">
        <f>'A.2.2'!K195</f>
        <v>151.41</v>
      </c>
      <c r="K22" s="45">
        <f>'A.2.2'!L195</f>
        <v>891.19100000000003</v>
      </c>
      <c r="L22" s="45">
        <f>'A.2.2'!M195</f>
        <v>422.34300000000002</v>
      </c>
      <c r="M22" s="45">
        <f>'A.2.2'!N195</f>
        <v>330.12400000000002</v>
      </c>
      <c r="N22" s="45">
        <f>'A.2.2'!O195</f>
        <v>371.524</v>
      </c>
      <c r="O22" s="45">
        <f>'A.2.2'!P195</f>
        <v>8.5999999999999993E-2</v>
      </c>
      <c r="P22" s="46">
        <f t="shared" si="1"/>
        <v>6263.7560000000003</v>
      </c>
      <c r="R22" s="95" t="s">
        <v>45</v>
      </c>
      <c r="S22" s="124">
        <f>$D$111</f>
        <v>-1</v>
      </c>
      <c r="T22" s="124">
        <f>$D$112</f>
        <v>-1.7899999999999636</v>
      </c>
      <c r="U22" s="124">
        <f>$D$113</f>
        <v>-0.1330000000000382</v>
      </c>
      <c r="V22" s="124">
        <f>$D$114</f>
        <v>-0.50399999999990541</v>
      </c>
      <c r="W22" s="124">
        <f>$D$115</f>
        <v>-2.7590000000000146</v>
      </c>
      <c r="X22" s="124">
        <f>$D$116</f>
        <v>-1.58400000000006</v>
      </c>
      <c r="Y22" s="124">
        <f>$D$117</f>
        <v>-1.4689999999998236</v>
      </c>
      <c r="Z22" s="124">
        <f>$D$118</f>
        <v>-2.9039999999999964</v>
      </c>
      <c r="AA22" s="124">
        <f>$D$119</f>
        <v>-3.9580000000000837</v>
      </c>
      <c r="AB22" s="124">
        <f>$D$122</f>
        <v>-5.7309999999999945</v>
      </c>
      <c r="AC22" s="124">
        <f>$D$123</f>
        <v>-5.5729999999998654</v>
      </c>
      <c r="AD22" s="124">
        <f>$D$124</f>
        <v>-5.0640000000000782</v>
      </c>
      <c r="AE22" s="125">
        <f>$D$125</f>
        <v>-4.4480000000000928</v>
      </c>
      <c r="AF22" s="61"/>
      <c r="AG22" s="57"/>
      <c r="AH22" s="61"/>
    </row>
    <row r="23" spans="1:34" x14ac:dyDescent="0.3">
      <c r="A23" s="40">
        <v>45658</v>
      </c>
      <c r="B23" s="45">
        <f>'A.2.2'!B196+'A.2.2'!C196</f>
        <v>335.36799999999999</v>
      </c>
      <c r="C23" s="45">
        <f>'A.2.2'!D196</f>
        <v>94.028000000000006</v>
      </c>
      <c r="D23" s="45">
        <f>'A.2.2'!E196</f>
        <v>1167.0039999999999</v>
      </c>
      <c r="E23" s="45">
        <f>'A.2.2'!F196</f>
        <v>75.942999999999998</v>
      </c>
      <c r="F23" s="45">
        <f>'A.2.2'!G196</f>
        <v>378.65699999999998</v>
      </c>
      <c r="G23" s="45">
        <f>'A.2.2'!H196</f>
        <v>1250.299</v>
      </c>
      <c r="H23" s="45">
        <f>'A.2.2'!I196</f>
        <v>277.89999999999998</v>
      </c>
      <c r="I23" s="45">
        <f>'A.2.2'!J196</f>
        <v>515.58500000000004</v>
      </c>
      <c r="J23" s="45">
        <f>'A.2.2'!K196</f>
        <v>151.13800000000001</v>
      </c>
      <c r="K23" s="45">
        <f>'A.2.2'!L196</f>
        <v>888.173</v>
      </c>
      <c r="L23" s="45">
        <f>'A.2.2'!M196</f>
        <v>422.83300000000003</v>
      </c>
      <c r="M23" s="45">
        <f>'A.2.2'!N196</f>
        <v>329.86799999999999</v>
      </c>
      <c r="N23" s="45">
        <f>'A.2.2'!O196</f>
        <v>367.78199999999998</v>
      </c>
      <c r="O23" s="45">
        <f>'A.2.2'!P196</f>
        <v>9.0999999999999998E-2</v>
      </c>
      <c r="P23" s="46">
        <f t="shared" ref="P23:P28" si="2">SUM(B23:O23)</f>
        <v>6254.6690000000008</v>
      </c>
      <c r="R23" s="95" t="s">
        <v>50</v>
      </c>
      <c r="S23" s="124">
        <f>$E$111</f>
        <v>7.5999999999993406E-2</v>
      </c>
      <c r="T23" s="124">
        <f>$D$112</f>
        <v>-1.7899999999999636</v>
      </c>
      <c r="U23" s="124">
        <f>$E$113</f>
        <v>-1.9000000000005457E-2</v>
      </c>
      <c r="V23" s="124">
        <f>$E$114</f>
        <v>5.5000000000006821E-2</v>
      </c>
      <c r="W23" s="124">
        <f>$E$115</f>
        <v>-0.11599999999999966</v>
      </c>
      <c r="X23" s="124">
        <f>$E$116</f>
        <v>0.10999999999999943</v>
      </c>
      <c r="Y23" s="124">
        <f>$E$117</f>
        <v>0.28499999999999659</v>
      </c>
      <c r="Z23" s="124">
        <f>$E$118</f>
        <v>-1.099999999999568E-2</v>
      </c>
      <c r="AA23" s="124">
        <f>$E$119</f>
        <v>-6.0000000000002274E-3</v>
      </c>
      <c r="AB23" s="124">
        <f>$E$122</f>
        <v>-6.0000000000002274E-3</v>
      </c>
      <c r="AC23" s="124">
        <f>$E$123</f>
        <v>-1.099999999999568E-2</v>
      </c>
      <c r="AD23" s="124">
        <f>$E$124</f>
        <v>-6.0000000000002274E-3</v>
      </c>
      <c r="AE23" s="125">
        <f>$E$125</f>
        <v>3.3000000000001251E-2</v>
      </c>
      <c r="AF23" s="61"/>
      <c r="AG23" s="57"/>
      <c r="AH23" s="61"/>
    </row>
    <row r="24" spans="1:34" x14ac:dyDescent="0.3">
      <c r="A24" s="40">
        <v>45689</v>
      </c>
      <c r="B24" s="45">
        <f>'A.2.2'!B197+'A.2.2'!C197</f>
        <v>334.60300000000001</v>
      </c>
      <c r="C24" s="45">
        <f>'A.2.2'!D197</f>
        <v>92.872</v>
      </c>
      <c r="D24" s="45">
        <f>'A.2.2'!E197</f>
        <v>1166.5</v>
      </c>
      <c r="E24" s="45">
        <f>'A.2.2'!F197</f>
        <v>75.998000000000005</v>
      </c>
      <c r="F24" s="45">
        <f>'A.2.2'!G197</f>
        <v>381.05399999999997</v>
      </c>
      <c r="G24" s="45">
        <f>'A.2.2'!H197</f>
        <v>1252.5129999999999</v>
      </c>
      <c r="H24" s="45">
        <f>'A.2.2'!I197</f>
        <v>279.233</v>
      </c>
      <c r="I24" s="45">
        <f>'A.2.2'!J197</f>
        <v>515.66499999999996</v>
      </c>
      <c r="J24" s="45">
        <f>'A.2.2'!K197</f>
        <v>151.09100000000001</v>
      </c>
      <c r="K24" s="45">
        <f>'A.2.2'!L197</f>
        <v>892.81500000000005</v>
      </c>
      <c r="L24" s="45">
        <f>'A.2.2'!M197</f>
        <v>423.90600000000001</v>
      </c>
      <c r="M24" s="45">
        <f>'A.2.2'!N197</f>
        <v>330.05599999999998</v>
      </c>
      <c r="N24" s="45">
        <f>'A.2.2'!O197</f>
        <v>368.93</v>
      </c>
      <c r="O24" s="45">
        <f>'A.2.2'!P197</f>
        <v>8.8999999999999996E-2</v>
      </c>
      <c r="P24" s="46">
        <f t="shared" si="2"/>
        <v>6265.3250000000007</v>
      </c>
      <c r="R24" s="95" t="s">
        <v>34</v>
      </c>
      <c r="S24" s="124">
        <f>$F$111</f>
        <v>0.57900000000000773</v>
      </c>
      <c r="T24" s="124">
        <f>$F$112</f>
        <v>3.4920000000000186</v>
      </c>
      <c r="U24" s="124">
        <f>$F$113</f>
        <v>2.0419999999999732</v>
      </c>
      <c r="V24" s="124">
        <f>$F$114</f>
        <v>2.3969999999999914</v>
      </c>
      <c r="W24" s="124">
        <f>$F$115</f>
        <v>-3.1439999999999486</v>
      </c>
      <c r="X24" s="124">
        <f>$F$116</f>
        <v>1.8009999999999877</v>
      </c>
      <c r="Y24" s="124">
        <f>$F$117</f>
        <v>-9.3999999999994088E-2</v>
      </c>
      <c r="Z24" s="124">
        <f>$F$118</f>
        <v>-0.31000000000000227</v>
      </c>
      <c r="AA24" s="124">
        <f>$F$119</f>
        <v>6.7000000000007276E-2</v>
      </c>
      <c r="AB24" s="124">
        <f>$F$122</f>
        <v>-0.42100000000004911</v>
      </c>
      <c r="AC24" s="124">
        <f>$F$123</f>
        <v>-0.98299999999994725</v>
      </c>
      <c r="AD24" s="124">
        <f>$F$124</f>
        <v>1.6279999999999859</v>
      </c>
      <c r="AE24" s="125">
        <f>$F$125</f>
        <v>3.4869999999999663</v>
      </c>
      <c r="AF24" s="61"/>
      <c r="AG24" s="57"/>
      <c r="AH24" s="61"/>
    </row>
    <row r="25" spans="1:34" x14ac:dyDescent="0.3">
      <c r="A25" s="40">
        <v>45717</v>
      </c>
      <c r="B25" s="45">
        <f>'A.2.2'!B198+'A.2.2'!C198</f>
        <v>330.75299999999999</v>
      </c>
      <c r="C25" s="45">
        <f>'A.2.2'!D198</f>
        <v>91.765000000000001</v>
      </c>
      <c r="D25" s="45">
        <f>'A.2.2'!E198</f>
        <v>1163.741</v>
      </c>
      <c r="E25" s="45">
        <f>'A.2.2'!F198</f>
        <v>75.882000000000005</v>
      </c>
      <c r="F25" s="45">
        <f>'A.2.2'!G198</f>
        <v>377.91</v>
      </c>
      <c r="G25" s="45">
        <f>'A.2.2'!H198</f>
        <v>1253.039</v>
      </c>
      <c r="H25" s="45">
        <f>'A.2.2'!I198</f>
        <v>280.613</v>
      </c>
      <c r="I25" s="45">
        <f>'A.2.2'!J198</f>
        <v>515.74</v>
      </c>
      <c r="J25" s="45">
        <f>'A.2.2'!K198</f>
        <v>150.99100000000001</v>
      </c>
      <c r="K25" s="45">
        <f>'A.2.2'!L198</f>
        <v>893.00599999999997</v>
      </c>
      <c r="L25" s="45">
        <f>'A.2.2'!M198</f>
        <v>422.09</v>
      </c>
      <c r="M25" s="45">
        <f>'A.2.2'!N198</f>
        <v>330.01900000000001</v>
      </c>
      <c r="N25" s="45">
        <f>'A.2.2'!O198</f>
        <v>368.61200000000002</v>
      </c>
      <c r="O25" s="45">
        <f>'A.2.2'!P198</f>
        <v>8.3000000000000004E-2</v>
      </c>
      <c r="P25" s="46">
        <f t="shared" si="2"/>
        <v>6254.2440000000006</v>
      </c>
      <c r="R25" s="95" t="s">
        <v>51</v>
      </c>
      <c r="S25" s="124">
        <f>$G$111</f>
        <v>4.3789999999999054</v>
      </c>
      <c r="T25" s="124">
        <f>$G$112</f>
        <v>3.9660000000001219</v>
      </c>
      <c r="U25" s="124">
        <f>$G$113</f>
        <v>0.32899999999995089</v>
      </c>
      <c r="V25" s="124">
        <f>$G$114</f>
        <v>2.2139999999999418</v>
      </c>
      <c r="W25" s="124">
        <f>$G$115</f>
        <v>0.5260000000000673</v>
      </c>
      <c r="X25" s="124">
        <f>$G$116</f>
        <v>3.2980000000000018</v>
      </c>
      <c r="Y25" s="124">
        <f>$G$117</f>
        <v>2.4090000000001055</v>
      </c>
      <c r="Z25" s="124">
        <f>$G$118</f>
        <v>-1.0090000000000146</v>
      </c>
      <c r="AA25" s="124">
        <f>$G$119</f>
        <v>-1.4610000000000127</v>
      </c>
      <c r="AB25" s="124">
        <f>$G$122</f>
        <v>-4.1739999999999782</v>
      </c>
      <c r="AC25" s="124">
        <f>$G$123</f>
        <v>-5.2539999999999054</v>
      </c>
      <c r="AD25" s="124">
        <f>$G$124</f>
        <v>-3.6549999999999727</v>
      </c>
      <c r="AE25" s="125">
        <f>$G$125</f>
        <v>-4.0070000000000618</v>
      </c>
      <c r="AF25" s="61"/>
      <c r="AG25" s="57"/>
      <c r="AH25" s="61"/>
    </row>
    <row r="26" spans="1:34" x14ac:dyDescent="0.3">
      <c r="A26" s="40">
        <v>45748</v>
      </c>
      <c r="B26" s="45">
        <f>'A.2.2'!B199+'A.2.2'!C199</f>
        <v>335.02800000000002</v>
      </c>
      <c r="C26" s="45">
        <f>'A.2.2'!D199</f>
        <v>91.123999999999995</v>
      </c>
      <c r="D26" s="45">
        <f>'A.2.2'!E199</f>
        <v>1162.1569999999999</v>
      </c>
      <c r="E26" s="45">
        <f>'A.2.2'!F199</f>
        <v>75.992000000000004</v>
      </c>
      <c r="F26" s="45">
        <f>'A.2.2'!G199</f>
        <v>379.71100000000001</v>
      </c>
      <c r="G26" s="45">
        <f>'A.2.2'!H199</f>
        <v>1256.337</v>
      </c>
      <c r="H26" s="45">
        <f>'A.2.2'!I199</f>
        <v>280.28199999999998</v>
      </c>
      <c r="I26" s="45">
        <f>'A.2.2'!J199</f>
        <v>516.04700000000003</v>
      </c>
      <c r="J26" s="45">
        <f>'A.2.2'!K199</f>
        <v>150.78</v>
      </c>
      <c r="K26" s="45">
        <f>'A.2.2'!L199</f>
        <v>895.79399999999998</v>
      </c>
      <c r="L26" s="45">
        <f>'A.2.2'!M199</f>
        <v>422.98</v>
      </c>
      <c r="M26" s="45">
        <f>'A.2.2'!N199</f>
        <v>330.245</v>
      </c>
      <c r="N26" s="45">
        <f>'A.2.2'!O199</f>
        <v>368.161</v>
      </c>
      <c r="O26" s="45">
        <f>'A.2.2'!P199</f>
        <v>7.6999999999999999E-2</v>
      </c>
      <c r="P26" s="46">
        <f t="shared" si="2"/>
        <v>6264.7150000000001</v>
      </c>
      <c r="R26" s="95" t="s">
        <v>36</v>
      </c>
      <c r="S26" s="124">
        <f>$H$111</f>
        <v>-0.60599999999999454</v>
      </c>
      <c r="T26" s="124">
        <f>$H$112</f>
        <v>1.6999999999995907E-2</v>
      </c>
      <c r="U26" s="124">
        <f>$H$113</f>
        <v>-1.882000000000005</v>
      </c>
      <c r="V26" s="124">
        <f>$H$114</f>
        <v>1.3330000000000268</v>
      </c>
      <c r="W26" s="124">
        <f>$H$115</f>
        <v>1.3799999999999955</v>
      </c>
      <c r="X26" s="124">
        <f>$H$116</f>
        <v>-0.33100000000001728</v>
      </c>
      <c r="Y26" s="124">
        <f>$H$117</f>
        <v>0.73500000000001364</v>
      </c>
      <c r="Z26" s="124">
        <f>$H$118</f>
        <v>-0.44400000000001683</v>
      </c>
      <c r="AA26" s="124">
        <f>$H$119</f>
        <v>-0.96599999999995134</v>
      </c>
      <c r="AB26" s="124">
        <f>$H$122</f>
        <v>-0.49900000000002365</v>
      </c>
      <c r="AC26" s="124">
        <f>$H$123</f>
        <v>0.20600000000001728</v>
      </c>
      <c r="AD26" s="124">
        <f>$H$124</f>
        <v>-1.3009999999999877</v>
      </c>
      <c r="AE26" s="125">
        <f>$H$125</f>
        <v>-1.6800000000000068</v>
      </c>
      <c r="AF26" s="61"/>
      <c r="AG26" s="57"/>
      <c r="AH26" s="61"/>
    </row>
    <row r="27" spans="1:34" x14ac:dyDescent="0.3">
      <c r="A27" s="40">
        <v>45778</v>
      </c>
      <c r="B27" s="45">
        <f>'A.2.2'!B200+'A.2.2'!C200</f>
        <v>334.072</v>
      </c>
      <c r="C27" s="45">
        <f>'A.2.2'!D200</f>
        <v>90.194999999999993</v>
      </c>
      <c r="D27" s="45">
        <f>'A.2.2'!E200</f>
        <v>1160.6880000000001</v>
      </c>
      <c r="E27" s="45">
        <f>'A.2.2'!F200</f>
        <v>76.277000000000001</v>
      </c>
      <c r="F27" s="45">
        <f>'A.2.2'!G200</f>
        <v>379.61700000000002</v>
      </c>
      <c r="G27" s="45">
        <f>'A.2.2'!H200</f>
        <v>1258.7460000000001</v>
      </c>
      <c r="H27" s="45">
        <f>'A.2.2'!I200</f>
        <v>281.017</v>
      </c>
      <c r="I27" s="45">
        <f>'A.2.2'!J200</f>
        <v>517.64099999999996</v>
      </c>
      <c r="J27" s="45">
        <f>'A.2.2'!K200</f>
        <v>150.41399999999999</v>
      </c>
      <c r="K27" s="45">
        <f>'A.2.2'!L200</f>
        <v>896.95100000000002</v>
      </c>
      <c r="L27" s="45">
        <f>'A.2.2'!M200</f>
        <v>423.392</v>
      </c>
      <c r="M27" s="45">
        <f>'A.2.2'!N200</f>
        <v>330.31700000000001</v>
      </c>
      <c r="N27" s="45">
        <f>'A.2.2'!O200</f>
        <v>367.55500000000001</v>
      </c>
      <c r="O27" s="45">
        <f>'A.2.2'!P200</f>
        <v>7.6999999999999999E-2</v>
      </c>
      <c r="P27" s="46">
        <f t="shared" si="2"/>
        <v>6266.9589999999998</v>
      </c>
      <c r="R27" s="95" t="s">
        <v>52</v>
      </c>
      <c r="S27" s="124">
        <f>$I$111</f>
        <v>-0.22299999999995634</v>
      </c>
      <c r="T27" s="124">
        <f>$I$112</f>
        <v>-1.4569999999999936</v>
      </c>
      <c r="U27" s="124">
        <f>$I$113</f>
        <v>-1.1349999999999909</v>
      </c>
      <c r="V27" s="124">
        <f>$I$114</f>
        <v>7.999999999992724E-2</v>
      </c>
      <c r="W27" s="124">
        <f>$I$115</f>
        <v>7.5000000000045475E-2</v>
      </c>
      <c r="X27" s="124">
        <f>$I$116</f>
        <v>0.30700000000001637</v>
      </c>
      <c r="Y27" s="124">
        <f>$I$117</f>
        <v>1.5939999999999372</v>
      </c>
      <c r="Z27" s="124">
        <f>$I$118</f>
        <v>-2.86099999999999</v>
      </c>
      <c r="AA27" s="124">
        <f>$I$119</f>
        <v>-0.28099999999994907</v>
      </c>
      <c r="AB27" s="124">
        <f>$I$122</f>
        <v>-0.68799999999998818</v>
      </c>
      <c r="AC27" s="124">
        <f>$I$123</f>
        <v>-1.1599999999999682</v>
      </c>
      <c r="AD27" s="124">
        <f>$I$124</f>
        <v>-0.67500000000001137</v>
      </c>
      <c r="AE27" s="125">
        <f>$I$125</f>
        <v>-0.32200000000000273</v>
      </c>
      <c r="AF27" s="61"/>
      <c r="AG27" s="57"/>
      <c r="AH27" s="61"/>
    </row>
    <row r="28" spans="1:34" x14ac:dyDescent="0.3">
      <c r="A28" s="40">
        <v>45809</v>
      </c>
      <c r="B28" s="45">
        <f>'A.2.2'!B201+'A.2.2'!C201</f>
        <v>332.86699999999996</v>
      </c>
      <c r="C28" s="45">
        <f>'A.2.2'!D201</f>
        <v>89.263999999999996</v>
      </c>
      <c r="D28" s="45">
        <f>'A.2.2'!E201</f>
        <v>1157.7840000000001</v>
      </c>
      <c r="E28" s="45">
        <f>'A.2.2'!F201</f>
        <v>76.266000000000005</v>
      </c>
      <c r="F28" s="45">
        <f>'A.2.2'!G201</f>
        <v>379.30700000000002</v>
      </c>
      <c r="G28" s="45">
        <f>'A.2.2'!H201</f>
        <v>1257.7370000000001</v>
      </c>
      <c r="H28" s="45">
        <f>'A.2.2'!I201</f>
        <v>280.57299999999998</v>
      </c>
      <c r="I28" s="45">
        <f>'A.2.2'!J201</f>
        <v>514.78</v>
      </c>
      <c r="J28" s="45">
        <f>'A.2.2'!K201</f>
        <v>149.80199999999999</v>
      </c>
      <c r="K28" s="45">
        <f>'A.2.2'!L201</f>
        <v>893.47</v>
      </c>
      <c r="L28" s="45">
        <f>'A.2.2'!M201</f>
        <v>423.94799999999998</v>
      </c>
      <c r="M28" s="45">
        <f>'A.2.2'!N201</f>
        <v>330.42200000000003</v>
      </c>
      <c r="N28" s="45">
        <f>'A.2.2'!O201</f>
        <v>366.10199999999998</v>
      </c>
      <c r="O28" s="45">
        <f>'A.2.2'!P201</f>
        <v>6.6000000000000003E-2</v>
      </c>
      <c r="P28" s="46">
        <f t="shared" si="2"/>
        <v>6252.3880000000008</v>
      </c>
      <c r="R28" s="95" t="s">
        <v>104</v>
      </c>
      <c r="S28" s="124">
        <f>$J$111</f>
        <v>-0.11699999999999022</v>
      </c>
      <c r="T28" s="124">
        <f>$J$112</f>
        <v>6.0000000000002274E-3</v>
      </c>
      <c r="U28" s="124">
        <f>$J$113</f>
        <v>-0.27199999999999136</v>
      </c>
      <c r="V28" s="124">
        <f>$J$114</f>
        <v>-4.6999999999997044E-2</v>
      </c>
      <c r="W28" s="124">
        <f>$J$115</f>
        <v>-9.9999999999994316E-2</v>
      </c>
      <c r="X28" s="124">
        <f>$J$116</f>
        <v>-0.21100000000001273</v>
      </c>
      <c r="Y28" s="124">
        <f>$J$117</f>
        <v>-0.36600000000001387</v>
      </c>
      <c r="Z28" s="124">
        <f>$J$118</f>
        <v>-0.61199999999999477</v>
      </c>
      <c r="AA28" s="124">
        <f>$J$119</f>
        <v>-7.2999999999979082E-2</v>
      </c>
      <c r="AB28" s="124">
        <f>$J$122</f>
        <v>-0.41300000000001091</v>
      </c>
      <c r="AC28" s="124">
        <f>$J$123</f>
        <v>-0.38100000000000023</v>
      </c>
      <c r="AD28" s="124">
        <f>$J$124</f>
        <v>-0.65699999999998226</v>
      </c>
      <c r="AE28" s="125">
        <f>$J$125</f>
        <v>-0.44400000000001683</v>
      </c>
    </row>
    <row r="29" spans="1:34" x14ac:dyDescent="0.3">
      <c r="A29" s="40">
        <v>45839</v>
      </c>
      <c r="B29" s="45">
        <f>'A.2.2'!B202+'A.2.2'!C202</f>
        <v>333.13399999999996</v>
      </c>
      <c r="C29" s="45">
        <f>'A.2.2'!D202</f>
        <v>88.628</v>
      </c>
      <c r="D29" s="45">
        <f>'A.2.2'!E202</f>
        <v>1153.826</v>
      </c>
      <c r="E29" s="45">
        <f>'A.2.2'!F202</f>
        <v>76.260000000000005</v>
      </c>
      <c r="F29" s="45">
        <f>'A.2.2'!G202</f>
        <v>379.37400000000002</v>
      </c>
      <c r="G29" s="45">
        <f>'A.2.2'!H202</f>
        <v>1256.2760000000001</v>
      </c>
      <c r="H29" s="45">
        <f>'A.2.2'!I202</f>
        <v>279.60700000000003</v>
      </c>
      <c r="I29" s="45">
        <f>'A.2.2'!J202</f>
        <v>514.49900000000002</v>
      </c>
      <c r="J29" s="45">
        <f>'A.2.2'!K202</f>
        <v>149.72900000000001</v>
      </c>
      <c r="K29" s="45">
        <f>'A.2.2'!L202</f>
        <v>889.84500000000003</v>
      </c>
      <c r="L29" s="45">
        <f>'A.2.2'!M202</f>
        <v>423.85399999999998</v>
      </c>
      <c r="M29" s="45">
        <f>'A.2.2'!N202</f>
        <v>330.32600000000002</v>
      </c>
      <c r="N29" s="45">
        <f>'A.2.2'!O202</f>
        <v>364.85300000000001</v>
      </c>
      <c r="O29" s="45">
        <f>'A.2.2'!P202</f>
        <v>6.4000000000000001E-2</v>
      </c>
      <c r="P29" s="46">
        <f t="shared" ref="P29:P35" si="3">SUM(B29:O29)</f>
        <v>6240.2750000000015</v>
      </c>
      <c r="R29" s="95" t="s">
        <v>105</v>
      </c>
      <c r="S29" s="124">
        <f>$K$111</f>
        <v>-0.28999999999996362</v>
      </c>
      <c r="T29" s="124">
        <f>$K$112</f>
        <v>3.3519999999999754</v>
      </c>
      <c r="U29" s="124">
        <f>$K$113</f>
        <v>-3.0180000000000291</v>
      </c>
      <c r="V29" s="124">
        <f>$K$114</f>
        <v>4.6420000000000528</v>
      </c>
      <c r="W29" s="124">
        <f>$K$115</f>
        <v>0.19099999999991724</v>
      </c>
      <c r="X29" s="124">
        <f>$K$116</f>
        <v>2.7880000000000109</v>
      </c>
      <c r="Y29" s="124">
        <f>$K$117</f>
        <v>1.1570000000000391</v>
      </c>
      <c r="Z29" s="124">
        <f>$K$118</f>
        <v>-3.4809999999999945</v>
      </c>
      <c r="AA29" s="124">
        <f>$K$119</f>
        <v>-3.625</v>
      </c>
      <c r="AB29" s="124">
        <f>$K$122</f>
        <v>-2.2590000000000146</v>
      </c>
      <c r="AC29" s="124">
        <f>$K$123</f>
        <v>-3.1399999999999864</v>
      </c>
      <c r="AD29" s="124">
        <f>$K$124</f>
        <v>-1.7740000000000009</v>
      </c>
      <c r="AE29" s="125">
        <f>$K$125</f>
        <v>-4.3079999999999927</v>
      </c>
    </row>
    <row r="30" spans="1:34" x14ac:dyDescent="0.3">
      <c r="A30" s="40">
        <v>45870</v>
      </c>
      <c r="B30" s="45">
        <f>'A.2.2'!B203+'A.2.2'!C203</f>
        <v>333.73500000000001</v>
      </c>
      <c r="C30" s="45">
        <f>'A.2.2'!D203</f>
        <v>88.064999999999998</v>
      </c>
      <c r="D30" s="45">
        <f>'A.2.2'!E203</f>
        <v>1150.2550000000001</v>
      </c>
      <c r="E30" s="45">
        <f>'A.2.2'!F203</f>
        <v>76.369</v>
      </c>
      <c r="F30" s="45">
        <f>'A.2.2'!G203</f>
        <v>378.32</v>
      </c>
      <c r="G30" s="45">
        <f>'A.2.2'!H203</f>
        <v>1254.242</v>
      </c>
      <c r="H30" s="45">
        <f>'A.2.2'!I203</f>
        <v>279.61900000000003</v>
      </c>
      <c r="I30" s="45">
        <f>'A.2.2'!J203</f>
        <v>514.44799999999998</v>
      </c>
      <c r="J30" s="45">
        <f>'A.2.2'!K203</f>
        <v>148.89500000000001</v>
      </c>
      <c r="K30" s="45">
        <f>'A.2.2'!L203</f>
        <v>887.12400000000002</v>
      </c>
      <c r="L30" s="45">
        <f>'A.2.2'!M203</f>
        <v>423.53699999999998</v>
      </c>
      <c r="M30" s="45">
        <f>'A.2.2'!N203</f>
        <v>330.24799999999999</v>
      </c>
      <c r="N30" s="45">
        <f>'A.2.2'!O203</f>
        <v>364.51900000000001</v>
      </c>
      <c r="O30" s="45">
        <f>'A.2.2'!P203</f>
        <v>6.3E-2</v>
      </c>
      <c r="P30" s="46">
        <f t="shared" si="3"/>
        <v>6229.4390000000003</v>
      </c>
      <c r="R30" s="95" t="s">
        <v>55</v>
      </c>
      <c r="S30" s="124">
        <f>$L$111</f>
        <v>6.0000000000286491E-3</v>
      </c>
      <c r="T30" s="124">
        <f>$L$112</f>
        <v>0.11000000000001364</v>
      </c>
      <c r="U30" s="124">
        <f>$L$113</f>
        <v>0.49000000000000909</v>
      </c>
      <c r="V30" s="124">
        <f>$L$114</f>
        <v>1.0729999999999791</v>
      </c>
      <c r="W30" s="124">
        <f>$L$115</f>
        <v>-1.8160000000000309</v>
      </c>
      <c r="X30" s="124">
        <f>$L$116</f>
        <v>0.8900000000000432</v>
      </c>
      <c r="Y30" s="124">
        <f>$L$117</f>
        <v>0.41199999999997772</v>
      </c>
      <c r="Z30" s="124">
        <f>$L$118</f>
        <v>0.55599999999998317</v>
      </c>
      <c r="AA30" s="124">
        <f>$L$119</f>
        <v>-9.3999999999994088E-2</v>
      </c>
      <c r="AB30" s="124">
        <f>$L$122</f>
        <v>0.18500000000000227</v>
      </c>
      <c r="AC30" s="124">
        <f>$L$123</f>
        <v>-0.42300000000000182</v>
      </c>
      <c r="AD30" s="124">
        <f>$L$124</f>
        <v>0.5110000000000241</v>
      </c>
      <c r="AE30" s="125">
        <f>$L$125</f>
        <v>1.3209999999999695</v>
      </c>
    </row>
    <row r="31" spans="1:34" x14ac:dyDescent="0.3">
      <c r="A31" s="40">
        <v>45901</v>
      </c>
      <c r="B31" s="45">
        <f>'A.2.2'!B204+'A.2.2'!C204</f>
        <v>333.52299999999997</v>
      </c>
      <c r="C31" s="45">
        <f>'A.2.2'!D204</f>
        <v>87.603999999999999</v>
      </c>
      <c r="D31" s="45">
        <f>'A.2.2'!E204</f>
        <v>1145.3779999999999</v>
      </c>
      <c r="E31" s="45">
        <f>'A.2.2'!F204</f>
        <v>76.44</v>
      </c>
      <c r="F31" s="45">
        <f>'A.2.2'!G204</f>
        <v>377.01100000000002</v>
      </c>
      <c r="G31" s="45">
        <f>'A.2.2'!H204</f>
        <v>1250.3969999999999</v>
      </c>
      <c r="H31" s="45">
        <f>'A.2.2'!I204</f>
        <v>279.351</v>
      </c>
      <c r="I31" s="45">
        <f>'A.2.2'!J204</f>
        <v>513.31899999999996</v>
      </c>
      <c r="J31" s="45">
        <f>'A.2.2'!K204</f>
        <v>148.63800000000001</v>
      </c>
      <c r="K31" s="45">
        <f>'A.2.2'!L204</f>
        <v>886.68799999999999</v>
      </c>
      <c r="L31" s="45">
        <f>'A.2.2'!M204</f>
        <v>423.58199999999999</v>
      </c>
      <c r="M31" s="45">
        <f>'A.2.2'!N204</f>
        <v>330.17399999999998</v>
      </c>
      <c r="N31" s="45">
        <f>'A.2.2'!O204</f>
        <v>364.47300000000001</v>
      </c>
      <c r="O31" s="45">
        <f>'A.2.2'!P204</f>
        <v>7.0999999999999994E-2</v>
      </c>
      <c r="P31" s="46">
        <f t="shared" si="3"/>
        <v>6216.6490000000003</v>
      </c>
      <c r="R31" s="95" t="s">
        <v>56</v>
      </c>
      <c r="S31" s="124">
        <f>$M$111</f>
        <v>6.0000000000286491E-3</v>
      </c>
      <c r="T31" s="124">
        <f>$M$112</f>
        <v>0.1290000000000191</v>
      </c>
      <c r="U31" s="124">
        <f>$M$113</f>
        <v>-0.25600000000002865</v>
      </c>
      <c r="V31" s="124">
        <f>$M$114</f>
        <v>0.18799999999998818</v>
      </c>
      <c r="W31" s="124">
        <f>$M$115</f>
        <v>-3.6999999999977717E-2</v>
      </c>
      <c r="X31" s="124">
        <f>$M$116</f>
        <v>0.22599999999999909</v>
      </c>
      <c r="Y31" s="124">
        <f>$M$117</f>
        <v>7.2000000000002728E-2</v>
      </c>
      <c r="Z31" s="124">
        <f>$M$118</f>
        <v>0.10500000000001819</v>
      </c>
      <c r="AA31" s="124">
        <f>$M$119</f>
        <v>-9.6000000000003638E-2</v>
      </c>
      <c r="AB31" s="124">
        <f>$M$122</f>
        <v>-7.7999999999974534E-2</v>
      </c>
      <c r="AC31" s="124">
        <f>$M$123</f>
        <v>-0.14199999999999591</v>
      </c>
      <c r="AD31" s="124">
        <f>$M$124</f>
        <v>9.4999999999970441E-2</v>
      </c>
      <c r="AE31" s="125">
        <f>$M$125</f>
        <v>-6.399999999996453E-2</v>
      </c>
    </row>
    <row r="32" spans="1:34" x14ac:dyDescent="0.3">
      <c r="A32" s="40">
        <f>'A.2.2'!A205</f>
        <v>45931</v>
      </c>
      <c r="B32" s="45">
        <f>'A.2.2'!B205+'A.2.2'!C205</f>
        <v>332.57499999999999</v>
      </c>
      <c r="C32" s="45">
        <f>'A.2.2'!D205</f>
        <v>87.224000000000004</v>
      </c>
      <c r="D32" s="45">
        <f>'A.2.2'!E205</f>
        <v>1139.6469999999999</v>
      </c>
      <c r="E32" s="45">
        <f>'A.2.2'!F205</f>
        <v>76.433999999999997</v>
      </c>
      <c r="F32" s="45">
        <f>'A.2.2'!G205</f>
        <v>376.59</v>
      </c>
      <c r="G32" s="45">
        <f>'A.2.2'!H205</f>
        <v>1246.223</v>
      </c>
      <c r="H32" s="45">
        <f>'A.2.2'!I205</f>
        <v>278.85199999999998</v>
      </c>
      <c r="I32" s="45">
        <f>'A.2.2'!J205</f>
        <v>512.63099999999997</v>
      </c>
      <c r="J32" s="45">
        <f>'A.2.2'!K205</f>
        <v>148.22499999999999</v>
      </c>
      <c r="K32" s="45">
        <f>'A.2.2'!L205</f>
        <v>884.42899999999997</v>
      </c>
      <c r="L32" s="45">
        <f>'A.2.2'!M205</f>
        <v>423.767</v>
      </c>
      <c r="M32" s="45">
        <f>'A.2.2'!N205</f>
        <v>330.096</v>
      </c>
      <c r="N32" s="45">
        <f>'A.2.2'!O205</f>
        <v>364.14600000000002</v>
      </c>
      <c r="O32" s="45">
        <f>'A.2.2'!P205</f>
        <v>8.5999999999999993E-2</v>
      </c>
      <c r="P32" s="46">
        <f t="shared" si="3"/>
        <v>6200.9249999999993</v>
      </c>
      <c r="R32" s="96" t="s">
        <v>106</v>
      </c>
      <c r="S32" s="126">
        <f>$N$111</f>
        <v>-1.2379999999999995</v>
      </c>
      <c r="T32" s="126">
        <f>$N$112</f>
        <v>0.93500000000000227</v>
      </c>
      <c r="U32" s="126">
        <f>$N$113</f>
        <v>-3.7420000000000186</v>
      </c>
      <c r="V32" s="126">
        <f>$N$114</f>
        <v>1.1480000000000246</v>
      </c>
      <c r="W32" s="126">
        <f>$N$115</f>
        <v>-0.31799999999998363</v>
      </c>
      <c r="X32" s="126">
        <f>$N$116</f>
        <v>-0.45100000000002183</v>
      </c>
      <c r="Y32" s="126">
        <f>$N$117</f>
        <v>-0.60599999999999454</v>
      </c>
      <c r="Z32" s="126">
        <f>$N$118</f>
        <v>-1.4530000000000314</v>
      </c>
      <c r="AA32" s="126">
        <f>$N$119</f>
        <v>-1.2489999999999668</v>
      </c>
      <c r="AB32" s="126">
        <f>$N$122</f>
        <v>-0.32699999999999818</v>
      </c>
      <c r="AC32" s="126">
        <f>$N$123</f>
        <v>0.30699999999995953</v>
      </c>
      <c r="AD32" s="126">
        <f>$N$124</f>
        <v>-0.70899999999994634</v>
      </c>
      <c r="AE32" s="129">
        <f>$N$125</f>
        <v>3.172999999999945</v>
      </c>
    </row>
    <row r="33" spans="1:31" ht="18" thickBot="1" x14ac:dyDescent="0.35">
      <c r="A33" s="105">
        <f>'A.2.2'!A206</f>
        <v>45962</v>
      </c>
      <c r="B33" s="47">
        <f>'A.2.2'!B206+'A.2.2'!C206</f>
        <v>333.02199999999999</v>
      </c>
      <c r="C33" s="47">
        <f>'A.2.2'!D206</f>
        <v>86.855999999999995</v>
      </c>
      <c r="D33" s="47">
        <f>'A.2.2'!E206</f>
        <v>1134.0740000000001</v>
      </c>
      <c r="E33" s="47">
        <f>'A.2.2'!F206</f>
        <v>76.423000000000002</v>
      </c>
      <c r="F33" s="47">
        <f>'A.2.2'!G206</f>
        <v>375.60700000000003</v>
      </c>
      <c r="G33" s="47">
        <f>'A.2.2'!H206</f>
        <v>1240.9690000000001</v>
      </c>
      <c r="H33" s="47">
        <f>'A.2.2'!I206</f>
        <v>279.05799999999999</v>
      </c>
      <c r="I33" s="47">
        <f>'A.2.2'!J206</f>
        <v>511.471</v>
      </c>
      <c r="J33" s="47">
        <f>'A.2.2'!K206</f>
        <v>147.84399999999999</v>
      </c>
      <c r="K33" s="47">
        <f>'A.2.2'!L206</f>
        <v>881.28899999999999</v>
      </c>
      <c r="L33" s="47">
        <f>'A.2.2'!M206</f>
        <v>423.34399999999999</v>
      </c>
      <c r="M33" s="47">
        <f>'A.2.2'!N206</f>
        <v>329.95400000000001</v>
      </c>
      <c r="N33" s="47">
        <f>'A.2.2'!O206</f>
        <v>364.45299999999997</v>
      </c>
      <c r="O33" s="47">
        <f>'A.2.2'!P206</f>
        <v>0.10199999999999999</v>
      </c>
      <c r="P33" s="46">
        <f t="shared" si="3"/>
        <v>6184.4659999999994</v>
      </c>
      <c r="R33" s="97" t="s">
        <v>58</v>
      </c>
      <c r="S33" s="127">
        <f>$P$111</f>
        <v>1.2789999999995416</v>
      </c>
      <c r="T33" s="127">
        <f>$P$112</f>
        <v>8.5980000000008658</v>
      </c>
      <c r="U33" s="127">
        <f>$P$113</f>
        <v>-9.0869999999995343</v>
      </c>
      <c r="V33" s="127">
        <f>$P$114</f>
        <v>10.655999999999949</v>
      </c>
      <c r="W33" s="127">
        <f>$P$115</f>
        <v>-11.081000000000131</v>
      </c>
      <c r="X33" s="127">
        <f>$P$116</f>
        <v>10.470999999999549</v>
      </c>
      <c r="Y33" s="127">
        <f>$P$117</f>
        <v>2.2439999999996871</v>
      </c>
      <c r="Z33" s="127">
        <f>$P$118</f>
        <v>-14.570999999999003</v>
      </c>
      <c r="AA33" s="127">
        <f>$P$119</f>
        <v>-12.112999999999374</v>
      </c>
      <c r="AB33" s="127">
        <f>$P$122</f>
        <v>-15.72400000000107</v>
      </c>
      <c r="AC33" s="127">
        <f>$P$123</f>
        <v>-16.458999999999833</v>
      </c>
      <c r="AD33" s="127">
        <f>$P$124</f>
        <v>-12.651000000000749</v>
      </c>
      <c r="AE33" s="128">
        <f>$P$125</f>
        <v>-7.6959999999971842</v>
      </c>
    </row>
    <row r="34" spans="1:31" x14ac:dyDescent="0.3">
      <c r="A34" s="105">
        <f>'A.2.2'!A207</f>
        <v>45992</v>
      </c>
      <c r="B34" s="47">
        <f>'A.2.2'!B207+'A.2.2'!C207</f>
        <v>332.62799999999999</v>
      </c>
      <c r="C34" s="47">
        <f>'A.2.2'!D207</f>
        <v>86.192999999999998</v>
      </c>
      <c r="D34" s="47">
        <f>'A.2.2'!E207</f>
        <v>1129.01</v>
      </c>
      <c r="E34" s="47">
        <f>'A.2.2'!F207</f>
        <v>76.417000000000002</v>
      </c>
      <c r="F34" s="47">
        <f>'A.2.2'!G207</f>
        <v>377.23500000000001</v>
      </c>
      <c r="G34" s="47">
        <f>'A.2.2'!H207</f>
        <v>1237.3140000000001</v>
      </c>
      <c r="H34" s="47">
        <f>'A.2.2'!I207</f>
        <v>277.75700000000001</v>
      </c>
      <c r="I34" s="47">
        <f>'A.2.2'!J207</f>
        <v>510.79599999999999</v>
      </c>
      <c r="J34" s="47">
        <f>'A.2.2'!K207</f>
        <v>147.18700000000001</v>
      </c>
      <c r="K34" s="47">
        <f>'A.2.2'!L207</f>
        <v>879.51499999999999</v>
      </c>
      <c r="L34" s="47">
        <f>'A.2.2'!M207</f>
        <v>423.85500000000002</v>
      </c>
      <c r="M34" s="47">
        <f>'A.2.2'!N207</f>
        <v>330.04899999999998</v>
      </c>
      <c r="N34" s="47">
        <f>'A.2.2'!O207</f>
        <v>363.74400000000003</v>
      </c>
      <c r="O34" s="47">
        <f>'A.2.2'!P207</f>
        <v>0.115</v>
      </c>
      <c r="P34" s="46">
        <f t="shared" si="3"/>
        <v>6171.8149999999987</v>
      </c>
      <c r="R34" s="140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</row>
    <row r="35" spans="1:31" x14ac:dyDescent="0.3">
      <c r="A35" s="105">
        <f>'A.2.2'!A208</f>
        <v>46023</v>
      </c>
      <c r="B35" s="47">
        <f>'A.2.2'!B208+'A.2.2'!C208</f>
        <v>332.37</v>
      </c>
      <c r="C35" s="47">
        <f>'A.2.2'!D208</f>
        <v>85.995999999999995</v>
      </c>
      <c r="D35" s="47">
        <f>'A.2.2'!E208</f>
        <v>1124.5619999999999</v>
      </c>
      <c r="E35" s="47">
        <f>'A.2.2'!F208</f>
        <v>76.45</v>
      </c>
      <c r="F35" s="47">
        <f>'A.2.2'!G208</f>
        <v>380.72199999999998</v>
      </c>
      <c r="G35" s="47">
        <f>'A.2.2'!H208</f>
        <v>1233.307</v>
      </c>
      <c r="H35" s="47">
        <f>'A.2.2'!I208</f>
        <v>276.077</v>
      </c>
      <c r="I35" s="47">
        <f>'A.2.2'!J208</f>
        <v>510.47399999999999</v>
      </c>
      <c r="J35" s="47">
        <f>'A.2.2'!K208</f>
        <v>146.74299999999999</v>
      </c>
      <c r="K35" s="47">
        <f>'A.2.2'!L208</f>
        <v>875.20699999999999</v>
      </c>
      <c r="L35" s="47">
        <f>'A.2.2'!M208</f>
        <v>425.17599999999999</v>
      </c>
      <c r="M35" s="47">
        <f>'A.2.2'!N208</f>
        <v>329.98500000000001</v>
      </c>
      <c r="N35" s="47">
        <f>'A.2.2'!O208</f>
        <v>366.91699999999997</v>
      </c>
      <c r="O35" s="47">
        <f>'A.2.2'!P208</f>
        <v>0.13300000000000001</v>
      </c>
      <c r="P35" s="46">
        <f t="shared" si="3"/>
        <v>6164.1190000000015</v>
      </c>
      <c r="R35" s="140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1:31" x14ac:dyDescent="0.3">
      <c r="A36" s="105">
        <f>'A.2.2'!A209</f>
        <v>46054</v>
      </c>
      <c r="B36" s="47">
        <f>'A.2.2'!B209+'A.2.2'!C209</f>
        <v>333.18299999999999</v>
      </c>
      <c r="C36" s="47">
        <f>'A.2.2'!D209</f>
        <v>86.16</v>
      </c>
      <c r="D36" s="47">
        <f>'A.2.2'!E209</f>
        <v>1120.2650000000001</v>
      </c>
      <c r="E36" s="47">
        <f>'A.2.2'!F209</f>
        <v>76.412999999999997</v>
      </c>
      <c r="F36" s="47">
        <f>'A.2.2'!G209</f>
        <v>380.84199999999998</v>
      </c>
      <c r="G36" s="47">
        <f>'A.2.2'!H209</f>
        <v>1230.902</v>
      </c>
      <c r="H36" s="47">
        <f>'A.2.2'!I209</f>
        <v>276.23</v>
      </c>
      <c r="I36" s="47">
        <f>'A.2.2'!J209</f>
        <v>509.46499999999997</v>
      </c>
      <c r="J36" s="47">
        <f>'A.2.2'!K209</f>
        <v>146.209</v>
      </c>
      <c r="K36" s="47">
        <f>'A.2.2'!L209</f>
        <v>879.19</v>
      </c>
      <c r="L36" s="47">
        <f>'A.2.2'!M209</f>
        <v>423.99700000000001</v>
      </c>
      <c r="M36" s="47">
        <f>'A.2.2'!N209</f>
        <v>329.85899999999998</v>
      </c>
      <c r="N36" s="47">
        <f>'A.2.2'!O209</f>
        <v>369.24099999999999</v>
      </c>
      <c r="O36" s="47">
        <f>'A.2.2'!P209</f>
        <v>0.13900000000000001</v>
      </c>
      <c r="P36" s="46">
        <f>SUM(B36:O36)</f>
        <v>6162.0950000000012</v>
      </c>
      <c r="R36" s="140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x14ac:dyDescent="0.3">
      <c r="A37" s="105">
        <f>'A.2.2'!A210</f>
        <v>46082</v>
      </c>
      <c r="B37" s="47">
        <f>'A.2.2'!B210+'A.2.2'!C210</f>
        <v>334.69799999999998</v>
      </c>
      <c r="C37" s="47">
        <f>'A.2.2'!D210</f>
        <v>86.528000000000006</v>
      </c>
      <c r="D37" s="47">
        <f>'A.2.2'!E210</f>
        <v>1115.2739999999999</v>
      </c>
      <c r="E37" s="47">
        <f>'A.2.2'!F210</f>
        <v>76.335999999999999</v>
      </c>
      <c r="F37" s="47">
        <f>'A.2.2'!G210</f>
        <v>380.75599999999997</v>
      </c>
      <c r="G37" s="47">
        <f>'A.2.2'!H210</f>
        <v>1227.6759999999999</v>
      </c>
      <c r="H37" s="47">
        <f>'A.2.2'!I210</f>
        <v>276.25400000000002</v>
      </c>
      <c r="I37" s="47">
        <f>'A.2.2'!J210</f>
        <v>507.72399999999999</v>
      </c>
      <c r="J37" s="47">
        <f>'A.2.2'!K210</f>
        <v>145.09899999999999</v>
      </c>
      <c r="K37" s="47">
        <f>'A.2.2'!L210</f>
        <v>878.84500000000003</v>
      </c>
      <c r="L37" s="47">
        <f>'A.2.2'!M210</f>
        <v>423.91199999999998</v>
      </c>
      <c r="M37" s="47">
        <f>'A.2.2'!N210</f>
        <v>329.90300000000002</v>
      </c>
      <c r="N37" s="47">
        <f>'A.2.2'!O210</f>
        <v>369.35399999999998</v>
      </c>
      <c r="O37" s="47">
        <f>'A.2.2'!P210</f>
        <v>0.16600000000000001</v>
      </c>
      <c r="P37" s="46">
        <f>SUM(B37:O37)</f>
        <v>6152.5250000000015</v>
      </c>
      <c r="R37" s="140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8" spans="1:31" x14ac:dyDescent="0.3">
      <c r="A38" s="105">
        <f>'A.2.2'!A211</f>
        <v>46113</v>
      </c>
      <c r="B38" s="47">
        <f>'A.2.2'!B211+'A.2.2'!C211</f>
        <v>334.77600000000001</v>
      </c>
      <c r="C38" s="47">
        <f>'A.2.2'!D211</f>
        <v>86.4</v>
      </c>
      <c r="D38" s="47">
        <f>'A.2.2'!E211</f>
        <v>1111.5039999999999</v>
      </c>
      <c r="E38" s="47">
        <f>'A.2.2'!F211</f>
        <v>76.313999999999993</v>
      </c>
      <c r="F38" s="47">
        <f>'A.2.2'!G211</f>
        <v>380.18400000000003</v>
      </c>
      <c r="G38" s="47">
        <f>'A.2.2'!H211</f>
        <v>1223.806</v>
      </c>
      <c r="H38" s="47">
        <f>'A.2.2'!I211</f>
        <v>277.23500000000001</v>
      </c>
      <c r="I38" s="47">
        <f>'A.2.2'!J211</f>
        <v>505.42200000000003</v>
      </c>
      <c r="J38" s="47">
        <f>'A.2.2'!K211</f>
        <v>143.79</v>
      </c>
      <c r="K38" s="47">
        <f>'A.2.2'!L211</f>
        <v>878.06899999999996</v>
      </c>
      <c r="L38" s="47">
        <f>'A.2.2'!M211</f>
        <v>424.15199999999999</v>
      </c>
      <c r="M38" s="47">
        <f>'A.2.2'!N211</f>
        <v>329.81700000000001</v>
      </c>
      <c r="N38" s="47">
        <f>'A.2.2'!O211</f>
        <v>368.94900000000001</v>
      </c>
      <c r="O38" s="47">
        <f>'A.2.2'!P211</f>
        <v>0.16200000000000001</v>
      </c>
      <c r="P38" s="46">
        <f>SUM(B38:O38)</f>
        <v>6140.58</v>
      </c>
      <c r="R38" s="140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</row>
    <row r="39" spans="1:31" x14ac:dyDescent="0.3">
      <c r="A39" s="105">
        <f>'A.2.2'!A212</f>
        <v>46143</v>
      </c>
      <c r="B39" s="47">
        <f>'A.2.2'!B212+'A.2.2'!C212</f>
        <v>336.61199999999997</v>
      </c>
      <c r="C39" s="47">
        <f>'A.2.2'!D212</f>
        <v>86.691999999999993</v>
      </c>
      <c r="D39" s="47">
        <f>'A.2.2'!E212</f>
        <v>1108.347</v>
      </c>
      <c r="E39" s="47">
        <f>'A.2.2'!F212</f>
        <v>76.358000000000004</v>
      </c>
      <c r="F39" s="47">
        <f>'A.2.2'!G212</f>
        <v>378.19400000000002</v>
      </c>
      <c r="G39" s="47">
        <f>'A.2.2'!H212</f>
        <v>1219.5920000000001</v>
      </c>
      <c r="H39" s="47">
        <f>'A.2.2'!I212</f>
        <v>276.83800000000002</v>
      </c>
      <c r="I39" s="47">
        <f>'A.2.2'!J212</f>
        <v>503.726</v>
      </c>
      <c r="J39" s="47">
        <f>'A.2.2'!K212</f>
        <v>143.49</v>
      </c>
      <c r="K39" s="47">
        <f>'A.2.2'!L212</f>
        <v>878.77200000000005</v>
      </c>
      <c r="L39" s="47">
        <f>'A.2.2'!M212</f>
        <v>423.79</v>
      </c>
      <c r="M39" s="47">
        <f>'A.2.2'!N212</f>
        <v>330.06299999999999</v>
      </c>
      <c r="N39" s="47">
        <f>'A.2.2'!O212</f>
        <v>368.88900000000001</v>
      </c>
      <c r="O39" s="47">
        <f>'A.2.2'!P212</f>
        <v>0.158</v>
      </c>
      <c r="P39" s="46">
        <f>SUM(B39:O39)</f>
        <v>6131.5210000000006</v>
      </c>
      <c r="R39" s="140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</row>
    <row r="40" spans="1:31" x14ac:dyDescent="0.3">
      <c r="A40" s="105"/>
      <c r="B40" s="152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106"/>
      <c r="R40" s="140"/>
      <c r="S40" s="124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</row>
    <row r="41" spans="1:31" x14ac:dyDescent="0.3">
      <c r="A41" s="91" t="s">
        <v>100</v>
      </c>
      <c r="B41" s="123"/>
    </row>
    <row r="42" spans="1:31" ht="18" x14ac:dyDescent="0.3">
      <c r="A42" s="55" t="s">
        <v>96</v>
      </c>
      <c r="B42" s="26">
        <f>(HLOOKUP(B$1,$A$1:$P$39,MATCH(MAX($A$1:$A$39),$A$1:$A$1726,0),FALSE)-HLOOKUP(B$1,$A$1:$P$39,MATCH(MAX($A$1:$A$143),$A$1:$A$1726,0)-1,FALSE))*1000</f>
        <v>1835.9999999999559</v>
      </c>
      <c r="C42" s="26">
        <f t="shared" ref="C42:P42" si="4">(HLOOKUP(C$1,$A$1:$P$39,MATCH(MAX($A$1:$A$39),$A$1:$A$1726,0),FALSE)-HLOOKUP(C$1,$A$1:$P$39,MATCH(MAX($A$1:$A$143),$A$1:$A$1726,0)-1,FALSE))*1000</f>
        <v>291.99999999998738</v>
      </c>
      <c r="D42" s="26">
        <f t="shared" si="4"/>
        <v>-3156.9999999999254</v>
      </c>
      <c r="E42" s="26">
        <f t="shared" si="4"/>
        <v>44.000000000011141</v>
      </c>
      <c r="F42" s="26">
        <f t="shared" si="4"/>
        <v>-1990.0000000000091</v>
      </c>
      <c r="G42" s="26">
        <f t="shared" si="4"/>
        <v>-4213.9999999999418</v>
      </c>
      <c r="H42" s="26">
        <f t="shared" si="4"/>
        <v>-396.99999999999136</v>
      </c>
      <c r="I42" s="26">
        <f t="shared" si="4"/>
        <v>-1696.0000000000264</v>
      </c>
      <c r="J42" s="26">
        <f t="shared" si="4"/>
        <v>-299.99999999998295</v>
      </c>
      <c r="K42" s="26">
        <f t="shared" si="4"/>
        <v>703.00000000008822</v>
      </c>
      <c r="L42" s="26">
        <f t="shared" si="4"/>
        <v>-361.99999999996635</v>
      </c>
      <c r="M42" s="26">
        <f t="shared" si="4"/>
        <v>245.9999999999809</v>
      </c>
      <c r="N42" s="26">
        <f t="shared" si="4"/>
        <v>-60.000000000002274</v>
      </c>
      <c r="O42" s="26">
        <f t="shared" si="4"/>
        <v>-4.0000000000000036</v>
      </c>
      <c r="P42" s="26">
        <f t="shared" si="4"/>
        <v>-9058.999999999287</v>
      </c>
    </row>
    <row r="43" spans="1:31" x14ac:dyDescent="0.3">
      <c r="A43" s="55" t="s">
        <v>99</v>
      </c>
      <c r="B43" s="59">
        <f>(HLOOKUP(B$1,$A$1:$P$143,MATCH(MAX($A$1:$A$143),$A$1:$A$1726,0),FALSE)/HLOOKUP(B$1,$A$1:$P$143,MATCH(MAX($A$1:$A$143),$A$1:$A$1726,0)-1,FALSE))-1</f>
        <v>5.4842641049537288E-3</v>
      </c>
      <c r="C43" s="59">
        <f>(HLOOKUP(C$1,$A$1:$P$143,MATCH(MAX($A$1:$A$143),$A$1:$A$1726,0),FALSE)/HLOOKUP(C$1,$A$1:$P$143,MATCH(MAX($A$1:$A$143),$A$1:$A$1726,0)-1,FALSE))-1</f>
        <v>3.3796296296295658E-3</v>
      </c>
      <c r="D43" s="59">
        <f t="shared" ref="D43:P43" si="5">(HLOOKUP(D$1,$A$1:$P$143,MATCH(MAX($A$1:$A$143),$A$1:$A$1726,0),FALSE)/HLOOKUP(D$1,$A$1:$P$143,MATCH(MAX($A$1:$A$143),$A$1:$A$1726,0)-1,FALSE))-1</f>
        <v>-2.840295671450499E-3</v>
      </c>
      <c r="E43" s="59">
        <f t="shared" si="5"/>
        <v>5.7656524359894767E-4</v>
      </c>
      <c r="F43" s="59">
        <f t="shared" si="5"/>
        <v>-5.2343075984260246E-3</v>
      </c>
      <c r="G43" s="59">
        <f t="shared" si="5"/>
        <v>-3.443356218224114E-3</v>
      </c>
      <c r="H43" s="59">
        <f t="shared" si="5"/>
        <v>-1.4319981243349211E-3</v>
      </c>
      <c r="I43" s="59">
        <f t="shared" si="5"/>
        <v>-3.3556117462240076E-3</v>
      </c>
      <c r="J43" s="59">
        <f t="shared" si="5"/>
        <v>-2.0863759649487612E-3</v>
      </c>
      <c r="K43" s="59">
        <f t="shared" si="5"/>
        <v>8.0062045237916379E-4</v>
      </c>
      <c r="L43" s="59">
        <f t="shared" si="5"/>
        <v>-8.5346762481364191E-4</v>
      </c>
      <c r="M43" s="59">
        <f t="shared" si="5"/>
        <v>7.4586816325417082E-4</v>
      </c>
      <c r="N43" s="59">
        <f t="shared" si="5"/>
        <v>-1.6262410251821624E-4</v>
      </c>
      <c r="O43" s="59">
        <f t="shared" si="5"/>
        <v>-2.4691358024691357E-2</v>
      </c>
      <c r="P43" s="59">
        <f t="shared" si="5"/>
        <v>-1.4752678085782067E-3</v>
      </c>
    </row>
    <row r="44" spans="1:31" x14ac:dyDescent="0.3">
      <c r="A44" s="55" t="s">
        <v>95</v>
      </c>
      <c r="B44" s="57">
        <f>B42/$P$42</f>
        <v>-0.20267137653163708</v>
      </c>
      <c r="C44" s="57">
        <f t="shared" ref="C44:P44" si="6">C42/$P$42</f>
        <v>-3.2233138315488505E-2</v>
      </c>
      <c r="D44" s="57">
        <f t="shared" si="6"/>
        <v>0.34849321117123017</v>
      </c>
      <c r="E44" s="57">
        <f t="shared" si="6"/>
        <v>-4.8570482393216251E-3</v>
      </c>
      <c r="F44" s="57">
        <f t="shared" si="6"/>
        <v>0.21967104536926435</v>
      </c>
      <c r="G44" s="57">
        <f t="shared" si="6"/>
        <v>0.46517275637490602</v>
      </c>
      <c r="H44" s="57">
        <f t="shared" si="6"/>
        <v>4.3823821613867157E-2</v>
      </c>
      <c r="I44" s="57">
        <f t="shared" si="6"/>
        <v>0.18721713213380725</v>
      </c>
      <c r="J44" s="57">
        <f t="shared" si="6"/>
        <v>3.311623799536445E-2</v>
      </c>
      <c r="K44" s="57">
        <f t="shared" si="6"/>
        <v>-7.7602384369151511E-2</v>
      </c>
      <c r="L44" s="57">
        <f t="shared" si="6"/>
        <v>3.9960260514404995E-2</v>
      </c>
      <c r="M44" s="57">
        <f t="shared" si="6"/>
        <v>-2.7155315156198286E-2</v>
      </c>
      <c r="N44" s="57">
        <f t="shared" si="6"/>
        <v>6.6232475990735179E-3</v>
      </c>
      <c r="O44" s="57">
        <f t="shared" si="6"/>
        <v>4.4154983993821816E-4</v>
      </c>
      <c r="P44" s="57">
        <f t="shared" si="6"/>
        <v>1</v>
      </c>
    </row>
    <row r="45" spans="1:31" x14ac:dyDescent="0.3"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</row>
    <row r="46" spans="1:31" x14ac:dyDescent="0.3">
      <c r="A46" s="91" t="s">
        <v>111</v>
      </c>
      <c r="B46" s="149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</row>
    <row r="47" spans="1:31" ht="18" x14ac:dyDescent="0.3">
      <c r="A47" s="55" t="s">
        <v>96</v>
      </c>
      <c r="B47" s="26">
        <f>(HLOOKUP(B$1,$A$1:$P$142,MATCH(MAX($A$1:$A$142),$A$1:$A$1726,0),FALSE)-HLOOKUP(B$1,$A$1:$P$142,MATCH(MAX($A$1:$A$143),$A$1:$A$1726,0)-12,FALSE))*1000</f>
        <v>2539.9999999999636</v>
      </c>
      <c r="C47" s="26">
        <f t="shared" ref="C47:P47" si="7">(HLOOKUP(C$1,$A$1:$P$142,MATCH(MAX($A$1:$A$142),$A$1:$A$1726,0),FALSE)-HLOOKUP(C$1,$A$1:$P$142,MATCH(MAX($A$1:$A$143),$A$1:$A$1726,0)-12,FALSE))*1000</f>
        <v>-3503</v>
      </c>
      <c r="D47" s="26">
        <f t="shared" si="7"/>
        <v>-52341.000000000124</v>
      </c>
      <c r="E47" s="26">
        <f t="shared" si="7"/>
        <v>81.00000000000307</v>
      </c>
      <c r="F47" s="26">
        <f t="shared" si="7"/>
        <v>-1423.0000000000018</v>
      </c>
      <c r="G47" s="26">
        <f t="shared" si="7"/>
        <v>-39154</v>
      </c>
      <c r="H47" s="26">
        <f t="shared" si="7"/>
        <v>-4178.9999999999736</v>
      </c>
      <c r="I47" s="26">
        <f t="shared" si="7"/>
        <v>-13914.999999999964</v>
      </c>
      <c r="J47" s="26">
        <f t="shared" si="7"/>
        <v>-6923.9999999999782</v>
      </c>
      <c r="K47" s="26">
        <f t="shared" si="7"/>
        <v>-18178.999999999975</v>
      </c>
      <c r="L47" s="26">
        <f t="shared" si="7"/>
        <v>398.00000000002456</v>
      </c>
      <c r="M47" s="26">
        <f t="shared" si="7"/>
        <v>-254.0000000000191</v>
      </c>
      <c r="N47" s="26">
        <f t="shared" si="7"/>
        <v>1334.0000000000032</v>
      </c>
      <c r="O47" s="26">
        <f t="shared" si="7"/>
        <v>81</v>
      </c>
      <c r="P47" s="26">
        <f t="shared" si="7"/>
        <v>-135437.99999999919</v>
      </c>
    </row>
    <row r="48" spans="1:31" x14ac:dyDescent="0.3">
      <c r="A48" s="55" t="s">
        <v>99</v>
      </c>
      <c r="B48" s="59">
        <f>(HLOOKUP(B$1,$A$1:$P$142,MATCH(MAX($A$1:$A$142),$A$1:$A$1726,0),FALSE)/HLOOKUP(B$1,$A$1:$P$142,MATCH(MAX($A$1:$A$143),$A$1:$A$1726,0)-12,FALSE))-1</f>
        <v>7.6031514164609515E-3</v>
      </c>
      <c r="C48" s="59">
        <f t="shared" ref="C48:P48" si="8">(HLOOKUP(C$1,$A$1:$P$142,MATCH(MAX($A$1:$A$142),$A$1:$A$1726,0),FALSE)/HLOOKUP(C$1,$A$1:$P$142,MATCH(MAX($A$1:$A$143),$A$1:$A$1726,0)-12,FALSE))-1</f>
        <v>-3.8838073063917067E-2</v>
      </c>
      <c r="D48" s="59">
        <f t="shared" si="8"/>
        <v>-4.5094805839295371E-2</v>
      </c>
      <c r="E48" s="59">
        <f t="shared" si="8"/>
        <v>1.061919058169547E-3</v>
      </c>
      <c r="F48" s="59">
        <f t="shared" si="8"/>
        <v>-3.7485149505949167E-3</v>
      </c>
      <c r="G48" s="59">
        <f t="shared" si="8"/>
        <v>-3.110556061349945E-2</v>
      </c>
      <c r="H48" s="59">
        <f t="shared" si="8"/>
        <v>-1.4870986452776735E-2</v>
      </c>
      <c r="I48" s="59">
        <f t="shared" si="8"/>
        <v>-2.6881564636495159E-2</v>
      </c>
      <c r="J48" s="59">
        <f t="shared" si="8"/>
        <v>-4.6032949060592632E-2</v>
      </c>
      <c r="K48" s="59">
        <f t="shared" si="8"/>
        <v>-2.0267550847259175E-2</v>
      </c>
      <c r="L48" s="59">
        <f t="shared" si="8"/>
        <v>9.4002720882779833E-4</v>
      </c>
      <c r="M48" s="59">
        <f t="shared" si="8"/>
        <v>-7.6895830369017037E-4</v>
      </c>
      <c r="N48" s="59">
        <f t="shared" si="8"/>
        <v>3.6293887989553575E-3</v>
      </c>
      <c r="O48" s="59">
        <f t="shared" si="8"/>
        <v>1.051948051948052</v>
      </c>
      <c r="P48" s="59">
        <f t="shared" si="8"/>
        <v>-2.161143865788806E-2</v>
      </c>
    </row>
    <row r="49" spans="1:16" x14ac:dyDescent="0.3">
      <c r="A49" s="55" t="s">
        <v>95</v>
      </c>
      <c r="B49" s="57">
        <f t="shared" ref="B49:P49" si="9">B47/$P$47</f>
        <v>-1.8753968605561059E-2</v>
      </c>
      <c r="C49" s="57">
        <f t="shared" si="9"/>
        <v>2.5864233080819424E-2</v>
      </c>
      <c r="D49" s="57">
        <f t="shared" si="9"/>
        <v>0.38645727196208185</v>
      </c>
      <c r="E49" s="57">
        <f t="shared" si="9"/>
        <v>-5.980596287600493E-4</v>
      </c>
      <c r="F49" s="57">
        <f t="shared" si="9"/>
        <v>1.0506652490438506E-2</v>
      </c>
      <c r="G49" s="57">
        <f t="shared" si="9"/>
        <v>0.28909168770950722</v>
      </c>
      <c r="H49" s="57">
        <f t="shared" si="9"/>
        <v>3.0855446772693033E-2</v>
      </c>
      <c r="I49" s="57">
        <f t="shared" si="9"/>
        <v>0.10274073745920678</v>
      </c>
      <c r="J49" s="57">
        <f t="shared" si="9"/>
        <v>5.1123023080671744E-2</v>
      </c>
      <c r="K49" s="57">
        <f t="shared" si="9"/>
        <v>0.13422377766948776</v>
      </c>
      <c r="L49" s="57">
        <f t="shared" si="9"/>
        <v>-2.9386139783519169E-3</v>
      </c>
      <c r="M49" s="57">
        <f t="shared" si="9"/>
        <v>1.8753968605562739E-3</v>
      </c>
      <c r="N49" s="57">
        <f t="shared" si="9"/>
        <v>-9.849525244023178E-3</v>
      </c>
      <c r="O49" s="57">
        <f t="shared" si="9"/>
        <v>-5.9805962876002664E-4</v>
      </c>
      <c r="P49" s="57">
        <f t="shared" si="9"/>
        <v>1</v>
      </c>
    </row>
    <row r="50" spans="1:16" x14ac:dyDescent="0.3"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</row>
    <row r="51" spans="1:16" x14ac:dyDescent="0.3">
      <c r="B51" s="56" t="s">
        <v>48</v>
      </c>
      <c r="C51" s="56" t="s">
        <v>49</v>
      </c>
      <c r="D51" s="56" t="s">
        <v>45</v>
      </c>
      <c r="E51" s="56" t="s">
        <v>50</v>
      </c>
      <c r="F51" s="56" t="s">
        <v>34</v>
      </c>
      <c r="G51" s="56" t="s">
        <v>51</v>
      </c>
      <c r="H51" s="56" t="s">
        <v>36</v>
      </c>
      <c r="I51" s="56" t="s">
        <v>52</v>
      </c>
      <c r="J51" s="56" t="s">
        <v>104</v>
      </c>
      <c r="K51" s="56" t="s">
        <v>105</v>
      </c>
      <c r="L51" s="56" t="s">
        <v>55</v>
      </c>
      <c r="M51" s="56" t="s">
        <v>56</v>
      </c>
      <c r="N51" s="56" t="s">
        <v>106</v>
      </c>
      <c r="O51" s="56" t="s">
        <v>43</v>
      </c>
      <c r="P51" s="56" t="s">
        <v>58</v>
      </c>
    </row>
    <row r="52" spans="1:16" x14ac:dyDescent="0.3">
      <c r="A52" s="25">
        <f t="shared" ref="A52:A79" si="10">A3</f>
        <v>45047</v>
      </c>
      <c r="B52" s="60">
        <f>B3/B2-1</f>
        <v>3.0697631412677229E-3</v>
      </c>
      <c r="C52" s="60">
        <f t="shared" ref="C52:P52" si="11">C3/C2-1</f>
        <v>7.1183730684567514E-3</v>
      </c>
      <c r="D52" s="60">
        <f t="shared" si="11"/>
        <v>2.172933881688266E-3</v>
      </c>
      <c r="E52" s="59">
        <f t="shared" si="11"/>
        <v>1.7132991552126775E-4</v>
      </c>
      <c r="F52" s="59">
        <f t="shared" si="11"/>
        <v>1.7694221730715221E-3</v>
      </c>
      <c r="G52" s="59">
        <f t="shared" si="11"/>
        <v>3.5330451918460515E-3</v>
      </c>
      <c r="H52" s="59">
        <f t="shared" si="11"/>
        <v>8.09015144282621E-3</v>
      </c>
      <c r="I52" s="59">
        <f t="shared" si="11"/>
        <v>1.3379483404329928E-3</v>
      </c>
      <c r="J52" s="59">
        <f t="shared" si="11"/>
        <v>-6.2803797012900286E-4</v>
      </c>
      <c r="K52" s="59">
        <f t="shared" si="11"/>
        <v>1.9812431939905117E-3</v>
      </c>
      <c r="L52" s="59">
        <f t="shared" si="11"/>
        <v>3.6209472512205299E-3</v>
      </c>
      <c r="M52" s="59">
        <f t="shared" si="11"/>
        <v>7.9388706956429189E-4</v>
      </c>
      <c r="N52" s="59">
        <f t="shared" si="11"/>
        <v>3.6169964334238358E-3</v>
      </c>
      <c r="O52" s="59">
        <f t="shared" si="11"/>
        <v>1.6129032258064502E-2</v>
      </c>
      <c r="P52" s="59">
        <f t="shared" si="11"/>
        <v>2.7038507949224133E-3</v>
      </c>
    </row>
    <row r="53" spans="1:16" x14ac:dyDescent="0.3">
      <c r="A53" s="25">
        <f t="shared" si="10"/>
        <v>45078</v>
      </c>
      <c r="B53" s="60">
        <f t="shared" ref="B53:P53" si="12">B4/B3-1</f>
        <v>6.9196284540529174E-3</v>
      </c>
      <c r="C53" s="60">
        <f t="shared" si="12"/>
        <v>6.4699933668976861E-3</v>
      </c>
      <c r="D53" s="60">
        <f t="shared" si="12"/>
        <v>2.2287075680289536E-3</v>
      </c>
      <c r="E53" s="59">
        <f t="shared" si="12"/>
        <v>2.3718539992101384E-4</v>
      </c>
      <c r="F53" s="59">
        <f t="shared" si="12"/>
        <v>-6.4537769455796923E-4</v>
      </c>
      <c r="G53" s="59">
        <f t="shared" si="12"/>
        <v>5.2549201448506278E-3</v>
      </c>
      <c r="H53" s="59">
        <f t="shared" si="12"/>
        <v>9.1932332752251433E-3</v>
      </c>
      <c r="I53" s="59">
        <f t="shared" si="12"/>
        <v>2.1148001995734411E-3</v>
      </c>
      <c r="J53" s="59">
        <f t="shared" si="12"/>
        <v>-8.5754871989573989E-4</v>
      </c>
      <c r="K53" s="59">
        <f t="shared" si="12"/>
        <v>1.2054699724859397E-3</v>
      </c>
      <c r="L53" s="59">
        <f t="shared" si="12"/>
        <v>1.5052601136886778E-3</v>
      </c>
      <c r="M53" s="59">
        <f t="shared" si="12"/>
        <v>6.5804299815197531E-4</v>
      </c>
      <c r="N53" s="59">
        <f t="shared" si="12"/>
        <v>1.1898623725854485E-3</v>
      </c>
      <c r="O53" s="59">
        <f t="shared" si="12"/>
        <v>-3.1746031746031744E-2</v>
      </c>
      <c r="P53" s="59">
        <f t="shared" si="12"/>
        <v>2.7599970793676931E-3</v>
      </c>
    </row>
    <row r="54" spans="1:16" x14ac:dyDescent="0.3">
      <c r="A54" s="25">
        <f t="shared" si="10"/>
        <v>45108</v>
      </c>
      <c r="B54" s="60">
        <f t="shared" ref="B54:P54" si="13">B5/B4-1</f>
        <v>7.2046944947103952E-3</v>
      </c>
      <c r="C54" s="60">
        <f t="shared" si="13"/>
        <v>7.2819205255083563E-3</v>
      </c>
      <c r="D54" s="60">
        <f t="shared" si="13"/>
        <v>3.2631226902279931E-3</v>
      </c>
      <c r="E54" s="59">
        <f t="shared" si="13"/>
        <v>2.3844654054907544E-3</v>
      </c>
      <c r="F54" s="59">
        <f t="shared" si="13"/>
        <v>-4.7053775136062237E-3</v>
      </c>
      <c r="G54" s="59">
        <f t="shared" si="13"/>
        <v>4.998456962382658E-3</v>
      </c>
      <c r="H54" s="59">
        <f t="shared" si="13"/>
        <v>3.8613661798543308E-3</v>
      </c>
      <c r="I54" s="59">
        <f t="shared" si="13"/>
        <v>7.091034932777962E-4</v>
      </c>
      <c r="J54" s="59">
        <f t="shared" si="13"/>
        <v>6.3552381576359451E-4</v>
      </c>
      <c r="K54" s="59">
        <f t="shared" si="13"/>
        <v>4.1514825932367216E-3</v>
      </c>
      <c r="L54" s="59">
        <f t="shared" si="13"/>
        <v>1.3491475517706242E-3</v>
      </c>
      <c r="M54" s="59">
        <f t="shared" si="13"/>
        <v>1.0059335062937436E-3</v>
      </c>
      <c r="N54" s="59">
        <f t="shared" si="13"/>
        <v>4.0592111344399662E-3</v>
      </c>
      <c r="O54" s="59">
        <f t="shared" si="13"/>
        <v>-3.8251366120218622E-2</v>
      </c>
      <c r="P54" s="59">
        <f t="shared" si="13"/>
        <v>2.9362383265307823E-3</v>
      </c>
    </row>
    <row r="55" spans="1:16" x14ac:dyDescent="0.3">
      <c r="A55" s="25">
        <f t="shared" si="10"/>
        <v>45139</v>
      </c>
      <c r="B55" s="60">
        <f t="shared" ref="B55:P55" si="14">B6/B5-1</f>
        <v>-8.1802317126289381E-5</v>
      </c>
      <c r="C55" s="60">
        <f t="shared" si="14"/>
        <v>5.3200617813624618E-3</v>
      </c>
      <c r="D55" s="60">
        <f t="shared" si="14"/>
        <v>9.123401524910868E-4</v>
      </c>
      <c r="E55" s="59">
        <f t="shared" si="14"/>
        <v>2.4970757928215459E-3</v>
      </c>
      <c r="F55" s="59">
        <f t="shared" si="14"/>
        <v>-7.4980310465014854E-3</v>
      </c>
      <c r="G55" s="59">
        <f t="shared" si="14"/>
        <v>3.4218998322534944E-3</v>
      </c>
      <c r="H55" s="59">
        <f t="shared" si="14"/>
        <v>-9.0017414907661575E-5</v>
      </c>
      <c r="I55" s="59">
        <f t="shared" si="14"/>
        <v>5.8798808193372132E-4</v>
      </c>
      <c r="J55" s="59">
        <f t="shared" si="14"/>
        <v>-1.6434553156940979E-3</v>
      </c>
      <c r="K55" s="59">
        <f t="shared" si="14"/>
        <v>-3.265097213858148E-4</v>
      </c>
      <c r="L55" s="59">
        <f t="shared" si="14"/>
        <v>1.524610042570762E-3</v>
      </c>
      <c r="M55" s="59">
        <f t="shared" si="14"/>
        <v>1.7428657993334706E-3</v>
      </c>
      <c r="N55" s="59">
        <f t="shared" si="14"/>
        <v>-1.4992819228687448E-4</v>
      </c>
      <c r="O55" s="59">
        <f t="shared" si="14"/>
        <v>-7.3863636363636243E-2</v>
      </c>
      <c r="P55" s="59">
        <f t="shared" si="14"/>
        <v>5.188285746979826E-4</v>
      </c>
    </row>
    <row r="56" spans="1:16" x14ac:dyDescent="0.3">
      <c r="A56" s="25">
        <f t="shared" si="10"/>
        <v>45170</v>
      </c>
      <c r="B56" s="60">
        <f t="shared" ref="B56:P56" si="15">B7/B6-1</f>
        <v>-1.2777355266227808E-2</v>
      </c>
      <c r="C56" s="60">
        <f t="shared" si="15"/>
        <v>2.0591498805053732E-3</v>
      </c>
      <c r="D56" s="60">
        <f t="shared" si="15"/>
        <v>-1.4866270344086052E-3</v>
      </c>
      <c r="E56" s="59">
        <f t="shared" si="15"/>
        <v>2.7006122261696852E-3</v>
      </c>
      <c r="F56" s="59">
        <f t="shared" si="15"/>
        <v>-1.3915829767101817E-2</v>
      </c>
      <c r="G56" s="59">
        <f t="shared" si="15"/>
        <v>9.6202680001566954E-4</v>
      </c>
      <c r="H56" s="59">
        <f t="shared" si="15"/>
        <v>-1.7000972968108652E-3</v>
      </c>
      <c r="I56" s="59">
        <f t="shared" si="15"/>
        <v>8.1554239219516766E-4</v>
      </c>
      <c r="J56" s="59">
        <f t="shared" si="15"/>
        <v>-6.9519137438023293E-4</v>
      </c>
      <c r="K56" s="59">
        <f t="shared" si="15"/>
        <v>-4.5748359745856337E-3</v>
      </c>
      <c r="L56" s="59">
        <f t="shared" si="15"/>
        <v>-5.0506957687446175E-4</v>
      </c>
      <c r="M56" s="59">
        <f t="shared" si="15"/>
        <v>4.6116068754864514E-4</v>
      </c>
      <c r="N56" s="59">
        <f t="shared" si="15"/>
        <v>1.0286090101940815E-3</v>
      </c>
      <c r="O56" s="59">
        <f t="shared" si="15"/>
        <v>-6.1349693251533832E-2</v>
      </c>
      <c r="P56" s="59">
        <f t="shared" si="15"/>
        <v>-2.3215799414992855E-3</v>
      </c>
    </row>
    <row r="57" spans="1:16" x14ac:dyDescent="0.3">
      <c r="A57" s="25">
        <f t="shared" si="10"/>
        <v>45200</v>
      </c>
      <c r="B57" s="60">
        <f t="shared" ref="B57:P57" si="16">B8/B7-1</f>
        <v>-7.6790866122399271E-3</v>
      </c>
      <c r="C57" s="60">
        <f t="shared" si="16"/>
        <v>3.471002225274411E-3</v>
      </c>
      <c r="D57" s="60">
        <f t="shared" si="16"/>
        <v>-1.7973087182843184E-4</v>
      </c>
      <c r="E57" s="59">
        <f t="shared" si="16"/>
        <v>3.9354121723214064E-3</v>
      </c>
      <c r="F57" s="59">
        <f t="shared" si="16"/>
        <v>-1.9991756426388951E-2</v>
      </c>
      <c r="G57" s="59">
        <f t="shared" si="16"/>
        <v>1.6920927796995056E-3</v>
      </c>
      <c r="H57" s="59">
        <f t="shared" si="16"/>
        <v>-8.3241998362892922E-4</v>
      </c>
      <c r="I57" s="59">
        <f t="shared" si="16"/>
        <v>-3.1992893813704848E-3</v>
      </c>
      <c r="J57" s="59">
        <f t="shared" si="16"/>
        <v>-1.2469646255830469E-4</v>
      </c>
      <c r="K57" s="59">
        <f t="shared" si="16"/>
        <v>-1.0974198440112382E-3</v>
      </c>
      <c r="L57" s="59">
        <f t="shared" si="16"/>
        <v>-7.4381921651045513E-4</v>
      </c>
      <c r="M57" s="59">
        <f t="shared" si="16"/>
        <v>6.4951780037958429E-4</v>
      </c>
      <c r="N57" s="59">
        <f t="shared" si="16"/>
        <v>-5.4662616026668331E-4</v>
      </c>
      <c r="O57" s="59">
        <f t="shared" si="16"/>
        <v>1.9607843137254832E-2</v>
      </c>
      <c r="P57" s="59">
        <f t="shared" si="16"/>
        <v>-1.9439224971176117E-3</v>
      </c>
    </row>
    <row r="58" spans="1:16" x14ac:dyDescent="0.3">
      <c r="A58" s="25">
        <f t="shared" si="10"/>
        <v>45231</v>
      </c>
      <c r="B58" s="60">
        <f t="shared" ref="B58:P58" si="17">B9/B8-1</f>
        <v>-3.2166473874017942E-3</v>
      </c>
      <c r="C58" s="60">
        <f t="shared" si="17"/>
        <v>4.1592835846233633E-3</v>
      </c>
      <c r="D58" s="60">
        <f t="shared" si="17"/>
        <v>-1.7641874955059977E-3</v>
      </c>
      <c r="E58" s="59">
        <f t="shared" si="17"/>
        <v>2.5395254343238971E-3</v>
      </c>
      <c r="F58" s="59">
        <f t="shared" si="17"/>
        <v>-1.8761738604096467E-2</v>
      </c>
      <c r="G58" s="59">
        <f t="shared" si="17"/>
        <v>1.0568876687508943E-3</v>
      </c>
      <c r="H58" s="59">
        <f t="shared" si="17"/>
        <v>-1.1316458156875875E-3</v>
      </c>
      <c r="I58" s="59">
        <f t="shared" si="17"/>
        <v>-5.2485708028426892E-4</v>
      </c>
      <c r="J58" s="59">
        <f t="shared" si="17"/>
        <v>-1.7394044016776355E-3</v>
      </c>
      <c r="K58" s="59">
        <f t="shared" si="17"/>
        <v>2.3637094035684481E-3</v>
      </c>
      <c r="L58" s="59">
        <f t="shared" si="17"/>
        <v>8.9324747444896602E-4</v>
      </c>
      <c r="M58" s="59">
        <f t="shared" si="17"/>
        <v>6.7003478796712201E-4</v>
      </c>
      <c r="N58" s="59">
        <f t="shared" si="17"/>
        <v>-7.7042817926520346E-4</v>
      </c>
      <c r="O58" s="59">
        <f t="shared" si="17"/>
        <v>-7.6923076923076983E-2</v>
      </c>
      <c r="P58" s="59">
        <f t="shared" si="17"/>
        <v>-1.2747555921788223E-3</v>
      </c>
    </row>
    <row r="59" spans="1:16" x14ac:dyDescent="0.3">
      <c r="A59" s="25">
        <f t="shared" si="10"/>
        <v>45261</v>
      </c>
      <c r="B59" s="60">
        <f t="shared" ref="B59:P59" si="18">B10/B9-1</f>
        <v>1.6777440594766047E-2</v>
      </c>
      <c r="C59" s="60">
        <f t="shared" si="18"/>
        <v>3.7616627394627677E-3</v>
      </c>
      <c r="D59" s="60">
        <f t="shared" si="18"/>
        <v>-1.5076538560759856E-3</v>
      </c>
      <c r="E59" s="59">
        <f t="shared" si="18"/>
        <v>1.1301489978046142E-3</v>
      </c>
      <c r="F59" s="59">
        <f t="shared" si="18"/>
        <v>-3.1069916383370977E-2</v>
      </c>
      <c r="G59" s="59">
        <f t="shared" si="18"/>
        <v>1.0257691038346728E-3</v>
      </c>
      <c r="H59" s="59">
        <f t="shared" si="18"/>
        <v>-1.7758470894875256E-3</v>
      </c>
      <c r="I59" s="59">
        <f t="shared" si="18"/>
        <v>-9.067039422732126E-4</v>
      </c>
      <c r="J59" s="59">
        <f t="shared" si="18"/>
        <v>1.5123022500418415E-4</v>
      </c>
      <c r="K59" s="59">
        <f t="shared" si="18"/>
        <v>-9.997165809029207E-4</v>
      </c>
      <c r="L59" s="59">
        <f t="shared" si="18"/>
        <v>-1.0104992763597664E-3</v>
      </c>
      <c r="M59" s="59">
        <f t="shared" si="18"/>
        <v>-9.8943309369725618E-4</v>
      </c>
      <c r="N59" s="59">
        <f t="shared" si="18"/>
        <v>-9.6048840177365147E-4</v>
      </c>
      <c r="O59" s="59">
        <f t="shared" si="18"/>
        <v>6.9444444444444198E-3</v>
      </c>
      <c r="P59" s="59">
        <f t="shared" si="18"/>
        <v>-1.7855862282485369E-3</v>
      </c>
    </row>
    <row r="60" spans="1:16" x14ac:dyDescent="0.3">
      <c r="A60" s="25">
        <f t="shared" si="10"/>
        <v>45292</v>
      </c>
      <c r="B60" s="60">
        <f t="shared" ref="B60:P60" si="19">B11/B10-1</f>
        <v>1.3177289164899131E-2</v>
      </c>
      <c r="C60" s="60">
        <f t="shared" si="19"/>
        <v>3.6107163534921938E-3</v>
      </c>
      <c r="D60" s="60">
        <f t="shared" si="19"/>
        <v>-2.9032604428458342E-3</v>
      </c>
      <c r="E60" s="59">
        <f t="shared" si="19"/>
        <v>1.4013598380651082E-3</v>
      </c>
      <c r="F60" s="59">
        <f t="shared" si="19"/>
        <v>-4.7280106544081657E-2</v>
      </c>
      <c r="G60" s="59">
        <f t="shared" si="19"/>
        <v>-2.7104398105770589E-3</v>
      </c>
      <c r="H60" s="59">
        <f t="shared" si="19"/>
        <v>-1.1182325519863201E-2</v>
      </c>
      <c r="I60" s="59">
        <f t="shared" si="19"/>
        <v>-3.1423115463876661E-3</v>
      </c>
      <c r="J60" s="59">
        <f t="shared" si="19"/>
        <v>-5.1936440315836219E-4</v>
      </c>
      <c r="K60" s="59">
        <f t="shared" si="19"/>
        <v>-4.8728158492297169E-3</v>
      </c>
      <c r="L60" s="59">
        <f t="shared" si="19"/>
        <v>-1.7867060561299608E-3</v>
      </c>
      <c r="M60" s="59">
        <f t="shared" si="19"/>
        <v>-1.4721547318404804E-3</v>
      </c>
      <c r="N60" s="59">
        <f t="shared" si="19"/>
        <v>-4.8123271434216131E-3</v>
      </c>
      <c r="O60" s="59">
        <f t="shared" si="19"/>
        <v>-2.0689655172413834E-2</v>
      </c>
      <c r="P60" s="59">
        <f t="shared" si="19"/>
        <v>-5.4494996162745002E-3</v>
      </c>
    </row>
    <row r="61" spans="1:16" x14ac:dyDescent="0.3">
      <c r="A61" s="25">
        <f t="shared" si="10"/>
        <v>45323</v>
      </c>
      <c r="B61" s="60">
        <f t="shared" ref="B61:P61" si="20">B12/B11-1</f>
        <v>4.5782718830855718E-3</v>
      </c>
      <c r="C61" s="60">
        <f t="shared" si="20"/>
        <v>3.115232121504663E-3</v>
      </c>
      <c r="D61" s="60">
        <f t="shared" si="20"/>
        <v>-2.6854061803042173E-3</v>
      </c>
      <c r="E61" s="59">
        <f t="shared" si="20"/>
        <v>-4.1463667461383302E-4</v>
      </c>
      <c r="F61" s="59">
        <f t="shared" si="20"/>
        <v>-3.11565665375233E-2</v>
      </c>
      <c r="G61" s="59">
        <f t="shared" si="20"/>
        <v>-1.2898614292445876E-3</v>
      </c>
      <c r="H61" s="59">
        <f t="shared" si="20"/>
        <v>-1.6653346336792385E-3</v>
      </c>
      <c r="I61" s="59">
        <f t="shared" si="20"/>
        <v>-4.1574363487391075E-3</v>
      </c>
      <c r="J61" s="59">
        <f t="shared" si="20"/>
        <v>-1.262908636453397E-3</v>
      </c>
      <c r="K61" s="59">
        <f t="shared" si="20"/>
        <v>-5.6639746268191127E-3</v>
      </c>
      <c r="L61" s="59">
        <f t="shared" si="20"/>
        <v>-1.4252939964818356E-3</v>
      </c>
      <c r="M61" s="59">
        <f t="shared" si="20"/>
        <v>-1.7949609243899101E-3</v>
      </c>
      <c r="N61" s="59">
        <f t="shared" si="20"/>
        <v>-2.8743618043368668E-3</v>
      </c>
      <c r="O61" s="59">
        <f t="shared" si="20"/>
        <v>-4.9295774647887147E-2</v>
      </c>
      <c r="P61" s="59">
        <f t="shared" si="20"/>
        <v>-4.0960052805180114E-3</v>
      </c>
    </row>
    <row r="62" spans="1:16" x14ac:dyDescent="0.3">
      <c r="A62" s="25">
        <f t="shared" si="10"/>
        <v>45352</v>
      </c>
      <c r="B62" s="60">
        <f t="shared" ref="B62:P62" si="21">B13/B12-1</f>
        <v>-2.8723656239600937E-3</v>
      </c>
      <c r="C62" s="60">
        <f t="shared" si="21"/>
        <v>2.0912845715479467E-3</v>
      </c>
      <c r="D62" s="60">
        <f t="shared" si="21"/>
        <v>-3.0857350131383576E-3</v>
      </c>
      <c r="E62" s="59">
        <f t="shared" si="21"/>
        <v>-1.0629472155968545E-3</v>
      </c>
      <c r="F62" s="59">
        <f t="shared" si="21"/>
        <v>-2.5923080239071417E-2</v>
      </c>
      <c r="G62" s="59">
        <f t="shared" si="21"/>
        <v>-1.4899735838743711E-3</v>
      </c>
      <c r="H62" s="59">
        <f t="shared" si="21"/>
        <v>-2.3628656270036075E-4</v>
      </c>
      <c r="I62" s="59">
        <f t="shared" si="21"/>
        <v>-3.5615248659190968E-3</v>
      </c>
      <c r="J62" s="59">
        <f t="shared" si="21"/>
        <v>-9.1544936050247383E-4</v>
      </c>
      <c r="K62" s="59">
        <f t="shared" si="21"/>
        <v>-2.5647630674118238E-3</v>
      </c>
      <c r="L62" s="59">
        <f t="shared" si="21"/>
        <v>-2.1860411080050213E-3</v>
      </c>
      <c r="M62" s="59">
        <f t="shared" si="21"/>
        <v>-1.6510913713965181E-3</v>
      </c>
      <c r="N62" s="59">
        <f t="shared" si="21"/>
        <v>-6.582841610991319E-3</v>
      </c>
      <c r="O62" s="59">
        <f t="shared" si="21"/>
        <v>-8.8888888888889017E-2</v>
      </c>
      <c r="P62" s="59">
        <f t="shared" si="21"/>
        <v>-3.9492199167782127E-3</v>
      </c>
    </row>
    <row r="63" spans="1:16" x14ac:dyDescent="0.3">
      <c r="A63" s="25">
        <f t="shared" si="10"/>
        <v>45383</v>
      </c>
      <c r="B63" s="60">
        <f t="shared" ref="B63:P63" si="22">B14/B13-1</f>
        <v>2.3454061612016019E-3</v>
      </c>
      <c r="C63" s="60">
        <f t="shared" si="22"/>
        <v>-2.1077894297489852E-3</v>
      </c>
      <c r="D63" s="60">
        <f t="shared" si="22"/>
        <v>-4.0429955398431083E-3</v>
      </c>
      <c r="E63" s="59">
        <f t="shared" si="22"/>
        <v>-3.3349770314810012E-3</v>
      </c>
      <c r="F63" s="59">
        <f t="shared" si="22"/>
        <v>-2.0130891142720264E-2</v>
      </c>
      <c r="G63" s="59">
        <f t="shared" si="22"/>
        <v>-5.326947512461766E-4</v>
      </c>
      <c r="H63" s="59">
        <f t="shared" si="22"/>
        <v>-5.5028978401128192E-4</v>
      </c>
      <c r="I63" s="59">
        <f t="shared" si="22"/>
        <v>-1.2595902795563552E-3</v>
      </c>
      <c r="J63" s="59">
        <f t="shared" si="22"/>
        <v>-3.0982405948642988E-4</v>
      </c>
      <c r="K63" s="59">
        <f t="shared" si="22"/>
        <v>-3.5044577690943601E-3</v>
      </c>
      <c r="L63" s="59">
        <f t="shared" si="22"/>
        <v>1.5445116373011825E-3</v>
      </c>
      <c r="M63" s="59">
        <f t="shared" si="22"/>
        <v>-1.7590651996763906E-3</v>
      </c>
      <c r="N63" s="59">
        <f t="shared" si="22"/>
        <v>-7.481489992171575E-4</v>
      </c>
      <c r="O63" s="59">
        <f t="shared" si="22"/>
        <v>-0.13821138211382111</v>
      </c>
      <c r="P63" s="59">
        <f t="shared" si="22"/>
        <v>-2.7181953693957706E-3</v>
      </c>
    </row>
    <row r="64" spans="1:16" x14ac:dyDescent="0.3">
      <c r="A64" s="25">
        <f t="shared" si="10"/>
        <v>45413</v>
      </c>
      <c r="B64" s="60">
        <f t="shared" ref="B64:P64" si="23">B15/B14-1</f>
        <v>7.6587319443819357E-3</v>
      </c>
      <c r="C64" s="60">
        <f t="shared" si="23"/>
        <v>1.7567157780264964E-3</v>
      </c>
      <c r="D64" s="60">
        <f t="shared" si="23"/>
        <v>-4.2225316668634827E-3</v>
      </c>
      <c r="E64" s="59">
        <f t="shared" si="23"/>
        <v>-3.2289564481479127E-3</v>
      </c>
      <c r="F64" s="59">
        <f t="shared" si="23"/>
        <v>-3.1296243653743394E-3</v>
      </c>
      <c r="G64" s="59">
        <f t="shared" si="23"/>
        <v>-9.8609202765054249E-5</v>
      </c>
      <c r="H64" s="59">
        <f t="shared" si="23"/>
        <v>-2.9259064486413244E-3</v>
      </c>
      <c r="I64" s="59">
        <f t="shared" si="23"/>
        <v>-3.328057688885E-3</v>
      </c>
      <c r="J64" s="59">
        <f t="shared" si="23"/>
        <v>-9.8251259462456275E-4</v>
      </c>
      <c r="K64" s="59">
        <f t="shared" si="23"/>
        <v>-1.8761430105502797E-3</v>
      </c>
      <c r="L64" s="59">
        <f t="shared" si="23"/>
        <v>2.799558713626471E-4</v>
      </c>
      <c r="M64" s="59">
        <f t="shared" si="23"/>
        <v>-1.9971202911036601E-3</v>
      </c>
      <c r="N64" s="59">
        <f t="shared" si="23"/>
        <v>-2.9440313174339261E-3</v>
      </c>
      <c r="O64" s="59">
        <f t="shared" si="23"/>
        <v>-2.8301886792452824E-2</v>
      </c>
      <c r="P64" s="59">
        <f t="shared" si="23"/>
        <v>-1.5701102895827601E-3</v>
      </c>
    </row>
    <row r="65" spans="1:16" x14ac:dyDescent="0.3">
      <c r="A65" s="25">
        <f t="shared" si="10"/>
        <v>45444</v>
      </c>
      <c r="B65" s="60">
        <f t="shared" ref="B65:P65" si="24">B16/B15-1</f>
        <v>-5.2992277417551747E-4</v>
      </c>
      <c r="C65" s="60">
        <f t="shared" si="24"/>
        <v>9.6032400496870451E-4</v>
      </c>
      <c r="D65" s="60">
        <f t="shared" si="24"/>
        <v>-3.6355135322840848E-3</v>
      </c>
      <c r="E65" s="59">
        <f t="shared" si="24"/>
        <v>-4.8068759225153856E-3</v>
      </c>
      <c r="F65" s="59">
        <f t="shared" si="24"/>
        <v>-6.5054300752882543E-3</v>
      </c>
      <c r="G65" s="59">
        <f t="shared" si="24"/>
        <v>5.1673057879542128E-4</v>
      </c>
      <c r="H65" s="59">
        <f t="shared" si="24"/>
        <v>-3.4229846160380717E-3</v>
      </c>
      <c r="I65" s="59">
        <f t="shared" si="24"/>
        <v>-7.9302902524636121E-4</v>
      </c>
      <c r="J65" s="59">
        <f t="shared" si="24"/>
        <v>1.3795106367531229E-3</v>
      </c>
      <c r="K65" s="59">
        <f t="shared" si="24"/>
        <v>-2.3944619177822535E-3</v>
      </c>
      <c r="L65" s="59">
        <f t="shared" si="24"/>
        <v>-3.7000756618033037E-4</v>
      </c>
      <c r="M65" s="59">
        <f t="shared" si="24"/>
        <v>-2.5172418997027046E-3</v>
      </c>
      <c r="N65" s="59">
        <f t="shared" si="24"/>
        <v>2.9393149465237745E-3</v>
      </c>
      <c r="O65" s="59">
        <f t="shared" si="24"/>
        <v>-9.7087378640776656E-3</v>
      </c>
      <c r="P65" s="59">
        <f t="shared" si="24"/>
        <v>-1.5536962977412694E-3</v>
      </c>
    </row>
    <row r="66" spans="1:16" x14ac:dyDescent="0.3">
      <c r="A66" s="25">
        <f t="shared" si="10"/>
        <v>45474</v>
      </c>
      <c r="B66" s="60">
        <f t="shared" ref="B66:P66" si="25">B17/B16-1</f>
        <v>-3.7709996425593362E-3</v>
      </c>
      <c r="C66" s="60">
        <f t="shared" si="25"/>
        <v>-1.7310961175476258E-3</v>
      </c>
      <c r="D66" s="60">
        <f t="shared" si="25"/>
        <v>-1.6604041144454573E-3</v>
      </c>
      <c r="E66" s="59">
        <f t="shared" si="25"/>
        <v>-1.1812728871607447E-4</v>
      </c>
      <c r="F66" s="59">
        <f t="shared" si="25"/>
        <v>-2.5779003390703492E-3</v>
      </c>
      <c r="G66" s="59">
        <f t="shared" si="25"/>
        <v>6.8753212624206306E-4</v>
      </c>
      <c r="H66" s="59">
        <f t="shared" si="25"/>
        <v>-1.6765233452324946E-3</v>
      </c>
      <c r="I66" s="59">
        <f t="shared" si="25"/>
        <v>-5.5921210665399457E-4</v>
      </c>
      <c r="J66" s="59">
        <f t="shared" si="25"/>
        <v>-1.7269563383252029E-3</v>
      </c>
      <c r="K66" s="59">
        <f t="shared" si="25"/>
        <v>-8.6004664621419646E-4</v>
      </c>
      <c r="L66" s="59">
        <f t="shared" si="25"/>
        <v>1.0961972395759911E-3</v>
      </c>
      <c r="M66" s="59">
        <f t="shared" si="25"/>
        <v>-1.1226061407463295E-3</v>
      </c>
      <c r="N66" s="59">
        <f t="shared" si="25"/>
        <v>-2.5135571647074695E-3</v>
      </c>
      <c r="O66" s="59">
        <f t="shared" si="25"/>
        <v>-0.10784313725490191</v>
      </c>
      <c r="P66" s="59">
        <f t="shared" si="25"/>
        <v>-9.8441161291562551E-4</v>
      </c>
    </row>
    <row r="67" spans="1:16" x14ac:dyDescent="0.3">
      <c r="A67" s="25">
        <f t="shared" si="10"/>
        <v>45505</v>
      </c>
      <c r="B67" s="60">
        <f t="shared" ref="B67:P67" si="26">B18/B17-1</f>
        <v>3.9317813510975075E-3</v>
      </c>
      <c r="C67" s="60">
        <f t="shared" si="26"/>
        <v>-2.0997210818265444E-3</v>
      </c>
      <c r="D67" s="60">
        <f t="shared" si="26"/>
        <v>-3.1736528486980831E-5</v>
      </c>
      <c r="E67" s="59">
        <f t="shared" si="26"/>
        <v>-3.9249146757680542E-3</v>
      </c>
      <c r="F67" s="59">
        <f t="shared" si="26"/>
        <v>2.3263757217815151E-3</v>
      </c>
      <c r="G67" s="59">
        <f t="shared" si="26"/>
        <v>2.9550081690101759E-3</v>
      </c>
      <c r="H67" s="59">
        <f t="shared" si="26"/>
        <v>-2.4122705585580828E-3</v>
      </c>
      <c r="I67" s="59">
        <f t="shared" si="26"/>
        <v>-1.7074164942584291E-3</v>
      </c>
      <c r="J67" s="59">
        <f t="shared" si="26"/>
        <v>2.5156817431495337E-3</v>
      </c>
      <c r="K67" s="59">
        <f t="shared" si="26"/>
        <v>1.2130300493933266E-3</v>
      </c>
      <c r="L67" s="59">
        <f t="shared" si="26"/>
        <v>-3.863300775741596E-4</v>
      </c>
      <c r="M67" s="59">
        <f t="shared" si="26"/>
        <v>-2.1205052861161811E-4</v>
      </c>
      <c r="N67" s="59">
        <f t="shared" si="26"/>
        <v>-2.1713954834974292E-3</v>
      </c>
      <c r="O67" s="59">
        <f t="shared" si="26"/>
        <v>-5.4945054945054972E-2</v>
      </c>
      <c r="P67" s="59">
        <f t="shared" si="26"/>
        <v>6.5954150073865847E-4</v>
      </c>
    </row>
    <row r="68" spans="1:16" x14ac:dyDescent="0.3">
      <c r="A68" s="25">
        <f t="shared" si="10"/>
        <v>45536</v>
      </c>
      <c r="B68" s="60">
        <f t="shared" ref="B68:P68" si="27">B19/B18-1</f>
        <v>-8.3390664415206039E-5</v>
      </c>
      <c r="C68" s="60">
        <f t="shared" si="27"/>
        <v>-8.8981010405542182E-4</v>
      </c>
      <c r="D68" s="60">
        <f t="shared" si="27"/>
        <v>1.3604251800460876E-3</v>
      </c>
      <c r="E68" s="59">
        <f t="shared" si="27"/>
        <v>3.6899882711094456E-4</v>
      </c>
      <c r="F68" s="59">
        <f t="shared" si="27"/>
        <v>3.3083973726011351E-3</v>
      </c>
      <c r="G68" s="59">
        <f t="shared" si="27"/>
        <v>4.0915447630904822E-3</v>
      </c>
      <c r="H68" s="59">
        <f t="shared" si="27"/>
        <v>-4.6721472261346264E-4</v>
      </c>
      <c r="I68" s="59">
        <f t="shared" si="27"/>
        <v>-9.2643240702927621E-4</v>
      </c>
      <c r="J68" s="59">
        <f t="shared" si="27"/>
        <v>-1.146011025416227E-3</v>
      </c>
      <c r="K68" s="59">
        <f t="shared" si="27"/>
        <v>2.61769443790838E-3</v>
      </c>
      <c r="L68" s="59">
        <f t="shared" si="27"/>
        <v>4.6472367909422552E-4</v>
      </c>
      <c r="M68" s="59">
        <f t="shared" si="27"/>
        <v>3.8177190643540193E-4</v>
      </c>
      <c r="N68" s="59">
        <f t="shared" si="27"/>
        <v>-1.407762034484783E-3</v>
      </c>
      <c r="O68" s="59">
        <f t="shared" si="27"/>
        <v>8.1395348837209447E-2</v>
      </c>
      <c r="P68" s="59">
        <f t="shared" si="27"/>
        <v>1.4602638447296368E-3</v>
      </c>
    </row>
    <row r="69" spans="1:16" x14ac:dyDescent="0.3">
      <c r="A69" s="25">
        <f t="shared" si="10"/>
        <v>45566</v>
      </c>
      <c r="B69" s="60">
        <f t="shared" ref="B69:P69" si="28">B20/B19-1</f>
        <v>1.2479857985769893E-3</v>
      </c>
      <c r="C69" s="60">
        <f t="shared" si="28"/>
        <v>-2.5879862951980748E-3</v>
      </c>
      <c r="D69" s="60">
        <f t="shared" si="28"/>
        <v>2.1663562897999977E-3</v>
      </c>
      <c r="E69" s="59">
        <f t="shared" si="28"/>
        <v>-3.2934171178655713E-4</v>
      </c>
      <c r="F69" s="59">
        <f t="shared" si="28"/>
        <v>-3.6825960563863225E-3</v>
      </c>
      <c r="G69" s="59">
        <f t="shared" si="28"/>
        <v>3.6626157753574251E-3</v>
      </c>
      <c r="H69" s="59">
        <f t="shared" si="28"/>
        <v>4.1747843028105969E-4</v>
      </c>
      <c r="I69" s="59">
        <f t="shared" si="28"/>
        <v>-6.0726988808890159E-4</v>
      </c>
      <c r="J69" s="59">
        <f t="shared" si="28"/>
        <v>-8.9676045286424255E-4</v>
      </c>
      <c r="K69" s="59">
        <f t="shared" si="28"/>
        <v>2.0658965720332656E-3</v>
      </c>
      <c r="L69" s="59">
        <f t="shared" si="28"/>
        <v>6.5173289852871186E-4</v>
      </c>
      <c r="M69" s="59">
        <f t="shared" si="28"/>
        <v>-5.3609396485410077E-4</v>
      </c>
      <c r="N69" s="59">
        <f t="shared" si="28"/>
        <v>3.4705594326589484E-4</v>
      </c>
      <c r="O69" s="59">
        <f t="shared" si="28"/>
        <v>-0.12903225806451613</v>
      </c>
      <c r="P69" s="59">
        <f t="shared" si="28"/>
        <v>1.2074276491964575E-3</v>
      </c>
    </row>
    <row r="70" spans="1:16" x14ac:dyDescent="0.3">
      <c r="A70" s="25">
        <f t="shared" si="10"/>
        <v>45597</v>
      </c>
      <c r="B70" s="60">
        <f t="shared" ref="B70:P70" si="29">B21/B20-1</f>
        <v>3.688719657304329E-4</v>
      </c>
      <c r="C70" s="60">
        <f t="shared" si="29"/>
        <v>-4.433052503309054E-3</v>
      </c>
      <c r="D70" s="60">
        <f t="shared" si="29"/>
        <v>-8.5475418551750337E-4</v>
      </c>
      <c r="E70" s="59">
        <f t="shared" si="29"/>
        <v>1.0015286489903907E-3</v>
      </c>
      <c r="F70" s="59">
        <f t="shared" si="29"/>
        <v>1.5541788352517738E-3</v>
      </c>
      <c r="G70" s="59">
        <f t="shared" si="29"/>
        <v>3.526829759387784E-3</v>
      </c>
      <c r="H70" s="59">
        <f t="shared" si="29"/>
        <v>-2.1614218303604993E-3</v>
      </c>
      <c r="I70" s="59">
        <f t="shared" si="29"/>
        <v>-4.3016975308629579E-4</v>
      </c>
      <c r="J70" s="59">
        <f t="shared" si="29"/>
        <v>-7.721701942304815E-4</v>
      </c>
      <c r="K70" s="59">
        <f t="shared" si="29"/>
        <v>-3.265291415999183E-4</v>
      </c>
      <c r="L70" s="59">
        <f t="shared" si="29"/>
        <v>1.4210365514299994E-5</v>
      </c>
      <c r="M70" s="59">
        <f t="shared" si="29"/>
        <v>1.8182424262658259E-5</v>
      </c>
      <c r="N70" s="59">
        <f t="shared" si="29"/>
        <v>-3.3295053882584913E-3</v>
      </c>
      <c r="O70" s="59">
        <f t="shared" si="29"/>
        <v>6.1728395061728225E-2</v>
      </c>
      <c r="P70" s="59">
        <f t="shared" si="29"/>
        <v>2.0451307100755045E-4</v>
      </c>
    </row>
    <row r="71" spans="1:16" x14ac:dyDescent="0.3">
      <c r="A71" s="25">
        <f t="shared" si="10"/>
        <v>45627</v>
      </c>
      <c r="B71" s="60">
        <f t="shared" ref="B71:P71" si="30">B22/B21-1</f>
        <v>6.8097203554140506E-4</v>
      </c>
      <c r="C71" s="60">
        <f t="shared" si="30"/>
        <v>-4.1467944118516176E-3</v>
      </c>
      <c r="D71" s="60">
        <f t="shared" si="30"/>
        <v>-1.5313188933098187E-3</v>
      </c>
      <c r="E71" s="59">
        <f t="shared" si="30"/>
        <v>2.6329647182743443E-5</v>
      </c>
      <c r="F71" s="59">
        <f t="shared" si="30"/>
        <v>9.3588441345080486E-3</v>
      </c>
      <c r="G71" s="59">
        <f t="shared" si="30"/>
        <v>3.1829753355527846E-3</v>
      </c>
      <c r="H71" s="59">
        <f t="shared" si="30"/>
        <v>6.0765285150088388E-5</v>
      </c>
      <c r="I71" s="59">
        <f t="shared" si="30"/>
        <v>-2.811780530590835E-3</v>
      </c>
      <c r="J71" s="59">
        <f t="shared" si="30"/>
        <v>3.962907188714837E-5</v>
      </c>
      <c r="K71" s="59">
        <f t="shared" si="30"/>
        <v>3.7754592893530781E-3</v>
      </c>
      <c r="L71" s="59">
        <f t="shared" si="30"/>
        <v>2.6051966568219065E-4</v>
      </c>
      <c r="M71" s="59">
        <f t="shared" si="30"/>
        <v>3.9091501386390171E-4</v>
      </c>
      <c r="N71" s="59">
        <f t="shared" si="30"/>
        <v>2.5230106668034935E-3</v>
      </c>
      <c r="O71" s="59">
        <f t="shared" si="30"/>
        <v>0</v>
      </c>
      <c r="P71" s="59">
        <f t="shared" si="30"/>
        <v>1.3745456149949487E-3</v>
      </c>
    </row>
    <row r="72" spans="1:16" x14ac:dyDescent="0.3">
      <c r="A72" s="25">
        <f t="shared" si="10"/>
        <v>45658</v>
      </c>
      <c r="B72" s="60">
        <f t="shared" ref="B72:P72" si="31">B23/B22-1</f>
        <v>-3.4025431409782092E-3</v>
      </c>
      <c r="C72" s="60">
        <f t="shared" si="31"/>
        <v>-3.7190476695027064E-3</v>
      </c>
      <c r="D72" s="60">
        <f t="shared" si="31"/>
        <v>-1.1395406023462229E-4</v>
      </c>
      <c r="E72" s="59">
        <f t="shared" si="31"/>
        <v>-2.501250625313034E-4</v>
      </c>
      <c r="F72" s="59">
        <f t="shared" si="31"/>
        <v>5.4219826613384203E-3</v>
      </c>
      <c r="G72" s="59">
        <f t="shared" si="31"/>
        <v>2.6320631695164742E-4</v>
      </c>
      <c r="H72" s="59">
        <f t="shared" si="31"/>
        <v>-6.7266657611998459E-3</v>
      </c>
      <c r="I72" s="59">
        <f t="shared" si="31"/>
        <v>-2.1965474531661089E-3</v>
      </c>
      <c r="J72" s="59">
        <f t="shared" si="31"/>
        <v>-1.7964467340333412E-3</v>
      </c>
      <c r="K72" s="59">
        <f t="shared" si="31"/>
        <v>-3.3864794415563448E-3</v>
      </c>
      <c r="L72" s="59">
        <f t="shared" si="31"/>
        <v>1.1601944391170793E-3</v>
      </c>
      <c r="M72" s="59">
        <f t="shared" si="31"/>
        <v>-7.7546618846258131E-4</v>
      </c>
      <c r="N72" s="59">
        <f t="shared" si="31"/>
        <v>-1.007202764828119E-2</v>
      </c>
      <c r="O72" s="59">
        <f t="shared" si="31"/>
        <v>5.8139534883721034E-2</v>
      </c>
      <c r="P72" s="59">
        <f t="shared" si="31"/>
        <v>-1.4507270078846224E-3</v>
      </c>
    </row>
    <row r="73" spans="1:16" x14ac:dyDescent="0.3">
      <c r="A73" s="25">
        <f t="shared" si="10"/>
        <v>45689</v>
      </c>
      <c r="B73" s="60">
        <f t="shared" ref="B73:P73" si="32">B24/B23-1</f>
        <v>-2.2810763102024678E-3</v>
      </c>
      <c r="C73" s="60">
        <f t="shared" si="32"/>
        <v>-1.2294210235249126E-2</v>
      </c>
      <c r="D73" s="60">
        <f t="shared" si="32"/>
        <v>-4.3187512639197845E-4</v>
      </c>
      <c r="E73" s="59">
        <f t="shared" si="32"/>
        <v>7.2422738106214801E-4</v>
      </c>
      <c r="F73" s="59">
        <f t="shared" si="32"/>
        <v>6.3302672339347055E-3</v>
      </c>
      <c r="G73" s="59">
        <f t="shared" si="32"/>
        <v>1.7707764302778983E-3</v>
      </c>
      <c r="H73" s="59">
        <f t="shared" si="32"/>
        <v>4.796689456639136E-3</v>
      </c>
      <c r="I73" s="59">
        <f t="shared" si="32"/>
        <v>1.5516355208156085E-4</v>
      </c>
      <c r="J73" s="59">
        <f t="shared" si="32"/>
        <v>-3.1097407667157739E-4</v>
      </c>
      <c r="K73" s="59">
        <f t="shared" si="32"/>
        <v>5.2264592596262816E-3</v>
      </c>
      <c r="L73" s="59">
        <f t="shared" si="32"/>
        <v>2.5376448858058787E-3</v>
      </c>
      <c r="M73" s="59">
        <f t="shared" si="32"/>
        <v>5.6992493967289448E-4</v>
      </c>
      <c r="N73" s="59">
        <f t="shared" si="32"/>
        <v>3.121414316089588E-3</v>
      </c>
      <c r="O73" s="59">
        <f t="shared" si="32"/>
        <v>-2.1978021978022011E-2</v>
      </c>
      <c r="P73" s="59">
        <f t="shared" si="32"/>
        <v>1.7036872774562895E-3</v>
      </c>
    </row>
    <row r="74" spans="1:16" x14ac:dyDescent="0.3">
      <c r="A74" s="25">
        <f t="shared" si="10"/>
        <v>45717</v>
      </c>
      <c r="B74" s="60">
        <f t="shared" ref="B74:P74" si="33">B25/B24-1</f>
        <v>-1.1506172987092222E-2</v>
      </c>
      <c r="C74" s="60">
        <f t="shared" si="33"/>
        <v>-1.1919631320527202E-2</v>
      </c>
      <c r="D74" s="60">
        <f t="shared" si="33"/>
        <v>-2.3651950278611444E-3</v>
      </c>
      <c r="E74" s="59">
        <f t="shared" si="33"/>
        <v>-1.5263559567356699E-3</v>
      </c>
      <c r="F74" s="59">
        <f t="shared" si="33"/>
        <v>-8.2507990993401226E-3</v>
      </c>
      <c r="G74" s="59">
        <f t="shared" si="33"/>
        <v>4.1995572101849454E-4</v>
      </c>
      <c r="H74" s="59">
        <f t="shared" si="33"/>
        <v>4.9421092779149411E-3</v>
      </c>
      <c r="I74" s="59">
        <f t="shared" si="33"/>
        <v>1.4544326258336682E-4</v>
      </c>
      <c r="J74" s="59">
        <f t="shared" si="33"/>
        <v>-6.6185279070229974E-4</v>
      </c>
      <c r="K74" s="59">
        <f t="shared" si="33"/>
        <v>2.13930097500592E-4</v>
      </c>
      <c r="L74" s="59">
        <f t="shared" si="33"/>
        <v>-4.2839686156836976E-3</v>
      </c>
      <c r="M74" s="59">
        <f t="shared" si="33"/>
        <v>-1.1210218871937627E-4</v>
      </c>
      <c r="N74" s="59">
        <f t="shared" si="33"/>
        <v>-8.6195213184070418E-4</v>
      </c>
      <c r="O74" s="59">
        <f t="shared" si="33"/>
        <v>-6.7415730337078594E-2</v>
      </c>
      <c r="P74" s="59">
        <f t="shared" si="33"/>
        <v>-1.7686233355811432E-3</v>
      </c>
    </row>
    <row r="75" spans="1:16" x14ac:dyDescent="0.3">
      <c r="A75" s="25">
        <f t="shared" si="10"/>
        <v>45748</v>
      </c>
      <c r="B75" s="60">
        <f t="shared" ref="B75:P75" si="34">B26/B25-1</f>
        <v>1.2925052833987927E-2</v>
      </c>
      <c r="C75" s="60">
        <f t="shared" si="34"/>
        <v>-6.9852340216859377E-3</v>
      </c>
      <c r="D75" s="60">
        <f t="shared" si="34"/>
        <v>-1.3611276048537402E-3</v>
      </c>
      <c r="E75" s="59">
        <f t="shared" si="34"/>
        <v>1.4496191455153351E-3</v>
      </c>
      <c r="F75" s="59">
        <f t="shared" si="34"/>
        <v>4.7656849514434718E-3</v>
      </c>
      <c r="G75" s="59">
        <f t="shared" si="34"/>
        <v>2.6320010789768755E-3</v>
      </c>
      <c r="H75" s="59">
        <f t="shared" si="34"/>
        <v>-1.1795604622737432E-3</v>
      </c>
      <c r="I75" s="59">
        <f t="shared" si="34"/>
        <v>5.9526117811303791E-4</v>
      </c>
      <c r="J75" s="59">
        <f t="shared" si="34"/>
        <v>-1.3974342841627241E-3</v>
      </c>
      <c r="K75" s="59">
        <f t="shared" si="34"/>
        <v>3.1220394935755902E-3</v>
      </c>
      <c r="L75" s="59">
        <f t="shared" si="34"/>
        <v>2.1085550475017367E-3</v>
      </c>
      <c r="M75" s="59">
        <f t="shared" si="34"/>
        <v>6.848090564481879E-4</v>
      </c>
      <c r="N75" s="59">
        <f t="shared" si="34"/>
        <v>-1.2235087300468406E-3</v>
      </c>
      <c r="O75" s="59">
        <f t="shared" si="34"/>
        <v>-7.2289156626506035E-2</v>
      </c>
      <c r="P75" s="59">
        <f t="shared" si="34"/>
        <v>1.6742231355220127E-3</v>
      </c>
    </row>
    <row r="76" spans="1:16" x14ac:dyDescent="0.3">
      <c r="A76" s="25">
        <f t="shared" si="10"/>
        <v>45778</v>
      </c>
      <c r="B76" s="60">
        <f t="shared" ref="B76:P79" si="35">B27/B26-1</f>
        <v>-2.853492842389338E-3</v>
      </c>
      <c r="C76" s="60">
        <f t="shared" si="35"/>
        <v>-1.0194899258153756E-2</v>
      </c>
      <c r="D76" s="60">
        <f t="shared" si="35"/>
        <v>-1.2640288704536262E-3</v>
      </c>
      <c r="E76" s="59">
        <f t="shared" si="35"/>
        <v>3.7503947783976699E-3</v>
      </c>
      <c r="F76" s="59">
        <f t="shared" si="35"/>
        <v>-2.4755669443343731E-4</v>
      </c>
      <c r="G76" s="59">
        <f t="shared" si="35"/>
        <v>1.9174791477127862E-3</v>
      </c>
      <c r="H76" s="59">
        <f t="shared" si="35"/>
        <v>2.6223589099549915E-3</v>
      </c>
      <c r="I76" s="59">
        <f t="shared" si="35"/>
        <v>3.0888659366297144E-3</v>
      </c>
      <c r="J76" s="59">
        <f t="shared" si="35"/>
        <v>-2.4273776362914168E-3</v>
      </c>
      <c r="K76" s="59">
        <f t="shared" si="35"/>
        <v>1.2915915936031475E-3</v>
      </c>
      <c r="L76" s="59">
        <f t="shared" si="35"/>
        <v>9.7404132583100989E-4</v>
      </c>
      <c r="M76" s="59">
        <f t="shared" si="35"/>
        <v>2.1801995488202053E-4</v>
      </c>
      <c r="N76" s="59">
        <f t="shared" si="35"/>
        <v>-1.6460189971235772E-3</v>
      </c>
      <c r="O76" s="59">
        <f t="shared" si="35"/>
        <v>0</v>
      </c>
      <c r="P76" s="59">
        <f t="shared" si="35"/>
        <v>3.5819666177938636E-4</v>
      </c>
    </row>
    <row r="77" spans="1:16" x14ac:dyDescent="0.3">
      <c r="A77" s="25">
        <f t="shared" si="10"/>
        <v>45809</v>
      </c>
      <c r="B77" s="60">
        <f t="shared" si="35"/>
        <v>-3.6070068727700466E-3</v>
      </c>
      <c r="C77" s="60">
        <f t="shared" si="35"/>
        <v>-1.0322079937912232E-2</v>
      </c>
      <c r="D77" s="60">
        <f t="shared" si="35"/>
        <v>-2.5019643521773105E-3</v>
      </c>
      <c r="E77" s="59">
        <f t="shared" si="35"/>
        <v>-1.4421123012176018E-4</v>
      </c>
      <c r="F77" s="59">
        <f t="shared" si="35"/>
        <v>-8.1661253315845617E-4</v>
      </c>
      <c r="G77" s="59">
        <f t="shared" si="35"/>
        <v>-8.0159142511671E-4</v>
      </c>
      <c r="H77" s="59">
        <f t="shared" si="35"/>
        <v>-1.5799755886655165E-3</v>
      </c>
      <c r="I77" s="59">
        <f t="shared" si="35"/>
        <v>-5.5269965091636619E-3</v>
      </c>
      <c r="J77" s="59">
        <f t="shared" si="35"/>
        <v>-4.0687701942637711E-3</v>
      </c>
      <c r="K77" s="59">
        <f t="shared" si="35"/>
        <v>-3.880925490913123E-3</v>
      </c>
      <c r="L77" s="59">
        <f t="shared" si="35"/>
        <v>1.3132038394678691E-3</v>
      </c>
      <c r="M77" s="59">
        <f t="shared" si="35"/>
        <v>3.1787646412384518E-4</v>
      </c>
      <c r="N77" s="59">
        <f t="shared" si="35"/>
        <v>-3.9531498687271904E-3</v>
      </c>
      <c r="O77" s="59">
        <f t="shared" si="35"/>
        <v>-0.14285714285714279</v>
      </c>
      <c r="P77" s="59">
        <f t="shared" si="35"/>
        <v>-2.3250511133069418E-3</v>
      </c>
    </row>
    <row r="78" spans="1:16" x14ac:dyDescent="0.3">
      <c r="A78" s="25">
        <f t="shared" si="10"/>
        <v>45839</v>
      </c>
      <c r="B78" s="60">
        <f>B29/B28-1</f>
        <v>8.0212216891428767E-4</v>
      </c>
      <c r="C78" s="60">
        <f t="shared" si="35"/>
        <v>-7.1249327836528931E-3</v>
      </c>
      <c r="D78" s="60">
        <f t="shared" si="35"/>
        <v>-3.4185996697139176E-3</v>
      </c>
      <c r="E78" s="59">
        <f t="shared" si="35"/>
        <v>-7.8672016363801056E-5</v>
      </c>
      <c r="F78" s="59">
        <f t="shared" si="35"/>
        <v>1.7663792126176858E-4</v>
      </c>
      <c r="G78" s="59">
        <f t="shared" si="35"/>
        <v>-1.161610098136534E-3</v>
      </c>
      <c r="H78" s="59">
        <f t="shared" si="35"/>
        <v>-3.442954240072793E-3</v>
      </c>
      <c r="I78" s="59">
        <f t="shared" si="35"/>
        <v>-5.4586425269032013E-4</v>
      </c>
      <c r="J78" s="59">
        <f t="shared" si="35"/>
        <v>-4.8730991575529625E-4</v>
      </c>
      <c r="K78" s="59">
        <f t="shared" si="35"/>
        <v>-4.0572151275364288E-3</v>
      </c>
      <c r="L78" s="59">
        <f t="shared" si="35"/>
        <v>-2.2172530593378426E-4</v>
      </c>
      <c r="M78" s="59">
        <f t="shared" si="35"/>
        <v>-2.9053755500541012E-4</v>
      </c>
      <c r="N78" s="59">
        <f t="shared" si="35"/>
        <v>-3.4116175273556371E-3</v>
      </c>
      <c r="O78" s="59">
        <f t="shared" si="35"/>
        <v>-3.0303030303030276E-2</v>
      </c>
      <c r="P78" s="59">
        <f t="shared" si="35"/>
        <v>-1.9373397812162407E-3</v>
      </c>
    </row>
    <row r="79" spans="1:16" x14ac:dyDescent="0.3">
      <c r="A79" s="25">
        <f t="shared" si="10"/>
        <v>45870</v>
      </c>
      <c r="B79" s="60">
        <f>B30/B29-1</f>
        <v>1.8040788391460172E-3</v>
      </c>
      <c r="C79" s="60">
        <f t="shared" si="35"/>
        <v>-6.3523942772035769E-3</v>
      </c>
      <c r="D79" s="60">
        <f t="shared" si="35"/>
        <v>-3.0949207246152577E-3</v>
      </c>
      <c r="E79" s="59">
        <f t="shared" si="35"/>
        <v>1.4293207448203837E-3</v>
      </c>
      <c r="F79" s="59">
        <f t="shared" si="35"/>
        <v>-2.7782610300126631E-3</v>
      </c>
      <c r="G79" s="59">
        <f t="shared" si="35"/>
        <v>-1.6190709684815729E-3</v>
      </c>
      <c r="H79" s="59">
        <f t="shared" si="35"/>
        <v>4.2917380466134247E-5</v>
      </c>
      <c r="I79" s="59">
        <f t="shared" si="35"/>
        <v>-9.9125557095458561E-5</v>
      </c>
      <c r="J79" s="59">
        <f t="shared" si="35"/>
        <v>-5.5700632476006762E-3</v>
      </c>
      <c r="K79" s="59">
        <f t="shared" si="35"/>
        <v>-3.0578359152436674E-3</v>
      </c>
      <c r="L79" s="59">
        <f t="shared" si="35"/>
        <v>-7.4789904070737823E-4</v>
      </c>
      <c r="M79" s="59">
        <f t="shared" si="35"/>
        <v>-2.3613036818181943E-4</v>
      </c>
      <c r="N79" s="59">
        <f t="shared" si="35"/>
        <v>-9.1543717606812347E-4</v>
      </c>
      <c r="O79" s="59">
        <f t="shared" si="35"/>
        <v>-1.5625E-2</v>
      </c>
      <c r="P79" s="59">
        <f t="shared" si="35"/>
        <v>-1.7364619347707277E-3</v>
      </c>
    </row>
    <row r="80" spans="1:16" x14ac:dyDescent="0.3">
      <c r="A80" s="25">
        <f t="shared" ref="A80:A88" si="36">A31</f>
        <v>45901</v>
      </c>
      <c r="B80" s="60">
        <f>B31/B30-1</f>
        <v>-6.3523454237657262E-4</v>
      </c>
      <c r="C80" s="60">
        <f t="shared" ref="C80:P80" si="37">C31/C30-1</f>
        <v>-5.2347697723272857E-3</v>
      </c>
      <c r="D80" s="60">
        <f t="shared" si="37"/>
        <v>-4.2399294069577209E-3</v>
      </c>
      <c r="E80" s="59">
        <f t="shared" si="37"/>
        <v>9.2969660464325976E-4</v>
      </c>
      <c r="F80" s="59">
        <f t="shared" si="37"/>
        <v>-3.4600338337914538E-3</v>
      </c>
      <c r="G80" s="59">
        <f t="shared" si="37"/>
        <v>-3.0655965914073713E-3</v>
      </c>
      <c r="H80" s="59">
        <f t="shared" si="37"/>
        <v>-9.5844702970837581E-4</v>
      </c>
      <c r="I80" s="59">
        <f t="shared" si="37"/>
        <v>-2.194585264205573E-3</v>
      </c>
      <c r="J80" s="59">
        <f t="shared" si="37"/>
        <v>-1.7260485577085261E-3</v>
      </c>
      <c r="K80" s="59">
        <f t="shared" si="37"/>
        <v>-4.9147582525110867E-4</v>
      </c>
      <c r="L80" s="59">
        <f t="shared" si="37"/>
        <v>1.0624809638826171E-4</v>
      </c>
      <c r="M80" s="59">
        <f t="shared" si="37"/>
        <v>-2.2407402921442721E-4</v>
      </c>
      <c r="N80" s="59">
        <f t="shared" si="37"/>
        <v>-1.2619369635047395E-4</v>
      </c>
      <c r="O80" s="59">
        <f t="shared" si="37"/>
        <v>0.12698412698412698</v>
      </c>
      <c r="P80" s="59">
        <f t="shared" si="37"/>
        <v>-2.053154385170175E-3</v>
      </c>
    </row>
    <row r="81" spans="1:16" x14ac:dyDescent="0.3">
      <c r="A81" s="25">
        <f t="shared" si="36"/>
        <v>45931</v>
      </c>
      <c r="B81" s="60">
        <f t="shared" ref="B81:P81" si="38">B32/B31-1</f>
        <v>-2.8423826842526312E-3</v>
      </c>
      <c r="C81" s="60">
        <f t="shared" si="38"/>
        <v>-4.3377014748184894E-3</v>
      </c>
      <c r="D81" s="60">
        <f t="shared" si="38"/>
        <v>-5.003588335030007E-3</v>
      </c>
      <c r="E81" s="59">
        <f t="shared" si="38"/>
        <v>-7.8492935635776639E-5</v>
      </c>
      <c r="F81" s="59">
        <f t="shared" si="38"/>
        <v>-1.1166782932063857E-3</v>
      </c>
      <c r="G81" s="59">
        <f t="shared" si="38"/>
        <v>-3.3381398067973134E-3</v>
      </c>
      <c r="H81" s="59">
        <f t="shared" si="38"/>
        <v>-1.7862832064321488E-3</v>
      </c>
      <c r="I81" s="59">
        <f t="shared" si="38"/>
        <v>-1.340297164141524E-3</v>
      </c>
      <c r="J81" s="59">
        <f t="shared" si="38"/>
        <v>-2.7785626824904375E-3</v>
      </c>
      <c r="K81" s="59">
        <f t="shared" si="38"/>
        <v>-2.5476830632646941E-3</v>
      </c>
      <c r="L81" s="59">
        <f t="shared" si="38"/>
        <v>4.3675132559939378E-4</v>
      </c>
      <c r="M81" s="59">
        <f t="shared" si="38"/>
        <v>-2.3623907394276777E-4</v>
      </c>
      <c r="N81" s="59">
        <f t="shared" si="38"/>
        <v>-8.9718579977116075E-4</v>
      </c>
      <c r="O81" s="59">
        <f t="shared" si="38"/>
        <v>0.21126760563380276</v>
      </c>
      <c r="P81" s="59">
        <f t="shared" si="38"/>
        <v>-2.5293369466413695E-3</v>
      </c>
    </row>
    <row r="82" spans="1:16" x14ac:dyDescent="0.3">
      <c r="A82" s="25">
        <f t="shared" si="36"/>
        <v>45962</v>
      </c>
      <c r="B82" s="60">
        <f t="shared" ref="B82:P88" si="39">B33/B32-1</f>
        <v>1.3440577313388324E-3</v>
      </c>
      <c r="C82" s="60">
        <f t="shared" si="39"/>
        <v>-4.2190222874439742E-3</v>
      </c>
      <c r="D82" s="60">
        <f t="shared" si="39"/>
        <v>-4.890110709719675E-3</v>
      </c>
      <c r="E82" s="59">
        <f t="shared" si="39"/>
        <v>-1.4391501164401355E-4</v>
      </c>
      <c r="F82" s="59">
        <f t="shared" si="39"/>
        <v>-2.6102658063144046E-3</v>
      </c>
      <c r="G82" s="59">
        <f t="shared" si="39"/>
        <v>-4.2159388809225318E-3</v>
      </c>
      <c r="H82" s="59">
        <f t="shared" si="39"/>
        <v>7.3874313255783974E-4</v>
      </c>
      <c r="I82" s="59">
        <f t="shared" si="39"/>
        <v>-2.2628362311291061E-3</v>
      </c>
      <c r="J82" s="59">
        <f t="shared" si="39"/>
        <v>-2.5704165963906789E-3</v>
      </c>
      <c r="K82" s="59">
        <f t="shared" si="39"/>
        <v>-3.5503132529575154E-3</v>
      </c>
      <c r="L82" s="59">
        <f t="shared" si="39"/>
        <v>-9.9819004311330062E-4</v>
      </c>
      <c r="M82" s="59">
        <f t="shared" si="39"/>
        <v>-4.3017788764476705E-4</v>
      </c>
      <c r="N82" s="59">
        <f t="shared" si="39"/>
        <v>8.4306843958170674E-4</v>
      </c>
      <c r="O82" s="59">
        <f t="shared" ref="O82:O88" si="40">O33/O32-1</f>
        <v>0.18604651162790709</v>
      </c>
      <c r="P82" s="59">
        <f t="shared" si="39"/>
        <v>-2.6542814176916396E-3</v>
      </c>
    </row>
    <row r="83" spans="1:16" x14ac:dyDescent="0.3">
      <c r="A83" s="25">
        <f t="shared" si="36"/>
        <v>45992</v>
      </c>
      <c r="B83" s="60">
        <f t="shared" si="39"/>
        <v>-1.1831050200887816E-3</v>
      </c>
      <c r="C83" s="60">
        <f t="shared" si="39"/>
        <v>-7.6333241226858028E-3</v>
      </c>
      <c r="D83" s="60">
        <f t="shared" si="39"/>
        <v>-4.4653170780742935E-3</v>
      </c>
      <c r="E83" s="59">
        <f t="shared" si="39"/>
        <v>-7.8510396084974232E-5</v>
      </c>
      <c r="F83" s="59">
        <f t="shared" si="39"/>
        <v>4.3343175180441396E-3</v>
      </c>
      <c r="G83" s="59">
        <f t="shared" si="39"/>
        <v>-2.9452790520955174E-3</v>
      </c>
      <c r="H83" s="59">
        <f t="shared" si="39"/>
        <v>-4.662113252442146E-3</v>
      </c>
      <c r="I83" s="59">
        <f t="shared" si="39"/>
        <v>-1.3197229168417923E-3</v>
      </c>
      <c r="J83" s="59">
        <f t="shared" si="39"/>
        <v>-4.4438732718269369E-3</v>
      </c>
      <c r="K83" s="59">
        <f t="shared" si="39"/>
        <v>-2.0129605611780566E-3</v>
      </c>
      <c r="L83" s="59">
        <f t="shared" si="39"/>
        <v>1.2070562001587071E-3</v>
      </c>
      <c r="M83" s="59">
        <f t="shared" si="39"/>
        <v>2.8791892203150482E-4</v>
      </c>
      <c r="N83" s="59">
        <f t="shared" si="39"/>
        <v>-1.9453811602592186E-3</v>
      </c>
      <c r="O83" s="59">
        <f t="shared" si="40"/>
        <v>0.12745098039215708</v>
      </c>
      <c r="P83" s="59">
        <f t="shared" si="39"/>
        <v>-2.0456091116033415E-3</v>
      </c>
    </row>
    <row r="84" spans="1:16" x14ac:dyDescent="0.3">
      <c r="A84" s="25">
        <f t="shared" si="36"/>
        <v>46023</v>
      </c>
      <c r="B84" s="60">
        <f t="shared" si="39"/>
        <v>-7.7564125689955077E-4</v>
      </c>
      <c r="C84" s="60">
        <f t="shared" si="39"/>
        <v>-2.2855684336314797E-3</v>
      </c>
      <c r="D84" s="60">
        <f t="shared" si="39"/>
        <v>-3.9397348119148967E-3</v>
      </c>
      <c r="E84" s="59">
        <f t="shared" si="39"/>
        <v>4.3184108248173203E-4</v>
      </c>
      <c r="F84" s="59">
        <f t="shared" si="39"/>
        <v>9.2435749599055761E-3</v>
      </c>
      <c r="G84" s="59">
        <f t="shared" si="39"/>
        <v>-3.2384665493156994E-3</v>
      </c>
      <c r="H84" s="59">
        <f t="shared" si="39"/>
        <v>-6.0484524242413462E-3</v>
      </c>
      <c r="I84" s="59">
        <f t="shared" si="39"/>
        <v>-6.3038864830577968E-4</v>
      </c>
      <c r="J84" s="59">
        <f t="shared" si="39"/>
        <v>-3.016570756928405E-3</v>
      </c>
      <c r="K84" s="59">
        <f t="shared" si="39"/>
        <v>-4.8981540962916847E-3</v>
      </c>
      <c r="L84" s="59">
        <f t="shared" si="39"/>
        <v>3.1166318670299287E-3</v>
      </c>
      <c r="M84" s="59">
        <f t="shared" si="39"/>
        <v>-1.939106011530356E-4</v>
      </c>
      <c r="N84" s="59">
        <f t="shared" si="39"/>
        <v>8.7231679422890007E-3</v>
      </c>
      <c r="O84" s="59">
        <f t="shared" si="40"/>
        <v>0.15652173913043477</v>
      </c>
      <c r="P84" s="59">
        <f t="shared" si="39"/>
        <v>-1.2469589577778217E-3</v>
      </c>
    </row>
    <row r="85" spans="1:16" x14ac:dyDescent="0.3">
      <c r="A85" s="25">
        <f t="shared" si="36"/>
        <v>46054</v>
      </c>
      <c r="B85" s="60">
        <f t="shared" si="39"/>
        <v>2.4460691398140444E-3</v>
      </c>
      <c r="C85" s="60">
        <f t="shared" si="39"/>
        <v>1.9070654449044877E-3</v>
      </c>
      <c r="D85" s="60">
        <f t="shared" si="39"/>
        <v>-3.8210432150470597E-3</v>
      </c>
      <c r="E85" s="59">
        <f t="shared" si="39"/>
        <v>-4.8397645519959731E-4</v>
      </c>
      <c r="F85" s="59">
        <f t="shared" si="39"/>
        <v>3.1519061152240901E-4</v>
      </c>
      <c r="G85" s="59">
        <f t="shared" si="39"/>
        <v>-1.9500416360240802E-3</v>
      </c>
      <c r="H85" s="59">
        <f t="shared" si="39"/>
        <v>5.5419321421212864E-4</v>
      </c>
      <c r="I85" s="59">
        <f t="shared" si="39"/>
        <v>-1.9765943025502608E-3</v>
      </c>
      <c r="J85" s="59">
        <f t="shared" si="39"/>
        <v>-3.6390151489338329E-3</v>
      </c>
      <c r="K85" s="59">
        <f t="shared" si="39"/>
        <v>4.5509233815543837E-3</v>
      </c>
      <c r="L85" s="59">
        <f t="shared" si="39"/>
        <v>-2.7729693115321474E-3</v>
      </c>
      <c r="M85" s="59">
        <f t="shared" si="39"/>
        <v>-3.8183553797910275E-4</v>
      </c>
      <c r="N85" s="59">
        <f t="shared" si="39"/>
        <v>6.3338575209108683E-3</v>
      </c>
      <c r="O85" s="59">
        <f t="shared" si="40"/>
        <v>4.5112781954887327E-2</v>
      </c>
      <c r="P85" s="59">
        <f t="shared" si="39"/>
        <v>-3.2835186991042598E-4</v>
      </c>
    </row>
    <row r="86" spans="1:16" x14ac:dyDescent="0.3">
      <c r="A86" s="25">
        <f t="shared" si="36"/>
        <v>46082</v>
      </c>
      <c r="B86" s="60">
        <f t="shared" si="39"/>
        <v>4.5470507198746013E-3</v>
      </c>
      <c r="C86" s="60">
        <f t="shared" si="39"/>
        <v>4.2711234911794183E-3</v>
      </c>
      <c r="D86" s="60">
        <f t="shared" si="39"/>
        <v>-4.4551958688348048E-3</v>
      </c>
      <c r="E86" s="59">
        <f t="shared" si="39"/>
        <v>-1.0076819389370772E-3</v>
      </c>
      <c r="F86" s="59">
        <f t="shared" si="39"/>
        <v>-2.2581543002087034E-4</v>
      </c>
      <c r="G86" s="59">
        <f t="shared" si="39"/>
        <v>-2.6208422766395012E-3</v>
      </c>
      <c r="H86" s="59">
        <f t="shared" si="39"/>
        <v>8.688411830726217E-5</v>
      </c>
      <c r="I86" s="59">
        <f t="shared" si="39"/>
        <v>-3.4173103157233431E-3</v>
      </c>
      <c r="J86" s="59">
        <f t="shared" si="39"/>
        <v>-7.5918719093900355E-3</v>
      </c>
      <c r="K86" s="59">
        <f t="shared" si="39"/>
        <v>-3.9240664702744343E-4</v>
      </c>
      <c r="L86" s="59">
        <f t="shared" si="39"/>
        <v>-2.0047311655513322E-4</v>
      </c>
      <c r="M86" s="59">
        <f t="shared" si="39"/>
        <v>1.3339032738235446E-4</v>
      </c>
      <c r="N86" s="59">
        <f t="shared" si="39"/>
        <v>3.0603318699706783E-4</v>
      </c>
      <c r="O86" s="59">
        <f t="shared" si="40"/>
        <v>0.19424460431654667</v>
      </c>
      <c r="P86" s="59">
        <f t="shared" si="39"/>
        <v>-1.5530432425984175E-3</v>
      </c>
    </row>
    <row r="87" spans="1:16" x14ac:dyDescent="0.3">
      <c r="A87" s="25">
        <f t="shared" si="36"/>
        <v>46113</v>
      </c>
      <c r="B87" s="60">
        <f t="shared" si="39"/>
        <v>2.3304591004436048E-4</v>
      </c>
      <c r="C87" s="60">
        <f t="shared" si="39"/>
        <v>-1.4792899408283544E-3</v>
      </c>
      <c r="D87" s="60">
        <f t="shared" si="39"/>
        <v>-3.3803352360047834E-3</v>
      </c>
      <c r="E87" s="59">
        <f t="shared" si="39"/>
        <v>-2.8819953888081784E-4</v>
      </c>
      <c r="F87" s="59">
        <f t="shared" si="39"/>
        <v>-1.5022744224646445E-3</v>
      </c>
      <c r="G87" s="59">
        <f t="shared" si="39"/>
        <v>-3.1522975117211915E-3</v>
      </c>
      <c r="H87" s="59">
        <f t="shared" si="39"/>
        <v>3.551079803369328E-3</v>
      </c>
      <c r="I87" s="59">
        <f t="shared" si="39"/>
        <v>-4.5339593952619106E-3</v>
      </c>
      <c r="J87" s="59">
        <f t="shared" si="39"/>
        <v>-9.0214267500120515E-3</v>
      </c>
      <c r="K87" s="59">
        <f t="shared" si="39"/>
        <v>-8.8297708924789386E-4</v>
      </c>
      <c r="L87" s="59">
        <f t="shared" si="39"/>
        <v>5.661552397666636E-4</v>
      </c>
      <c r="M87" s="59">
        <f t="shared" si="39"/>
        <v>-2.6068268551671103E-4</v>
      </c>
      <c r="N87" s="59">
        <f t="shared" si="39"/>
        <v>-1.0965090401078292E-3</v>
      </c>
      <c r="O87" s="59">
        <f t="shared" si="40"/>
        <v>-2.4096385542168641E-2</v>
      </c>
      <c r="P87" s="59">
        <f t="shared" si="39"/>
        <v>-1.941479311339922E-3</v>
      </c>
    </row>
    <row r="88" spans="1:16" x14ac:dyDescent="0.3">
      <c r="A88" s="25">
        <f t="shared" si="36"/>
        <v>46143</v>
      </c>
      <c r="B88" s="60">
        <f t="shared" si="39"/>
        <v>5.4842641049537288E-3</v>
      </c>
      <c r="C88" s="60">
        <f t="shared" si="39"/>
        <v>3.3796296296295658E-3</v>
      </c>
      <c r="D88" s="60">
        <f t="shared" si="39"/>
        <v>-2.840295671450499E-3</v>
      </c>
      <c r="E88" s="59">
        <f t="shared" si="39"/>
        <v>5.7656524359894767E-4</v>
      </c>
      <c r="F88" s="59">
        <f t="shared" si="39"/>
        <v>-5.2343075984260246E-3</v>
      </c>
      <c r="G88" s="59">
        <f t="shared" si="39"/>
        <v>-3.443356218224114E-3</v>
      </c>
      <c r="H88" s="59">
        <f t="shared" si="39"/>
        <v>-1.4319981243349211E-3</v>
      </c>
      <c r="I88" s="59">
        <f t="shared" si="39"/>
        <v>-3.3556117462240076E-3</v>
      </c>
      <c r="J88" s="59">
        <f t="shared" si="39"/>
        <v>-2.0863759649487612E-3</v>
      </c>
      <c r="K88" s="59">
        <f t="shared" si="39"/>
        <v>8.0062045237916379E-4</v>
      </c>
      <c r="L88" s="59">
        <f t="shared" si="39"/>
        <v>-8.5346762481364191E-4</v>
      </c>
      <c r="M88" s="59">
        <f t="shared" si="39"/>
        <v>7.4586816325417082E-4</v>
      </c>
      <c r="N88" s="59">
        <f t="shared" si="39"/>
        <v>-1.6262410251821624E-4</v>
      </c>
      <c r="O88" s="59">
        <f t="shared" si="40"/>
        <v>-2.4691358024691357E-2</v>
      </c>
      <c r="P88" s="59">
        <f t="shared" si="39"/>
        <v>-1.4752678085782067E-3</v>
      </c>
    </row>
    <row r="89" spans="1:16" x14ac:dyDescent="0.3">
      <c r="A89" s="58"/>
      <c r="B89" s="57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</row>
    <row r="90" spans="1:16" x14ac:dyDescent="0.3">
      <c r="A90" s="101" t="str">
        <f>_xlfn.CONCAT("Composición: ",MONTH(A39),"/",YEAR(A39))</f>
        <v>Composición: 5/2026</v>
      </c>
      <c r="B90" s="59">
        <f>B39/$P$39</f>
        <v>5.4898613247838492E-2</v>
      </c>
      <c r="C90" s="59">
        <f t="shared" ref="C90:P90" si="41">C39/$P$39</f>
        <v>1.4138743062284216E-2</v>
      </c>
      <c r="D90" s="59">
        <f t="shared" si="41"/>
        <v>0.18076216325443553</v>
      </c>
      <c r="E90" s="59">
        <f t="shared" si="41"/>
        <v>1.2453353743712203E-2</v>
      </c>
      <c r="F90" s="59">
        <f t="shared" si="41"/>
        <v>6.1680291072965417E-2</v>
      </c>
      <c r="G90" s="59">
        <f t="shared" si="41"/>
        <v>0.19890529609211155</v>
      </c>
      <c r="H90" s="59">
        <f t="shared" si="41"/>
        <v>4.5149971760677324E-2</v>
      </c>
      <c r="I90" s="59">
        <f t="shared" si="41"/>
        <v>8.2153514601026392E-2</v>
      </c>
      <c r="J90" s="59">
        <f t="shared" si="41"/>
        <v>2.3402023739297312E-2</v>
      </c>
      <c r="K90" s="59">
        <f t="shared" si="41"/>
        <v>0.14332039309659053</v>
      </c>
      <c r="L90" s="59">
        <f t="shared" si="41"/>
        <v>6.9116618861779971E-2</v>
      </c>
      <c r="M90" s="59">
        <f t="shared" si="41"/>
        <v>5.3830525900506569E-2</v>
      </c>
      <c r="N90" s="59">
        <f t="shared" si="41"/>
        <v>6.0162723082902263E-2</v>
      </c>
      <c r="O90" s="59">
        <f t="shared" si="41"/>
        <v>2.5768483872109381E-5</v>
      </c>
      <c r="P90" s="59">
        <f t="shared" si="41"/>
        <v>1</v>
      </c>
    </row>
    <row r="92" spans="1:16" x14ac:dyDescent="0.3">
      <c r="A92" s="55" t="s">
        <v>117</v>
      </c>
    </row>
    <row r="93" spans="1:16" x14ac:dyDescent="0.3">
      <c r="A93" s="58">
        <f t="shared" ref="A93:A121" si="42">A3</f>
        <v>45047</v>
      </c>
      <c r="B93" s="123">
        <f>B3-B2</f>
        <v>0.99600000000003774</v>
      </c>
      <c r="C93" s="123">
        <f t="shared" ref="C93:P93" si="43">C3-C2</f>
        <v>0.64999999999999147</v>
      </c>
      <c r="D93" s="123">
        <f t="shared" si="43"/>
        <v>2.5809999999999036</v>
      </c>
      <c r="E93" s="123">
        <f t="shared" si="43"/>
        <v>1.300000000000523E-2</v>
      </c>
      <c r="F93" s="123">
        <f t="shared" si="43"/>
        <v>0.83199999999999363</v>
      </c>
      <c r="G93" s="123">
        <f t="shared" si="43"/>
        <v>4.2670000000000528</v>
      </c>
      <c r="H93" s="123">
        <f t="shared" si="43"/>
        <v>2.2880000000000109</v>
      </c>
      <c r="I93" s="123">
        <f t="shared" si="43"/>
        <v>0.70699999999999363</v>
      </c>
      <c r="J93" s="123">
        <f t="shared" si="43"/>
        <v>-9.6000000000003638E-2</v>
      </c>
      <c r="K93" s="123">
        <f t="shared" si="43"/>
        <v>1.7829999999999018</v>
      </c>
      <c r="L93" s="123">
        <f t="shared" si="43"/>
        <v>1.5219999999999914</v>
      </c>
      <c r="M93" s="123">
        <f t="shared" si="43"/>
        <v>0.26400000000001</v>
      </c>
      <c r="N93" s="123">
        <f t="shared" si="43"/>
        <v>1.3629999999999995</v>
      </c>
      <c r="O93" s="123">
        <f t="shared" si="43"/>
        <v>3.0000000000000027E-3</v>
      </c>
      <c r="P93" s="123">
        <f t="shared" si="43"/>
        <v>17.173000000000684</v>
      </c>
    </row>
    <row r="94" spans="1:16" x14ac:dyDescent="0.3">
      <c r="A94" s="58">
        <f t="shared" si="42"/>
        <v>45078</v>
      </c>
      <c r="B94" s="123">
        <f t="shared" ref="B94:P94" si="44">B4-B3</f>
        <v>2.2519999999999527</v>
      </c>
      <c r="C94" s="123">
        <f t="shared" si="44"/>
        <v>0.59500000000001307</v>
      </c>
      <c r="D94" s="123">
        <f t="shared" si="44"/>
        <v>2.65300000000002</v>
      </c>
      <c r="E94" s="123">
        <f t="shared" si="44"/>
        <v>1.8000000000000682E-2</v>
      </c>
      <c r="F94" s="123">
        <f t="shared" si="44"/>
        <v>-0.30399999999997362</v>
      </c>
      <c r="G94" s="123">
        <f t="shared" si="44"/>
        <v>6.3689999999999145</v>
      </c>
      <c r="H94" s="123">
        <f t="shared" si="44"/>
        <v>2.6209999999999809</v>
      </c>
      <c r="I94" s="123">
        <f t="shared" si="44"/>
        <v>1.1189999999999145</v>
      </c>
      <c r="J94" s="123">
        <f t="shared" si="44"/>
        <v>-0.13100000000000023</v>
      </c>
      <c r="K94" s="123">
        <f t="shared" si="44"/>
        <v>1.0869999999999891</v>
      </c>
      <c r="L94" s="123">
        <f t="shared" si="44"/>
        <v>0.63499999999999091</v>
      </c>
      <c r="M94" s="123">
        <f t="shared" si="44"/>
        <v>0.21899999999999409</v>
      </c>
      <c r="N94" s="123">
        <f t="shared" si="44"/>
        <v>0.44999999999998863</v>
      </c>
      <c r="O94" s="123">
        <f t="shared" si="44"/>
        <v>-6.0000000000000053E-3</v>
      </c>
      <c r="P94" s="123">
        <f t="shared" si="44"/>
        <v>17.576999999997497</v>
      </c>
    </row>
    <row r="95" spans="1:16" x14ac:dyDescent="0.3">
      <c r="A95" s="58">
        <f t="shared" si="42"/>
        <v>45108</v>
      </c>
      <c r="B95" s="123">
        <f t="shared" ref="B95:P95" si="45">B5-B4</f>
        <v>2.3610000000000468</v>
      </c>
      <c r="C95" s="123">
        <f t="shared" si="45"/>
        <v>0.67399999999999238</v>
      </c>
      <c r="D95" s="123">
        <f t="shared" si="45"/>
        <v>3.8930000000000291</v>
      </c>
      <c r="E95" s="123">
        <f t="shared" si="45"/>
        <v>0.18099999999999739</v>
      </c>
      <c r="F95" s="123">
        <f t="shared" si="45"/>
        <v>-2.214999999999975</v>
      </c>
      <c r="G95" s="123">
        <f t="shared" si="45"/>
        <v>6.0899999999999181</v>
      </c>
      <c r="H95" s="123">
        <f t="shared" si="45"/>
        <v>1.1110000000000468</v>
      </c>
      <c r="I95" s="123">
        <f t="shared" si="45"/>
        <v>0.37600000000009004</v>
      </c>
      <c r="J95" s="123">
        <f t="shared" si="45"/>
        <v>9.7000000000008413E-2</v>
      </c>
      <c r="K95" s="123">
        <f t="shared" si="45"/>
        <v>3.7480000000000473</v>
      </c>
      <c r="L95" s="123">
        <f t="shared" si="45"/>
        <v>0.57000000000005002</v>
      </c>
      <c r="M95" s="123">
        <f t="shared" si="45"/>
        <v>0.33499999999997954</v>
      </c>
      <c r="N95" s="123">
        <f t="shared" si="45"/>
        <v>1.5370000000000346</v>
      </c>
      <c r="O95" s="123">
        <f t="shared" si="45"/>
        <v>-7.0000000000000062E-3</v>
      </c>
      <c r="P95" s="123">
        <f t="shared" si="45"/>
        <v>18.751000000002023</v>
      </c>
    </row>
    <row r="96" spans="1:16" x14ac:dyDescent="0.3">
      <c r="A96" s="58">
        <f t="shared" si="42"/>
        <v>45139</v>
      </c>
      <c r="B96" s="123">
        <f t="shared" ref="B96:P96" si="46">B6-B5</f>
        <v>-2.6999999999986812E-2</v>
      </c>
      <c r="C96" s="123">
        <f t="shared" si="46"/>
        <v>0.49599999999999511</v>
      </c>
      <c r="D96" s="123">
        <f t="shared" si="46"/>
        <v>1.0919999999998709</v>
      </c>
      <c r="E96" s="123">
        <f t="shared" si="46"/>
        <v>0.18999999999999773</v>
      </c>
      <c r="F96" s="123">
        <f t="shared" si="46"/>
        <v>-3.5130000000000337</v>
      </c>
      <c r="G96" s="123">
        <f t="shared" si="46"/>
        <v>4.1900000000000546</v>
      </c>
      <c r="H96" s="123">
        <f t="shared" si="46"/>
        <v>-2.6000000000010459E-2</v>
      </c>
      <c r="I96" s="123">
        <f t="shared" si="46"/>
        <v>0.31199999999989814</v>
      </c>
      <c r="J96" s="123">
        <f t="shared" si="46"/>
        <v>-0.25100000000000477</v>
      </c>
      <c r="K96" s="123">
        <f t="shared" si="46"/>
        <v>-0.29600000000004911</v>
      </c>
      <c r="L96" s="123">
        <f t="shared" si="46"/>
        <v>0.64499999999998181</v>
      </c>
      <c r="M96" s="123">
        <f t="shared" si="46"/>
        <v>0.58100000000001728</v>
      </c>
      <c r="N96" s="123">
        <f t="shared" si="46"/>
        <v>-5.7000000000016371E-2</v>
      </c>
      <c r="O96" s="123">
        <f t="shared" si="46"/>
        <v>-1.2999999999999984E-2</v>
      </c>
      <c r="P96" s="123">
        <f t="shared" si="46"/>
        <v>3.3229999999975917</v>
      </c>
    </row>
    <row r="97" spans="1:16" x14ac:dyDescent="0.3">
      <c r="A97" s="58">
        <f t="shared" si="42"/>
        <v>45170</v>
      </c>
      <c r="B97" s="123">
        <f t="shared" ref="B97:P97" si="47">B7-B6</f>
        <v>-4.2170000000000414</v>
      </c>
      <c r="C97" s="123">
        <f t="shared" si="47"/>
        <v>0.19300000000001205</v>
      </c>
      <c r="D97" s="123">
        <f t="shared" si="47"/>
        <v>-1.7809999999999491</v>
      </c>
      <c r="E97" s="123">
        <f t="shared" si="47"/>
        <v>0.20600000000000307</v>
      </c>
      <c r="F97" s="123">
        <f t="shared" si="47"/>
        <v>-6.4710000000000036</v>
      </c>
      <c r="G97" s="123">
        <f t="shared" si="47"/>
        <v>1.1820000000000164</v>
      </c>
      <c r="H97" s="123">
        <f t="shared" si="47"/>
        <v>-0.49100000000004229</v>
      </c>
      <c r="I97" s="123">
        <f t="shared" si="47"/>
        <v>0.43300000000010641</v>
      </c>
      <c r="J97" s="123">
        <f t="shared" si="47"/>
        <v>-0.10599999999999454</v>
      </c>
      <c r="K97" s="123">
        <f t="shared" si="47"/>
        <v>-4.1459999999999582</v>
      </c>
      <c r="L97" s="123">
        <f t="shared" si="47"/>
        <v>-0.21399999999999864</v>
      </c>
      <c r="M97" s="123">
        <f t="shared" si="47"/>
        <v>0.15399999999999636</v>
      </c>
      <c r="N97" s="123">
        <f t="shared" si="47"/>
        <v>0.39100000000001955</v>
      </c>
      <c r="O97" s="123">
        <f t="shared" si="47"/>
        <v>-1.0000000000000009E-2</v>
      </c>
      <c r="P97" s="123">
        <f t="shared" si="47"/>
        <v>-14.876999999999498</v>
      </c>
    </row>
    <row r="98" spans="1:16" x14ac:dyDescent="0.3">
      <c r="A98" s="58">
        <f t="shared" si="42"/>
        <v>45200</v>
      </c>
      <c r="B98" s="123">
        <f t="shared" ref="B98:P98" si="48">B8-B7</f>
        <v>-2.5020000000000095</v>
      </c>
      <c r="C98" s="123">
        <f t="shared" si="48"/>
        <v>0.32599999999999341</v>
      </c>
      <c r="D98" s="123">
        <f t="shared" si="48"/>
        <v>-0.21499999999991815</v>
      </c>
      <c r="E98" s="123">
        <f t="shared" si="48"/>
        <v>0.30100000000000193</v>
      </c>
      <c r="F98" s="123">
        <f t="shared" si="48"/>
        <v>-9.1669999999999732</v>
      </c>
      <c r="G98" s="123">
        <f t="shared" si="48"/>
        <v>2.081000000000131</v>
      </c>
      <c r="H98" s="123">
        <f t="shared" si="48"/>
        <v>-0.23999999999995225</v>
      </c>
      <c r="I98" s="123">
        <f t="shared" si="48"/>
        <v>-1.7000000000000455</v>
      </c>
      <c r="J98" s="123">
        <f t="shared" si="48"/>
        <v>-1.9000000000005457E-2</v>
      </c>
      <c r="K98" s="123">
        <f t="shared" si="48"/>
        <v>-0.99000000000000909</v>
      </c>
      <c r="L98" s="123">
        <f t="shared" si="48"/>
        <v>-0.31499999999999773</v>
      </c>
      <c r="M98" s="123">
        <f t="shared" si="48"/>
        <v>0.21699999999998454</v>
      </c>
      <c r="N98" s="123">
        <f t="shared" si="48"/>
        <v>-0.20800000000002683</v>
      </c>
      <c r="O98" s="123">
        <f t="shared" si="48"/>
        <v>3.0000000000000027E-3</v>
      </c>
      <c r="P98" s="123">
        <f t="shared" si="48"/>
        <v>-12.427999999999884</v>
      </c>
    </row>
    <row r="99" spans="1:16" x14ac:dyDescent="0.3">
      <c r="A99" s="58">
        <f t="shared" si="42"/>
        <v>45231</v>
      </c>
      <c r="B99" s="123">
        <f t="shared" ref="B99:P99" si="49">B9-B8</f>
        <v>-1.0399999999999636</v>
      </c>
      <c r="C99" s="123">
        <f t="shared" si="49"/>
        <v>0.39199999999999591</v>
      </c>
      <c r="D99" s="123">
        <f t="shared" si="49"/>
        <v>-2.1100000000001273</v>
      </c>
      <c r="E99" s="123">
        <f t="shared" si="49"/>
        <v>0.19499999999999318</v>
      </c>
      <c r="F99" s="123">
        <f t="shared" si="49"/>
        <v>-8.43100000000004</v>
      </c>
      <c r="G99" s="123">
        <f t="shared" si="49"/>
        <v>1.3019999999999072</v>
      </c>
      <c r="H99" s="123">
        <f t="shared" si="49"/>
        <v>-0.32600000000002183</v>
      </c>
      <c r="I99" s="123">
        <f t="shared" si="49"/>
        <v>-0.27800000000002001</v>
      </c>
      <c r="J99" s="123">
        <f t="shared" si="49"/>
        <v>-0.26499999999998636</v>
      </c>
      <c r="K99" s="123">
        <f t="shared" si="49"/>
        <v>2.1299999999999955</v>
      </c>
      <c r="L99" s="123">
        <f t="shared" si="49"/>
        <v>0.3779999999999859</v>
      </c>
      <c r="M99" s="123">
        <f t="shared" si="49"/>
        <v>0.22400000000004638</v>
      </c>
      <c r="N99" s="123">
        <f t="shared" si="49"/>
        <v>-0.29300000000000637</v>
      </c>
      <c r="O99" s="123">
        <f t="shared" si="49"/>
        <v>-1.2000000000000011E-2</v>
      </c>
      <c r="P99" s="123">
        <f t="shared" si="49"/>
        <v>-8.1339999999981956</v>
      </c>
    </row>
    <row r="100" spans="1:16" x14ac:dyDescent="0.3">
      <c r="A100" s="58">
        <f t="shared" si="42"/>
        <v>45261</v>
      </c>
      <c r="B100" s="123">
        <f t="shared" ref="B100:P100" si="50">B10-B9</f>
        <v>5.4069999999999823</v>
      </c>
      <c r="C100" s="123">
        <f t="shared" si="50"/>
        <v>0.35600000000000875</v>
      </c>
      <c r="D100" s="123">
        <f t="shared" si="50"/>
        <v>-1.7999999999999545</v>
      </c>
      <c r="E100" s="123">
        <f t="shared" si="50"/>
        <v>8.7000000000003297E-2</v>
      </c>
      <c r="F100" s="123">
        <f t="shared" si="50"/>
        <v>-13.699999999999989</v>
      </c>
      <c r="G100" s="123">
        <f t="shared" si="50"/>
        <v>1.2650000000001</v>
      </c>
      <c r="H100" s="123">
        <f t="shared" si="50"/>
        <v>-0.5110000000000241</v>
      </c>
      <c r="I100" s="123">
        <f t="shared" si="50"/>
        <v>-0.48000000000001819</v>
      </c>
      <c r="J100" s="123">
        <f t="shared" si="50"/>
        <v>2.2999999999996135E-2</v>
      </c>
      <c r="K100" s="123">
        <f t="shared" si="50"/>
        <v>-0.90300000000002001</v>
      </c>
      <c r="L100" s="123">
        <f t="shared" si="50"/>
        <v>-0.42799999999999727</v>
      </c>
      <c r="M100" s="123">
        <f t="shared" si="50"/>
        <v>-0.33100000000001728</v>
      </c>
      <c r="N100" s="123">
        <f t="shared" si="50"/>
        <v>-0.36500000000000909</v>
      </c>
      <c r="O100" s="123">
        <f t="shared" si="50"/>
        <v>1.0000000000000009E-3</v>
      </c>
      <c r="P100" s="123">
        <f t="shared" si="50"/>
        <v>-11.379000000000815</v>
      </c>
    </row>
    <row r="101" spans="1:16" x14ac:dyDescent="0.3">
      <c r="A101" s="58">
        <f t="shared" si="42"/>
        <v>45292</v>
      </c>
      <c r="B101" s="123">
        <f t="shared" ref="B101:P101" si="51">B11-B10</f>
        <v>4.3179999999999836</v>
      </c>
      <c r="C101" s="123">
        <f t="shared" si="51"/>
        <v>0.34299999999998931</v>
      </c>
      <c r="D101" s="123">
        <f t="shared" si="51"/>
        <v>-3.4610000000000127</v>
      </c>
      <c r="E101" s="123">
        <f t="shared" si="51"/>
        <v>0.10800000000000409</v>
      </c>
      <c r="F101" s="123">
        <f t="shared" si="51"/>
        <v>-20.199999999999989</v>
      </c>
      <c r="G101" s="123">
        <f t="shared" si="51"/>
        <v>-3.3460000000000036</v>
      </c>
      <c r="H101" s="123">
        <f t="shared" si="51"/>
        <v>-3.2119999999999891</v>
      </c>
      <c r="I101" s="123">
        <f t="shared" si="51"/>
        <v>-1.6619999999999209</v>
      </c>
      <c r="J101" s="123">
        <f t="shared" si="51"/>
        <v>-7.9000000000007731E-2</v>
      </c>
      <c r="K101" s="123">
        <f t="shared" si="51"/>
        <v>-4.3969999999999345</v>
      </c>
      <c r="L101" s="123">
        <f t="shared" si="51"/>
        <v>-0.75599999999997181</v>
      </c>
      <c r="M101" s="123">
        <f t="shared" si="51"/>
        <v>-0.49200000000001864</v>
      </c>
      <c r="N101" s="123">
        <f t="shared" si="51"/>
        <v>-1.8269999999999982</v>
      </c>
      <c r="O101" s="123">
        <f t="shared" si="51"/>
        <v>-3.0000000000000027E-3</v>
      </c>
      <c r="P101" s="123">
        <f t="shared" si="51"/>
        <v>-34.666000000000167</v>
      </c>
    </row>
    <row r="102" spans="1:16" x14ac:dyDescent="0.3">
      <c r="A102" s="58">
        <f t="shared" si="42"/>
        <v>45323</v>
      </c>
      <c r="B102" s="123">
        <f t="shared" ref="B102:P102" si="52">B12-B11</f>
        <v>1.5200000000000387</v>
      </c>
      <c r="C102" s="123">
        <f t="shared" si="52"/>
        <v>0.29700000000001125</v>
      </c>
      <c r="D102" s="123">
        <f t="shared" si="52"/>
        <v>-3.1920000000000073</v>
      </c>
      <c r="E102" s="123">
        <f t="shared" si="52"/>
        <v>-3.1999999999996476E-2</v>
      </c>
      <c r="F102" s="123">
        <f t="shared" si="52"/>
        <v>-12.682000000000016</v>
      </c>
      <c r="G102" s="123">
        <f t="shared" si="52"/>
        <v>-1.5880000000001928</v>
      </c>
      <c r="H102" s="123">
        <f t="shared" si="52"/>
        <v>-0.47300000000001319</v>
      </c>
      <c r="I102" s="123">
        <f t="shared" si="52"/>
        <v>-2.1920000000000073</v>
      </c>
      <c r="J102" s="123">
        <f t="shared" si="52"/>
        <v>-0.19200000000000728</v>
      </c>
      <c r="K102" s="123">
        <f t="shared" si="52"/>
        <v>-5.0860000000000127</v>
      </c>
      <c r="L102" s="123">
        <f t="shared" si="52"/>
        <v>-0.60200000000003229</v>
      </c>
      <c r="M102" s="123">
        <f t="shared" si="52"/>
        <v>-0.59899999999998954</v>
      </c>
      <c r="N102" s="123">
        <f t="shared" si="52"/>
        <v>-1.0859999999999559</v>
      </c>
      <c r="O102" s="123">
        <f t="shared" si="52"/>
        <v>-6.9999999999999785E-3</v>
      </c>
      <c r="P102" s="123">
        <f t="shared" si="52"/>
        <v>-25.91399999999976</v>
      </c>
    </row>
    <row r="103" spans="1:16" x14ac:dyDescent="0.3">
      <c r="A103" s="58">
        <f t="shared" si="42"/>
        <v>45352</v>
      </c>
      <c r="B103" s="123">
        <f t="shared" ref="B103:P103" si="53">B13-B12</f>
        <v>-0.95800000000002683</v>
      </c>
      <c r="C103" s="123">
        <f t="shared" si="53"/>
        <v>0.19999999999998863</v>
      </c>
      <c r="D103" s="123">
        <f t="shared" si="53"/>
        <v>-3.6579999999999018</v>
      </c>
      <c r="E103" s="123">
        <f t="shared" si="53"/>
        <v>-8.2000000000007844E-2</v>
      </c>
      <c r="F103" s="123">
        <f t="shared" si="53"/>
        <v>-10.222999999999956</v>
      </c>
      <c r="G103" s="123">
        <f t="shared" si="53"/>
        <v>-1.8319999999998799</v>
      </c>
      <c r="H103" s="123">
        <f t="shared" si="53"/>
        <v>-6.6999999999950433E-2</v>
      </c>
      <c r="I103" s="123">
        <f t="shared" si="53"/>
        <v>-1.8700000000000045</v>
      </c>
      <c r="J103" s="123">
        <f t="shared" si="53"/>
        <v>-0.13899999999998158</v>
      </c>
      <c r="K103" s="123">
        <f t="shared" si="53"/>
        <v>-2.2899999999999636</v>
      </c>
      <c r="L103" s="123">
        <f t="shared" si="53"/>
        <v>-0.92199999999996862</v>
      </c>
      <c r="M103" s="123">
        <f t="shared" si="53"/>
        <v>-0.55000000000001137</v>
      </c>
      <c r="N103" s="123">
        <f t="shared" si="53"/>
        <v>-2.4800000000000182</v>
      </c>
      <c r="O103" s="123">
        <f t="shared" si="53"/>
        <v>-1.2000000000000011E-2</v>
      </c>
      <c r="P103" s="123">
        <f t="shared" si="53"/>
        <v>-24.88300000000163</v>
      </c>
    </row>
    <row r="104" spans="1:16" x14ac:dyDescent="0.3">
      <c r="A104" s="58">
        <f t="shared" si="42"/>
        <v>45383</v>
      </c>
      <c r="B104" s="123">
        <f t="shared" ref="B104:P104" si="54">B14-B13</f>
        <v>0.78000000000002956</v>
      </c>
      <c r="C104" s="123">
        <f t="shared" si="54"/>
        <v>-0.20199999999999818</v>
      </c>
      <c r="D104" s="123">
        <f t="shared" si="54"/>
        <v>-4.77800000000002</v>
      </c>
      <c r="E104" s="123">
        <f t="shared" si="54"/>
        <v>-0.25699999999999079</v>
      </c>
      <c r="F104" s="123">
        <f t="shared" si="54"/>
        <v>-7.7330000000000041</v>
      </c>
      <c r="G104" s="123">
        <f t="shared" si="54"/>
        <v>-0.65399999999999636</v>
      </c>
      <c r="H104" s="123">
        <f t="shared" si="54"/>
        <v>-0.15600000000000591</v>
      </c>
      <c r="I104" s="123">
        <f t="shared" si="54"/>
        <v>-0.65899999999999181</v>
      </c>
      <c r="J104" s="123">
        <f t="shared" si="54"/>
        <v>-4.7000000000025466E-2</v>
      </c>
      <c r="K104" s="123">
        <f t="shared" si="54"/>
        <v>-3.1210000000000946</v>
      </c>
      <c r="L104" s="123">
        <f t="shared" si="54"/>
        <v>0.64999999999997726</v>
      </c>
      <c r="M104" s="123">
        <f t="shared" si="54"/>
        <v>-0.58499999999997954</v>
      </c>
      <c r="N104" s="123">
        <f t="shared" si="54"/>
        <v>-0.28000000000002956</v>
      </c>
      <c r="O104" s="123">
        <f t="shared" si="54"/>
        <v>-1.7000000000000001E-2</v>
      </c>
      <c r="P104" s="123">
        <f t="shared" si="54"/>
        <v>-17.058999999999287</v>
      </c>
    </row>
    <row r="105" spans="1:16" x14ac:dyDescent="0.3">
      <c r="A105" s="58">
        <f t="shared" si="42"/>
        <v>45413</v>
      </c>
      <c r="B105" s="123">
        <f t="shared" ref="B105:P105" si="55">B15-B14</f>
        <v>2.5529999999999973</v>
      </c>
      <c r="C105" s="123">
        <f t="shared" si="55"/>
        <v>0.16800000000000637</v>
      </c>
      <c r="D105" s="123">
        <f t="shared" si="55"/>
        <v>-4.9700000000000273</v>
      </c>
      <c r="E105" s="123">
        <f t="shared" si="55"/>
        <v>-0.24800000000000466</v>
      </c>
      <c r="F105" s="123">
        <f t="shared" si="55"/>
        <v>-1.1779999999999973</v>
      </c>
      <c r="G105" s="123">
        <f t="shared" si="55"/>
        <v>-0.12100000000009459</v>
      </c>
      <c r="H105" s="123">
        <f t="shared" si="55"/>
        <v>-0.82900000000000773</v>
      </c>
      <c r="I105" s="123">
        <f t="shared" si="55"/>
        <v>-1.7390000000000327</v>
      </c>
      <c r="J105" s="123">
        <f t="shared" si="55"/>
        <v>-0.14900000000000091</v>
      </c>
      <c r="K105" s="123">
        <f t="shared" si="55"/>
        <v>-1.6649999999999636</v>
      </c>
      <c r="L105" s="123">
        <f t="shared" si="55"/>
        <v>0.117999999999995</v>
      </c>
      <c r="M105" s="123">
        <f t="shared" si="55"/>
        <v>-0.66300000000001091</v>
      </c>
      <c r="N105" s="123">
        <f t="shared" si="55"/>
        <v>-1.1009999999999991</v>
      </c>
      <c r="O105" s="123">
        <f t="shared" si="55"/>
        <v>-3.0000000000000027E-3</v>
      </c>
      <c r="P105" s="123">
        <f t="shared" si="55"/>
        <v>-9.8269999999993161</v>
      </c>
    </row>
    <row r="106" spans="1:16" x14ac:dyDescent="0.3">
      <c r="A106" s="58">
        <f t="shared" si="42"/>
        <v>45444</v>
      </c>
      <c r="B106" s="123">
        <f t="shared" ref="B106:P106" si="56">B16-B15</f>
        <v>-0.17799999999999727</v>
      </c>
      <c r="C106" s="123">
        <f t="shared" si="56"/>
        <v>9.1999999999998749E-2</v>
      </c>
      <c r="D106" s="123">
        <f t="shared" si="56"/>
        <v>-4.2609999999999673</v>
      </c>
      <c r="E106" s="123">
        <f t="shared" si="56"/>
        <v>-0.36800000000000921</v>
      </c>
      <c r="F106" s="123">
        <f t="shared" si="56"/>
        <v>-2.4410000000000309</v>
      </c>
      <c r="G106" s="123">
        <f t="shared" si="56"/>
        <v>0.63400000000001455</v>
      </c>
      <c r="H106" s="123">
        <f t="shared" si="56"/>
        <v>-0.96699999999998454</v>
      </c>
      <c r="I106" s="123">
        <f t="shared" si="56"/>
        <v>-0.41300000000001091</v>
      </c>
      <c r="J106" s="123">
        <f t="shared" si="56"/>
        <v>0.20900000000000318</v>
      </c>
      <c r="K106" s="123">
        <f t="shared" si="56"/>
        <v>-2.1209999999999809</v>
      </c>
      <c r="L106" s="123">
        <f t="shared" si="56"/>
        <v>-0.15600000000000591</v>
      </c>
      <c r="M106" s="123">
        <f t="shared" si="56"/>
        <v>-0.83400000000000318</v>
      </c>
      <c r="N106" s="123">
        <f t="shared" si="56"/>
        <v>1.0960000000000036</v>
      </c>
      <c r="O106" s="123">
        <f t="shared" si="56"/>
        <v>-1.0000000000000009E-3</v>
      </c>
      <c r="P106" s="123">
        <f t="shared" si="56"/>
        <v>-9.7089999999998327</v>
      </c>
    </row>
    <row r="107" spans="1:16" x14ac:dyDescent="0.3">
      <c r="A107" s="58">
        <f t="shared" si="42"/>
        <v>45474</v>
      </c>
      <c r="B107" s="123">
        <f t="shared" ref="B107:P107" si="57">B17-B16</f>
        <v>-1.2660000000000196</v>
      </c>
      <c r="C107" s="123">
        <f t="shared" si="57"/>
        <v>-0.16599999999999682</v>
      </c>
      <c r="D107" s="123">
        <f t="shared" si="57"/>
        <v>-1.9390000000000782</v>
      </c>
      <c r="E107" s="123">
        <f t="shared" si="57"/>
        <v>-8.9999999999861302E-3</v>
      </c>
      <c r="F107" s="123">
        <f t="shared" si="57"/>
        <v>-0.96100000000001273</v>
      </c>
      <c r="G107" s="123">
        <f t="shared" si="57"/>
        <v>0.84400000000005093</v>
      </c>
      <c r="H107" s="123">
        <f t="shared" si="57"/>
        <v>-0.47200000000003683</v>
      </c>
      <c r="I107" s="123">
        <f t="shared" si="57"/>
        <v>-0.29100000000005366</v>
      </c>
      <c r="J107" s="123">
        <f t="shared" si="57"/>
        <v>-0.26200000000000045</v>
      </c>
      <c r="K107" s="123">
        <f t="shared" si="57"/>
        <v>-0.75999999999999091</v>
      </c>
      <c r="L107" s="123">
        <f t="shared" si="57"/>
        <v>0.46199999999998909</v>
      </c>
      <c r="M107" s="123">
        <f t="shared" si="57"/>
        <v>-0.3709999999999809</v>
      </c>
      <c r="N107" s="123">
        <f t="shared" si="57"/>
        <v>-0.93999999999999773</v>
      </c>
      <c r="O107" s="123">
        <f t="shared" si="57"/>
        <v>-1.0999999999999996E-2</v>
      </c>
      <c r="P107" s="123">
        <f t="shared" si="57"/>
        <v>-6.1419999999998254</v>
      </c>
    </row>
    <row r="108" spans="1:16" x14ac:dyDescent="0.3">
      <c r="A108" s="58">
        <f t="shared" si="42"/>
        <v>45505</v>
      </c>
      <c r="B108" s="123">
        <f t="shared" ref="B108:P108" si="58">B18-B17</f>
        <v>1.3149999999999977</v>
      </c>
      <c r="C108" s="123">
        <f t="shared" si="58"/>
        <v>-0.20100000000000762</v>
      </c>
      <c r="D108" s="123">
        <f t="shared" si="58"/>
        <v>-3.7000000000034561E-2</v>
      </c>
      <c r="E108" s="123">
        <f t="shared" si="58"/>
        <v>-0.29900000000000659</v>
      </c>
      <c r="F108" s="123">
        <f t="shared" si="58"/>
        <v>0.86500000000000909</v>
      </c>
      <c r="G108" s="123">
        <f t="shared" si="58"/>
        <v>3.6300000000001091</v>
      </c>
      <c r="H108" s="123">
        <f t="shared" si="58"/>
        <v>-0.67799999999999727</v>
      </c>
      <c r="I108" s="123">
        <f t="shared" si="58"/>
        <v>-0.88799999999991996</v>
      </c>
      <c r="J108" s="123">
        <f t="shared" si="58"/>
        <v>0.38100000000000023</v>
      </c>
      <c r="K108" s="123">
        <f t="shared" si="58"/>
        <v>1.0710000000000264</v>
      </c>
      <c r="L108" s="123">
        <f t="shared" si="58"/>
        <v>-0.16300000000001091</v>
      </c>
      <c r="M108" s="123">
        <f t="shared" si="58"/>
        <v>-6.9999999999993179E-2</v>
      </c>
      <c r="N108" s="123">
        <f t="shared" si="58"/>
        <v>-0.81000000000000227</v>
      </c>
      <c r="O108" s="123">
        <f t="shared" si="58"/>
        <v>-5.0000000000000044E-3</v>
      </c>
      <c r="P108" s="123">
        <f t="shared" si="58"/>
        <v>4.1110000000007858</v>
      </c>
    </row>
    <row r="109" spans="1:16" x14ac:dyDescent="0.3">
      <c r="A109" s="58">
        <f t="shared" si="42"/>
        <v>45536</v>
      </c>
      <c r="B109" s="123">
        <f t="shared" ref="B109:P109" si="59">B19-B18</f>
        <v>-2.8000000000020009E-2</v>
      </c>
      <c r="C109" s="123">
        <f t="shared" si="59"/>
        <v>-8.4999999999993747E-2</v>
      </c>
      <c r="D109" s="123">
        <f t="shared" si="59"/>
        <v>1.5860000000000127</v>
      </c>
      <c r="E109" s="123">
        <f t="shared" si="59"/>
        <v>2.8000000000005798E-2</v>
      </c>
      <c r="F109" s="123">
        <f t="shared" si="59"/>
        <v>1.2330000000000041</v>
      </c>
      <c r="G109" s="123">
        <f t="shared" si="59"/>
        <v>5.04099999999994</v>
      </c>
      <c r="H109" s="123">
        <f t="shared" si="59"/>
        <v>-0.13099999999997181</v>
      </c>
      <c r="I109" s="123">
        <f t="shared" si="59"/>
        <v>-0.48099999999999454</v>
      </c>
      <c r="J109" s="123">
        <f t="shared" si="59"/>
        <v>-0.17399999999997817</v>
      </c>
      <c r="K109" s="123">
        <f t="shared" si="59"/>
        <v>2.3139999999999645</v>
      </c>
      <c r="L109" s="123">
        <f t="shared" si="59"/>
        <v>0.19600000000002638</v>
      </c>
      <c r="M109" s="123">
        <f t="shared" si="59"/>
        <v>0.12599999999997635</v>
      </c>
      <c r="N109" s="123">
        <f t="shared" si="59"/>
        <v>-0.52400000000000091</v>
      </c>
      <c r="O109" s="123">
        <f t="shared" si="59"/>
        <v>7.0000000000000062E-3</v>
      </c>
      <c r="P109" s="123">
        <f t="shared" si="59"/>
        <v>9.1079999999992651</v>
      </c>
    </row>
    <row r="110" spans="1:16" x14ac:dyDescent="0.3">
      <c r="A110" s="58">
        <f t="shared" si="42"/>
        <v>45566</v>
      </c>
      <c r="B110" s="123">
        <f t="shared" ref="B110:P110" si="60">B20-B19</f>
        <v>0.41900000000003956</v>
      </c>
      <c r="C110" s="123">
        <f t="shared" si="60"/>
        <v>-0.24699999999999989</v>
      </c>
      <c r="D110" s="123">
        <f t="shared" si="60"/>
        <v>2.5289999999999964</v>
      </c>
      <c r="E110" s="123">
        <f t="shared" si="60"/>
        <v>-2.5000000000005684E-2</v>
      </c>
      <c r="F110" s="123">
        <f t="shared" si="60"/>
        <v>-1.3770000000000095</v>
      </c>
      <c r="G110" s="123">
        <f t="shared" si="60"/>
        <v>4.5309999999999491</v>
      </c>
      <c r="H110" s="123">
        <f t="shared" si="60"/>
        <v>0.1169999999999618</v>
      </c>
      <c r="I110" s="123">
        <f t="shared" si="60"/>
        <v>-0.31500000000005457</v>
      </c>
      <c r="J110" s="123">
        <f t="shared" si="60"/>
        <v>-0.1360000000000241</v>
      </c>
      <c r="K110" s="123">
        <f t="shared" si="60"/>
        <v>1.8310000000000173</v>
      </c>
      <c r="L110" s="123">
        <f t="shared" si="60"/>
        <v>0.27499999999997726</v>
      </c>
      <c r="M110" s="123">
        <f t="shared" si="60"/>
        <v>-0.17700000000002092</v>
      </c>
      <c r="N110" s="123">
        <f t="shared" si="60"/>
        <v>0.1290000000000191</v>
      </c>
      <c r="O110" s="123">
        <f t="shared" si="60"/>
        <v>-1.1999999999999997E-2</v>
      </c>
      <c r="P110" s="123">
        <f t="shared" si="60"/>
        <v>7.5419999999994616</v>
      </c>
    </row>
    <row r="111" spans="1:16" x14ac:dyDescent="0.3">
      <c r="A111" s="58">
        <f t="shared" si="42"/>
        <v>45597</v>
      </c>
      <c r="B111" s="123">
        <f t="shared" ref="B111:P111" si="61">B21-B20</f>
        <v>0.1239999999999668</v>
      </c>
      <c r="C111" s="123">
        <f t="shared" si="61"/>
        <v>-0.42199999999999704</v>
      </c>
      <c r="D111" s="123">
        <f t="shared" si="61"/>
        <v>-1</v>
      </c>
      <c r="E111" s="123">
        <f t="shared" si="61"/>
        <v>7.5999999999993406E-2</v>
      </c>
      <c r="F111" s="123">
        <f t="shared" si="61"/>
        <v>0.57900000000000773</v>
      </c>
      <c r="G111" s="123">
        <f t="shared" si="61"/>
        <v>4.3789999999999054</v>
      </c>
      <c r="H111" s="123">
        <f t="shared" si="61"/>
        <v>-0.60599999999999454</v>
      </c>
      <c r="I111" s="123">
        <f t="shared" si="61"/>
        <v>-0.22299999999995634</v>
      </c>
      <c r="J111" s="123">
        <f t="shared" si="61"/>
        <v>-0.11699999999999022</v>
      </c>
      <c r="K111" s="123">
        <f t="shared" si="61"/>
        <v>-0.28999999999996362</v>
      </c>
      <c r="L111" s="123">
        <f t="shared" si="61"/>
        <v>6.0000000000286491E-3</v>
      </c>
      <c r="M111" s="123">
        <f t="shared" si="61"/>
        <v>6.0000000000286491E-3</v>
      </c>
      <c r="N111" s="123">
        <f t="shared" si="61"/>
        <v>-1.2379999999999995</v>
      </c>
      <c r="O111" s="123">
        <f t="shared" si="61"/>
        <v>4.9999999999999906E-3</v>
      </c>
      <c r="P111" s="123">
        <f t="shared" si="61"/>
        <v>1.2789999999995416</v>
      </c>
    </row>
    <row r="112" spans="1:16" x14ac:dyDescent="0.3">
      <c r="A112" s="58">
        <f t="shared" si="42"/>
        <v>45627</v>
      </c>
      <c r="B112" s="123">
        <f t="shared" ref="B112:P112" si="62">B22-B21</f>
        <v>0.22899999999998499</v>
      </c>
      <c r="C112" s="123">
        <f t="shared" si="62"/>
        <v>-0.39300000000000068</v>
      </c>
      <c r="D112" s="123">
        <f t="shared" si="62"/>
        <v>-1.7899999999999636</v>
      </c>
      <c r="E112" s="123">
        <f t="shared" si="62"/>
        <v>2.0000000000095497E-3</v>
      </c>
      <c r="F112" s="123">
        <f t="shared" si="62"/>
        <v>3.4920000000000186</v>
      </c>
      <c r="G112" s="123">
        <f t="shared" si="62"/>
        <v>3.9660000000001219</v>
      </c>
      <c r="H112" s="123">
        <f t="shared" si="62"/>
        <v>1.6999999999995907E-2</v>
      </c>
      <c r="I112" s="123">
        <f t="shared" si="62"/>
        <v>-1.4569999999999936</v>
      </c>
      <c r="J112" s="123">
        <f t="shared" si="62"/>
        <v>6.0000000000002274E-3</v>
      </c>
      <c r="K112" s="123">
        <f t="shared" si="62"/>
        <v>3.3519999999999754</v>
      </c>
      <c r="L112" s="123">
        <f t="shared" si="62"/>
        <v>0.11000000000001364</v>
      </c>
      <c r="M112" s="123">
        <f t="shared" si="62"/>
        <v>0.1290000000000191</v>
      </c>
      <c r="N112" s="123">
        <f t="shared" si="62"/>
        <v>0.93500000000000227</v>
      </c>
      <c r="O112" s="123">
        <f t="shared" si="62"/>
        <v>0</v>
      </c>
      <c r="P112" s="123">
        <f t="shared" si="62"/>
        <v>8.5980000000008658</v>
      </c>
    </row>
    <row r="113" spans="1:16" x14ac:dyDescent="0.3">
      <c r="A113" s="58">
        <f t="shared" si="42"/>
        <v>45658</v>
      </c>
      <c r="B113" s="123">
        <f t="shared" ref="B113:P113" si="63">B23-B22</f>
        <v>-1.1449999999999818</v>
      </c>
      <c r="C113" s="123">
        <f t="shared" si="63"/>
        <v>-0.35099999999999909</v>
      </c>
      <c r="D113" s="123">
        <f t="shared" si="63"/>
        <v>-0.1330000000000382</v>
      </c>
      <c r="E113" s="123">
        <f t="shared" si="63"/>
        <v>-1.9000000000005457E-2</v>
      </c>
      <c r="F113" s="123">
        <f t="shared" si="63"/>
        <v>2.0419999999999732</v>
      </c>
      <c r="G113" s="123">
        <f t="shared" si="63"/>
        <v>0.32899999999995089</v>
      </c>
      <c r="H113" s="123">
        <f t="shared" si="63"/>
        <v>-1.882000000000005</v>
      </c>
      <c r="I113" s="123">
        <f t="shared" si="63"/>
        <v>-1.1349999999999909</v>
      </c>
      <c r="J113" s="123">
        <f t="shared" si="63"/>
        <v>-0.27199999999999136</v>
      </c>
      <c r="K113" s="123">
        <f t="shared" si="63"/>
        <v>-3.0180000000000291</v>
      </c>
      <c r="L113" s="123">
        <f t="shared" si="63"/>
        <v>0.49000000000000909</v>
      </c>
      <c r="M113" s="123">
        <f t="shared" si="63"/>
        <v>-0.25600000000002865</v>
      </c>
      <c r="N113" s="123">
        <f t="shared" si="63"/>
        <v>-3.7420000000000186</v>
      </c>
      <c r="O113" s="123">
        <f t="shared" si="63"/>
        <v>5.0000000000000044E-3</v>
      </c>
      <c r="P113" s="123">
        <f t="shared" si="63"/>
        <v>-9.0869999999995343</v>
      </c>
    </row>
    <row r="114" spans="1:16" x14ac:dyDescent="0.3">
      <c r="A114" s="58">
        <f t="shared" si="42"/>
        <v>45689</v>
      </c>
      <c r="B114" s="123">
        <f t="shared" ref="B114:P114" si="64">B24-B23</f>
        <v>-0.76499999999998636</v>
      </c>
      <c r="C114" s="123">
        <f t="shared" si="64"/>
        <v>-1.1560000000000059</v>
      </c>
      <c r="D114" s="123">
        <f t="shared" si="64"/>
        <v>-0.50399999999990541</v>
      </c>
      <c r="E114" s="123">
        <f t="shared" si="64"/>
        <v>5.5000000000006821E-2</v>
      </c>
      <c r="F114" s="123">
        <f t="shared" si="64"/>
        <v>2.3969999999999914</v>
      </c>
      <c r="G114" s="123">
        <f t="shared" si="64"/>
        <v>2.2139999999999418</v>
      </c>
      <c r="H114" s="123">
        <f t="shared" si="64"/>
        <v>1.3330000000000268</v>
      </c>
      <c r="I114" s="123">
        <f t="shared" si="64"/>
        <v>7.999999999992724E-2</v>
      </c>
      <c r="J114" s="123">
        <f t="shared" si="64"/>
        <v>-4.6999999999997044E-2</v>
      </c>
      <c r="K114" s="123">
        <f t="shared" si="64"/>
        <v>4.6420000000000528</v>
      </c>
      <c r="L114" s="123">
        <f t="shared" si="64"/>
        <v>1.0729999999999791</v>
      </c>
      <c r="M114" s="123">
        <f t="shared" si="64"/>
        <v>0.18799999999998818</v>
      </c>
      <c r="N114" s="123">
        <f t="shared" si="64"/>
        <v>1.1480000000000246</v>
      </c>
      <c r="O114" s="123">
        <f t="shared" si="64"/>
        <v>-2.0000000000000018E-3</v>
      </c>
      <c r="P114" s="123">
        <f t="shared" si="64"/>
        <v>10.655999999999949</v>
      </c>
    </row>
    <row r="115" spans="1:16" x14ac:dyDescent="0.3">
      <c r="A115" s="58">
        <f t="shared" si="42"/>
        <v>45717</v>
      </c>
      <c r="B115" s="123">
        <f t="shared" ref="B115:P115" si="65">B25-B24</f>
        <v>-3.8500000000000227</v>
      </c>
      <c r="C115" s="123">
        <f t="shared" si="65"/>
        <v>-1.1069999999999993</v>
      </c>
      <c r="D115" s="123">
        <f t="shared" si="65"/>
        <v>-2.7590000000000146</v>
      </c>
      <c r="E115" s="123">
        <f t="shared" si="65"/>
        <v>-0.11599999999999966</v>
      </c>
      <c r="F115" s="123">
        <f t="shared" si="65"/>
        <v>-3.1439999999999486</v>
      </c>
      <c r="G115" s="123">
        <f t="shared" si="65"/>
        <v>0.5260000000000673</v>
      </c>
      <c r="H115" s="123">
        <f t="shared" si="65"/>
        <v>1.3799999999999955</v>
      </c>
      <c r="I115" s="123">
        <f t="shared" si="65"/>
        <v>7.5000000000045475E-2</v>
      </c>
      <c r="J115" s="123">
        <f t="shared" si="65"/>
        <v>-9.9999999999994316E-2</v>
      </c>
      <c r="K115" s="123">
        <f t="shared" si="65"/>
        <v>0.19099999999991724</v>
      </c>
      <c r="L115" s="123">
        <f t="shared" si="65"/>
        <v>-1.8160000000000309</v>
      </c>
      <c r="M115" s="123">
        <f t="shared" si="65"/>
        <v>-3.6999999999977717E-2</v>
      </c>
      <c r="N115" s="123">
        <f t="shared" si="65"/>
        <v>-0.31799999999998363</v>
      </c>
      <c r="O115" s="123">
        <f t="shared" si="65"/>
        <v>-5.9999999999999915E-3</v>
      </c>
      <c r="P115" s="123">
        <f t="shared" si="65"/>
        <v>-11.081000000000131</v>
      </c>
    </row>
    <row r="116" spans="1:16" x14ac:dyDescent="0.3">
      <c r="A116" s="58">
        <f t="shared" si="42"/>
        <v>45748</v>
      </c>
      <c r="B116" s="123">
        <f t="shared" ref="B116:P119" si="66">B26-B25</f>
        <v>4.2750000000000341</v>
      </c>
      <c r="C116" s="123">
        <f t="shared" si="66"/>
        <v>-0.64100000000000534</v>
      </c>
      <c r="D116" s="123">
        <f t="shared" si="66"/>
        <v>-1.58400000000006</v>
      </c>
      <c r="E116" s="123">
        <f t="shared" si="66"/>
        <v>0.10999999999999943</v>
      </c>
      <c r="F116" s="123">
        <f t="shared" si="66"/>
        <v>1.8009999999999877</v>
      </c>
      <c r="G116" s="123">
        <f t="shared" si="66"/>
        <v>3.2980000000000018</v>
      </c>
      <c r="H116" s="123">
        <f t="shared" si="66"/>
        <v>-0.33100000000001728</v>
      </c>
      <c r="I116" s="123">
        <f t="shared" si="66"/>
        <v>0.30700000000001637</v>
      </c>
      <c r="J116" s="123">
        <f t="shared" si="66"/>
        <v>-0.21100000000001273</v>
      </c>
      <c r="K116" s="123">
        <f t="shared" si="66"/>
        <v>2.7880000000000109</v>
      </c>
      <c r="L116" s="123">
        <f t="shared" si="66"/>
        <v>0.8900000000000432</v>
      </c>
      <c r="M116" s="123">
        <f t="shared" si="66"/>
        <v>0.22599999999999909</v>
      </c>
      <c r="N116" s="123">
        <f t="shared" si="66"/>
        <v>-0.45100000000002183</v>
      </c>
      <c r="O116" s="123">
        <f t="shared" si="66"/>
        <v>-6.0000000000000053E-3</v>
      </c>
      <c r="P116" s="123">
        <f t="shared" si="66"/>
        <v>10.470999999999549</v>
      </c>
    </row>
    <row r="117" spans="1:16" x14ac:dyDescent="0.3">
      <c r="A117" s="58">
        <f t="shared" si="42"/>
        <v>45778</v>
      </c>
      <c r="B117" s="123">
        <f t="shared" si="66"/>
        <v>-0.95600000000001728</v>
      </c>
      <c r="C117" s="123">
        <f t="shared" si="66"/>
        <v>-0.92900000000000205</v>
      </c>
      <c r="D117" s="123">
        <f t="shared" si="66"/>
        <v>-1.4689999999998236</v>
      </c>
      <c r="E117" s="123">
        <f t="shared" si="66"/>
        <v>0.28499999999999659</v>
      </c>
      <c r="F117" s="123">
        <f t="shared" si="66"/>
        <v>-9.3999999999994088E-2</v>
      </c>
      <c r="G117" s="123">
        <f t="shared" si="66"/>
        <v>2.4090000000001055</v>
      </c>
      <c r="H117" s="123">
        <f t="shared" si="66"/>
        <v>0.73500000000001364</v>
      </c>
      <c r="I117" s="123">
        <f t="shared" si="66"/>
        <v>1.5939999999999372</v>
      </c>
      <c r="J117" s="123">
        <f t="shared" si="66"/>
        <v>-0.36600000000001387</v>
      </c>
      <c r="K117" s="123">
        <f t="shared" si="66"/>
        <v>1.1570000000000391</v>
      </c>
      <c r="L117" s="123">
        <f t="shared" si="66"/>
        <v>0.41199999999997772</v>
      </c>
      <c r="M117" s="123">
        <f t="shared" si="66"/>
        <v>7.2000000000002728E-2</v>
      </c>
      <c r="N117" s="123">
        <f t="shared" si="66"/>
        <v>-0.60599999999999454</v>
      </c>
      <c r="O117" s="123">
        <f t="shared" si="66"/>
        <v>0</v>
      </c>
      <c r="P117" s="123">
        <f t="shared" si="66"/>
        <v>2.2439999999996871</v>
      </c>
    </row>
    <row r="118" spans="1:16" x14ac:dyDescent="0.3">
      <c r="A118" s="58">
        <f t="shared" si="42"/>
        <v>45809</v>
      </c>
      <c r="B118" s="123">
        <f t="shared" si="66"/>
        <v>-1.2050000000000409</v>
      </c>
      <c r="C118" s="123">
        <f t="shared" si="66"/>
        <v>-0.93099999999999739</v>
      </c>
      <c r="D118" s="123">
        <f t="shared" si="66"/>
        <v>-2.9039999999999964</v>
      </c>
      <c r="E118" s="123">
        <f t="shared" si="66"/>
        <v>-1.099999999999568E-2</v>
      </c>
      <c r="F118" s="123">
        <f t="shared" si="66"/>
        <v>-0.31000000000000227</v>
      </c>
      <c r="G118" s="123">
        <f t="shared" si="66"/>
        <v>-1.0090000000000146</v>
      </c>
      <c r="H118" s="123">
        <f t="shared" si="66"/>
        <v>-0.44400000000001683</v>
      </c>
      <c r="I118" s="123">
        <f t="shared" si="66"/>
        <v>-2.86099999999999</v>
      </c>
      <c r="J118" s="123">
        <f t="shared" si="66"/>
        <v>-0.61199999999999477</v>
      </c>
      <c r="K118" s="123">
        <f t="shared" si="66"/>
        <v>-3.4809999999999945</v>
      </c>
      <c r="L118" s="123">
        <f t="shared" si="66"/>
        <v>0.55599999999998317</v>
      </c>
      <c r="M118" s="123">
        <f t="shared" si="66"/>
        <v>0.10500000000001819</v>
      </c>
      <c r="N118" s="123">
        <f t="shared" si="66"/>
        <v>-1.4530000000000314</v>
      </c>
      <c r="O118" s="123">
        <f t="shared" si="66"/>
        <v>-1.0999999999999996E-2</v>
      </c>
      <c r="P118" s="123">
        <f t="shared" si="66"/>
        <v>-14.570999999999003</v>
      </c>
    </row>
    <row r="119" spans="1:16" x14ac:dyDescent="0.3">
      <c r="A119" s="58">
        <f t="shared" si="42"/>
        <v>45839</v>
      </c>
      <c r="B119" s="123">
        <f>B29-B28</f>
        <v>0.26699999999999591</v>
      </c>
      <c r="C119" s="123">
        <f t="shared" si="66"/>
        <v>-0.63599999999999568</v>
      </c>
      <c r="D119" s="123">
        <f t="shared" si="66"/>
        <v>-3.9580000000000837</v>
      </c>
      <c r="E119" s="123">
        <f t="shared" si="66"/>
        <v>-6.0000000000002274E-3</v>
      </c>
      <c r="F119" s="123">
        <f t="shared" si="66"/>
        <v>6.7000000000007276E-2</v>
      </c>
      <c r="G119" s="123">
        <f t="shared" si="66"/>
        <v>-1.4610000000000127</v>
      </c>
      <c r="H119" s="123">
        <f t="shared" si="66"/>
        <v>-0.96599999999995134</v>
      </c>
      <c r="I119" s="123">
        <f t="shared" si="66"/>
        <v>-0.28099999999994907</v>
      </c>
      <c r="J119" s="123">
        <f t="shared" si="66"/>
        <v>-7.2999999999979082E-2</v>
      </c>
      <c r="K119" s="123">
        <f t="shared" si="66"/>
        <v>-3.625</v>
      </c>
      <c r="L119" s="123">
        <f t="shared" si="66"/>
        <v>-9.3999999999994088E-2</v>
      </c>
      <c r="M119" s="123">
        <f t="shared" si="66"/>
        <v>-9.6000000000003638E-2</v>
      </c>
      <c r="N119" s="123">
        <f t="shared" si="66"/>
        <v>-1.2489999999999668</v>
      </c>
      <c r="O119" s="123">
        <f t="shared" si="66"/>
        <v>-2.0000000000000018E-3</v>
      </c>
      <c r="P119" s="123">
        <f t="shared" si="66"/>
        <v>-12.112999999999374</v>
      </c>
    </row>
    <row r="120" spans="1:16" x14ac:dyDescent="0.3">
      <c r="A120" s="58">
        <f t="shared" si="42"/>
        <v>45870</v>
      </c>
      <c r="B120" s="123">
        <f t="shared" ref="B120:P120" si="67">B30-B29</f>
        <v>0.60100000000005593</v>
      </c>
      <c r="C120" s="123">
        <f t="shared" si="67"/>
        <v>-0.56300000000000239</v>
      </c>
      <c r="D120" s="123">
        <f t="shared" si="67"/>
        <v>-3.5709999999999127</v>
      </c>
      <c r="E120" s="123">
        <f t="shared" si="67"/>
        <v>0.10899999999999466</v>
      </c>
      <c r="F120" s="123">
        <f t="shared" si="67"/>
        <v>-1.0540000000000305</v>
      </c>
      <c r="G120" s="123">
        <f t="shared" si="67"/>
        <v>-2.0340000000001055</v>
      </c>
      <c r="H120" s="123">
        <f t="shared" si="67"/>
        <v>1.2000000000000455E-2</v>
      </c>
      <c r="I120" s="123">
        <f t="shared" si="67"/>
        <v>-5.1000000000044565E-2</v>
      </c>
      <c r="J120" s="123">
        <f t="shared" si="67"/>
        <v>-0.83400000000000318</v>
      </c>
      <c r="K120" s="123">
        <f t="shared" si="67"/>
        <v>-2.7210000000000036</v>
      </c>
      <c r="L120" s="123">
        <f t="shared" si="67"/>
        <v>-0.31700000000000728</v>
      </c>
      <c r="M120" s="123">
        <f t="shared" si="67"/>
        <v>-7.8000000000031378E-2</v>
      </c>
      <c r="N120" s="123">
        <f t="shared" si="67"/>
        <v>-0.33400000000000318</v>
      </c>
      <c r="O120" s="123">
        <f t="shared" si="67"/>
        <v>-1.0000000000000009E-3</v>
      </c>
      <c r="P120" s="123">
        <f t="shared" si="67"/>
        <v>-10.83600000000115</v>
      </c>
    </row>
    <row r="121" spans="1:16" x14ac:dyDescent="0.3">
      <c r="A121" s="58">
        <f t="shared" si="42"/>
        <v>45901</v>
      </c>
      <c r="B121" s="123">
        <f t="shared" ref="B121:P121" si="68">B31-B30</f>
        <v>-0.21200000000004593</v>
      </c>
      <c r="C121" s="123">
        <f t="shared" si="68"/>
        <v>-0.46099999999999852</v>
      </c>
      <c r="D121" s="123">
        <f t="shared" si="68"/>
        <v>-4.8770000000001801</v>
      </c>
      <c r="E121" s="123">
        <f t="shared" si="68"/>
        <v>7.0999999999997954E-2</v>
      </c>
      <c r="F121" s="123">
        <f t="shared" si="68"/>
        <v>-1.3089999999999691</v>
      </c>
      <c r="G121" s="123">
        <f t="shared" si="68"/>
        <v>-3.8450000000000273</v>
      </c>
      <c r="H121" s="123">
        <f t="shared" si="68"/>
        <v>-0.2680000000000291</v>
      </c>
      <c r="I121" s="123">
        <f t="shared" si="68"/>
        <v>-1.1290000000000191</v>
      </c>
      <c r="J121" s="123">
        <f t="shared" si="68"/>
        <v>-0.257000000000005</v>
      </c>
      <c r="K121" s="123">
        <f t="shared" si="68"/>
        <v>-0.43600000000003547</v>
      </c>
      <c r="L121" s="123">
        <f t="shared" si="68"/>
        <v>4.5000000000015916E-2</v>
      </c>
      <c r="M121" s="123">
        <f t="shared" si="68"/>
        <v>-7.4000000000012278E-2</v>
      </c>
      <c r="N121" s="123">
        <f t="shared" si="68"/>
        <v>-4.5999999999992269E-2</v>
      </c>
      <c r="O121" s="123">
        <f t="shared" si="68"/>
        <v>7.9999999999999932E-3</v>
      </c>
      <c r="P121" s="123">
        <f t="shared" si="68"/>
        <v>-12.789999999999964</v>
      </c>
    </row>
    <row r="122" spans="1:16" x14ac:dyDescent="0.3">
      <c r="A122" s="58">
        <f t="shared" ref="A122:A129" si="69">A32</f>
        <v>45931</v>
      </c>
      <c r="B122" s="123">
        <f t="shared" ref="B122:P122" si="70">B32-B31</f>
        <v>-0.94799999999997908</v>
      </c>
      <c r="C122" s="123">
        <f t="shared" si="70"/>
        <v>-0.37999999999999545</v>
      </c>
      <c r="D122" s="123">
        <f t="shared" si="70"/>
        <v>-5.7309999999999945</v>
      </c>
      <c r="E122" s="123">
        <f t="shared" si="70"/>
        <v>-6.0000000000002274E-3</v>
      </c>
      <c r="F122" s="123">
        <f t="shared" si="70"/>
        <v>-0.42100000000004911</v>
      </c>
      <c r="G122" s="123">
        <f t="shared" si="70"/>
        <v>-4.1739999999999782</v>
      </c>
      <c r="H122" s="123">
        <f t="shared" si="70"/>
        <v>-0.49900000000002365</v>
      </c>
      <c r="I122" s="123">
        <f t="shared" si="70"/>
        <v>-0.68799999999998818</v>
      </c>
      <c r="J122" s="123">
        <f t="shared" si="70"/>
        <v>-0.41300000000001091</v>
      </c>
      <c r="K122" s="123">
        <f t="shared" si="70"/>
        <v>-2.2590000000000146</v>
      </c>
      <c r="L122" s="123">
        <f t="shared" si="70"/>
        <v>0.18500000000000227</v>
      </c>
      <c r="M122" s="123">
        <f t="shared" si="70"/>
        <v>-7.7999999999974534E-2</v>
      </c>
      <c r="N122" s="123">
        <f t="shared" si="70"/>
        <v>-0.32699999999999818</v>
      </c>
      <c r="O122" s="123">
        <f t="shared" si="70"/>
        <v>1.4999999999999999E-2</v>
      </c>
      <c r="P122" s="123">
        <f t="shared" si="70"/>
        <v>-15.72400000000107</v>
      </c>
    </row>
    <row r="123" spans="1:16" x14ac:dyDescent="0.3">
      <c r="A123" s="58">
        <f t="shared" si="69"/>
        <v>45962</v>
      </c>
      <c r="B123" s="123">
        <f t="shared" ref="B123:P123" si="71">B33-B32</f>
        <v>0.44700000000000273</v>
      </c>
      <c r="C123" s="123">
        <f t="shared" si="71"/>
        <v>-0.36800000000000921</v>
      </c>
      <c r="D123" s="123">
        <f t="shared" si="71"/>
        <v>-5.5729999999998654</v>
      </c>
      <c r="E123" s="123">
        <f t="shared" si="71"/>
        <v>-1.099999999999568E-2</v>
      </c>
      <c r="F123" s="123">
        <f t="shared" si="71"/>
        <v>-0.98299999999994725</v>
      </c>
      <c r="G123" s="123">
        <f t="shared" si="71"/>
        <v>-5.2539999999999054</v>
      </c>
      <c r="H123" s="123">
        <f t="shared" si="71"/>
        <v>0.20600000000001728</v>
      </c>
      <c r="I123" s="123">
        <f t="shared" si="71"/>
        <v>-1.1599999999999682</v>
      </c>
      <c r="J123" s="123">
        <f t="shared" si="71"/>
        <v>-0.38100000000000023</v>
      </c>
      <c r="K123" s="123">
        <f t="shared" si="71"/>
        <v>-3.1399999999999864</v>
      </c>
      <c r="L123" s="123">
        <f t="shared" si="71"/>
        <v>-0.42300000000000182</v>
      </c>
      <c r="M123" s="123">
        <f t="shared" si="71"/>
        <v>-0.14199999999999591</v>
      </c>
      <c r="N123" s="123">
        <f t="shared" si="71"/>
        <v>0.30699999999995953</v>
      </c>
      <c r="O123" s="123">
        <f t="shared" si="71"/>
        <v>1.6E-2</v>
      </c>
      <c r="P123" s="123">
        <f t="shared" si="71"/>
        <v>-16.458999999999833</v>
      </c>
    </row>
    <row r="124" spans="1:16" x14ac:dyDescent="0.3">
      <c r="A124" s="58">
        <f t="shared" si="69"/>
        <v>45992</v>
      </c>
      <c r="B124" s="123">
        <f t="shared" ref="B124:P124" si="72">B34-B33</f>
        <v>-0.39400000000000546</v>
      </c>
      <c r="C124" s="123">
        <f t="shared" si="72"/>
        <v>-0.6629999999999967</v>
      </c>
      <c r="D124" s="123">
        <f t="shared" si="72"/>
        <v>-5.0640000000000782</v>
      </c>
      <c r="E124" s="123">
        <f t="shared" si="72"/>
        <v>-6.0000000000002274E-3</v>
      </c>
      <c r="F124" s="123">
        <f t="shared" si="72"/>
        <v>1.6279999999999859</v>
      </c>
      <c r="G124" s="123">
        <f t="shared" si="72"/>
        <v>-3.6549999999999727</v>
      </c>
      <c r="H124" s="123">
        <f t="shared" si="72"/>
        <v>-1.3009999999999877</v>
      </c>
      <c r="I124" s="123">
        <f t="shared" si="72"/>
        <v>-0.67500000000001137</v>
      </c>
      <c r="J124" s="123">
        <f t="shared" si="72"/>
        <v>-0.65699999999998226</v>
      </c>
      <c r="K124" s="123">
        <f t="shared" si="72"/>
        <v>-1.7740000000000009</v>
      </c>
      <c r="L124" s="123">
        <f t="shared" si="72"/>
        <v>0.5110000000000241</v>
      </c>
      <c r="M124" s="123">
        <f t="shared" si="72"/>
        <v>9.4999999999970441E-2</v>
      </c>
      <c r="N124" s="123">
        <f t="shared" si="72"/>
        <v>-0.70899999999994634</v>
      </c>
      <c r="O124" s="123">
        <f t="shared" si="72"/>
        <v>1.3000000000000012E-2</v>
      </c>
      <c r="P124" s="123">
        <f t="shared" si="72"/>
        <v>-12.651000000000749</v>
      </c>
    </row>
    <row r="125" spans="1:16" x14ac:dyDescent="0.3">
      <c r="A125" s="58">
        <f t="shared" si="69"/>
        <v>46023</v>
      </c>
      <c r="B125" s="123">
        <f t="shared" ref="B125:P125" si="73">B35-B34</f>
        <v>-0.25799999999998136</v>
      </c>
      <c r="C125" s="123">
        <f t="shared" si="73"/>
        <v>-0.19700000000000273</v>
      </c>
      <c r="D125" s="123">
        <f t="shared" si="73"/>
        <v>-4.4480000000000928</v>
      </c>
      <c r="E125" s="123">
        <f t="shared" si="73"/>
        <v>3.3000000000001251E-2</v>
      </c>
      <c r="F125" s="123">
        <f t="shared" si="73"/>
        <v>3.4869999999999663</v>
      </c>
      <c r="G125" s="123">
        <f t="shared" si="73"/>
        <v>-4.0070000000000618</v>
      </c>
      <c r="H125" s="123">
        <f t="shared" si="73"/>
        <v>-1.6800000000000068</v>
      </c>
      <c r="I125" s="123">
        <f t="shared" si="73"/>
        <v>-0.32200000000000273</v>
      </c>
      <c r="J125" s="123">
        <f t="shared" si="73"/>
        <v>-0.44400000000001683</v>
      </c>
      <c r="K125" s="123">
        <f t="shared" si="73"/>
        <v>-4.3079999999999927</v>
      </c>
      <c r="L125" s="123">
        <f t="shared" si="73"/>
        <v>1.3209999999999695</v>
      </c>
      <c r="M125" s="123">
        <f t="shared" si="73"/>
        <v>-6.399999999996453E-2</v>
      </c>
      <c r="N125" s="123">
        <f t="shared" si="73"/>
        <v>3.172999999999945</v>
      </c>
      <c r="O125" s="123">
        <f t="shared" si="73"/>
        <v>1.8000000000000002E-2</v>
      </c>
      <c r="P125" s="123">
        <f t="shared" si="73"/>
        <v>-7.6959999999971842</v>
      </c>
    </row>
    <row r="126" spans="1:16" x14ac:dyDescent="0.3">
      <c r="A126" s="58">
        <f t="shared" si="69"/>
        <v>46054</v>
      </c>
      <c r="B126" s="123">
        <f t="shared" ref="B126:P126" si="74">B36-B35</f>
        <v>0.81299999999998818</v>
      </c>
      <c r="C126" s="123">
        <f t="shared" si="74"/>
        <v>0.16400000000000148</v>
      </c>
      <c r="D126" s="123">
        <f t="shared" si="74"/>
        <v>-4.2969999999997981</v>
      </c>
      <c r="E126" s="123">
        <f t="shared" si="74"/>
        <v>-3.7000000000006139E-2</v>
      </c>
      <c r="F126" s="123">
        <f t="shared" si="74"/>
        <v>0.12000000000000455</v>
      </c>
      <c r="G126" s="123">
        <f t="shared" si="74"/>
        <v>-2.4049999999999727</v>
      </c>
      <c r="H126" s="123">
        <f t="shared" si="74"/>
        <v>0.15300000000002001</v>
      </c>
      <c r="I126" s="123">
        <f t="shared" si="74"/>
        <v>-1.0090000000000146</v>
      </c>
      <c r="J126" s="123">
        <f t="shared" si="74"/>
        <v>-0.53399999999999181</v>
      </c>
      <c r="K126" s="123">
        <f t="shared" si="74"/>
        <v>3.9830000000000609</v>
      </c>
      <c r="L126" s="123">
        <f t="shared" si="74"/>
        <v>-1.1789999999999736</v>
      </c>
      <c r="M126" s="123">
        <f t="shared" si="74"/>
        <v>-0.1260000000000332</v>
      </c>
      <c r="N126" s="123">
        <f t="shared" si="74"/>
        <v>2.3240000000000123</v>
      </c>
      <c r="O126" s="123">
        <f t="shared" si="74"/>
        <v>6.0000000000000053E-3</v>
      </c>
      <c r="P126" s="123">
        <f t="shared" si="74"/>
        <v>-2.024000000000342</v>
      </c>
    </row>
    <row r="127" spans="1:16" x14ac:dyDescent="0.3">
      <c r="A127" s="58">
        <f t="shared" si="69"/>
        <v>46082</v>
      </c>
      <c r="B127" s="123">
        <f t="shared" ref="B127:P127" si="75">B37-B36</f>
        <v>1.5149999999999864</v>
      </c>
      <c r="C127" s="123">
        <f t="shared" si="75"/>
        <v>0.36800000000000921</v>
      </c>
      <c r="D127" s="123">
        <f t="shared" si="75"/>
        <v>-4.9910000000002128</v>
      </c>
      <c r="E127" s="123">
        <f t="shared" si="75"/>
        <v>-7.6999999999998181E-2</v>
      </c>
      <c r="F127" s="123">
        <f t="shared" si="75"/>
        <v>-8.6000000000012733E-2</v>
      </c>
      <c r="G127" s="123">
        <f t="shared" si="75"/>
        <v>-3.2260000000001128</v>
      </c>
      <c r="H127" s="123">
        <f t="shared" si="75"/>
        <v>2.4000000000000909E-2</v>
      </c>
      <c r="I127" s="123">
        <f t="shared" si="75"/>
        <v>-1.7409999999999854</v>
      </c>
      <c r="J127" s="123">
        <f t="shared" si="75"/>
        <v>-1.1100000000000136</v>
      </c>
      <c r="K127" s="123">
        <f t="shared" si="75"/>
        <v>-0.34500000000002728</v>
      </c>
      <c r="L127" s="123">
        <f t="shared" si="75"/>
        <v>-8.500000000003638E-2</v>
      </c>
      <c r="M127" s="123">
        <f t="shared" si="75"/>
        <v>4.4000000000039563E-2</v>
      </c>
      <c r="N127" s="123">
        <f t="shared" si="75"/>
        <v>0.11299999999999955</v>
      </c>
      <c r="O127" s="123">
        <f t="shared" si="75"/>
        <v>2.6999999999999996E-2</v>
      </c>
      <c r="P127" s="123">
        <f t="shared" si="75"/>
        <v>-9.569999999999709</v>
      </c>
    </row>
    <row r="128" spans="1:16" x14ac:dyDescent="0.3">
      <c r="A128" s="58">
        <f t="shared" si="69"/>
        <v>46113</v>
      </c>
      <c r="B128" s="123">
        <f t="shared" ref="B128:P129" si="76">B38-B37</f>
        <v>7.8000000000031378E-2</v>
      </c>
      <c r="C128" s="123">
        <f t="shared" si="76"/>
        <v>-0.12800000000000011</v>
      </c>
      <c r="D128" s="123">
        <f t="shared" si="76"/>
        <v>-3.7699999999999818</v>
      </c>
      <c r="E128" s="123">
        <f t="shared" si="76"/>
        <v>-2.2000000000005571E-2</v>
      </c>
      <c r="F128" s="123">
        <f t="shared" si="76"/>
        <v>-0.57199999999994589</v>
      </c>
      <c r="G128" s="123">
        <f t="shared" si="76"/>
        <v>-3.8699999999998909</v>
      </c>
      <c r="H128" s="123">
        <f t="shared" si="76"/>
        <v>0.98099999999999454</v>
      </c>
      <c r="I128" s="123">
        <f t="shared" si="76"/>
        <v>-2.3019999999999641</v>
      </c>
      <c r="J128" s="123">
        <f t="shared" si="76"/>
        <v>-1.3089999999999975</v>
      </c>
      <c r="K128" s="123">
        <f t="shared" si="76"/>
        <v>-0.7760000000000673</v>
      </c>
      <c r="L128" s="123">
        <f t="shared" si="76"/>
        <v>0.24000000000000909</v>
      </c>
      <c r="M128" s="123">
        <f t="shared" si="76"/>
        <v>-8.6000000000012733E-2</v>
      </c>
      <c r="N128" s="123">
        <f t="shared" si="76"/>
        <v>-0.40499999999997272</v>
      </c>
      <c r="O128" s="123">
        <f t="shared" si="76"/>
        <v>-4.0000000000000036E-3</v>
      </c>
      <c r="P128" s="123">
        <f t="shared" si="76"/>
        <v>-11.945000000001528</v>
      </c>
    </row>
    <row r="129" spans="1:16" x14ac:dyDescent="0.3">
      <c r="A129" s="58">
        <f t="shared" si="69"/>
        <v>46143</v>
      </c>
      <c r="B129" s="123">
        <f t="shared" si="76"/>
        <v>1.8359999999999559</v>
      </c>
      <c r="C129" s="123">
        <f t="shared" si="76"/>
        <v>0.29199999999998738</v>
      </c>
      <c r="D129" s="123">
        <f t="shared" si="76"/>
        <v>-3.1569999999999254</v>
      </c>
      <c r="E129" s="123">
        <f t="shared" si="76"/>
        <v>4.4000000000011141E-2</v>
      </c>
      <c r="F129" s="123">
        <f t="shared" si="76"/>
        <v>-1.9900000000000091</v>
      </c>
      <c r="G129" s="123">
        <f t="shared" si="76"/>
        <v>-4.2139999999999418</v>
      </c>
      <c r="H129" s="123">
        <f t="shared" si="76"/>
        <v>-0.39699999999999136</v>
      </c>
      <c r="I129" s="123">
        <f t="shared" si="76"/>
        <v>-1.6960000000000264</v>
      </c>
      <c r="J129" s="123">
        <f t="shared" si="76"/>
        <v>-0.29999999999998295</v>
      </c>
      <c r="K129" s="123">
        <f t="shared" si="76"/>
        <v>0.70300000000008822</v>
      </c>
      <c r="L129" s="123">
        <f t="shared" si="76"/>
        <v>-0.36199999999996635</v>
      </c>
      <c r="M129" s="123">
        <f t="shared" si="76"/>
        <v>0.2459999999999809</v>
      </c>
      <c r="N129" s="123">
        <f t="shared" si="76"/>
        <v>-6.0000000000002274E-2</v>
      </c>
      <c r="O129" s="123">
        <f t="shared" si="76"/>
        <v>-4.0000000000000036E-3</v>
      </c>
      <c r="P129" s="123">
        <f t="shared" si="76"/>
        <v>-9.058999999999287</v>
      </c>
    </row>
  </sheetData>
  <conditionalFormatting sqref="B42:P42">
    <cfRule type="cellIs" dxfId="9" priority="2" operator="equal">
      <formula>$K$181</formula>
    </cfRule>
  </conditionalFormatting>
  <conditionalFormatting sqref="B47:P47">
    <cfRule type="cellIs" dxfId="8" priority="1" operator="equal">
      <formula>$K$181</formula>
    </cfRule>
  </conditionalFormatting>
  <conditionalFormatting sqref="S20:AE4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AE16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8">
    <tabColor rgb="FFF3A960"/>
  </sheetPr>
  <dimension ref="A1:AB242"/>
  <sheetViews>
    <sheetView zoomScale="120" zoomScaleNormal="120" workbookViewId="0">
      <pane xSplit="1" ySplit="3" topLeftCell="B208" activePane="bottomRight" state="frozen"/>
      <selection pane="topRight" activeCell="B1" sqref="B1"/>
      <selection pane="bottomLeft" activeCell="A4" sqref="A4"/>
      <selection pane="bottomRight" activeCell="Z217" sqref="Z217"/>
    </sheetView>
  </sheetViews>
  <sheetFormatPr baseColWidth="10" defaultColWidth="11.5703125" defaultRowHeight="18" x14ac:dyDescent="0.3"/>
  <cols>
    <col min="1" max="1" width="24.42578125" style="15" customWidth="1"/>
    <col min="2" max="26" width="8.42578125" style="15" customWidth="1"/>
    <col min="27" max="27" width="11.5703125" style="15"/>
    <col min="28" max="28" width="9.7109375" style="15" customWidth="1"/>
    <col min="29" max="16384" width="11.5703125" style="15"/>
  </cols>
  <sheetData>
    <row r="1" spans="1:26" x14ac:dyDescent="0.3">
      <c r="A1" s="52" t="s">
        <v>93</v>
      </c>
    </row>
    <row r="3" spans="1:26" ht="106" x14ac:dyDescent="0.3">
      <c r="A3" s="64" t="s">
        <v>0</v>
      </c>
      <c r="B3" s="65" t="s">
        <v>59</v>
      </c>
      <c r="C3" s="65" t="s">
        <v>60</v>
      </c>
      <c r="D3" s="65" t="s">
        <v>61</v>
      </c>
      <c r="E3" s="65" t="s">
        <v>62</v>
      </c>
      <c r="F3" s="65" t="s">
        <v>63</v>
      </c>
      <c r="G3" s="65" t="s">
        <v>64</v>
      </c>
      <c r="H3" s="65" t="s">
        <v>65</v>
      </c>
      <c r="I3" s="65" t="s">
        <v>66</v>
      </c>
      <c r="J3" s="65" t="s">
        <v>67</v>
      </c>
      <c r="K3" s="65" t="s">
        <v>68</v>
      </c>
      <c r="L3" s="65" t="s">
        <v>69</v>
      </c>
      <c r="M3" s="65" t="s">
        <v>70</v>
      </c>
      <c r="N3" s="65" t="s">
        <v>71</v>
      </c>
      <c r="O3" s="65" t="s">
        <v>72</v>
      </c>
      <c r="P3" s="65" t="s">
        <v>73</v>
      </c>
      <c r="Q3" s="65" t="s">
        <v>74</v>
      </c>
      <c r="R3" s="65" t="s">
        <v>75</v>
      </c>
      <c r="S3" s="65" t="s">
        <v>76</v>
      </c>
      <c r="T3" s="65" t="s">
        <v>77</v>
      </c>
      <c r="U3" s="65" t="s">
        <v>78</v>
      </c>
      <c r="V3" s="65" t="s">
        <v>79</v>
      </c>
      <c r="W3" s="65" t="s">
        <v>80</v>
      </c>
      <c r="X3" s="65" t="s">
        <v>81</v>
      </c>
      <c r="Y3" s="65" t="s">
        <v>82</v>
      </c>
      <c r="Z3" s="65" t="s">
        <v>83</v>
      </c>
    </row>
    <row r="4" spans="1:26" x14ac:dyDescent="0.3">
      <c r="A4" s="66">
        <v>39814</v>
      </c>
      <c r="B4" s="67">
        <v>1750.671</v>
      </c>
      <c r="C4" s="67">
        <v>1470.6759999999999</v>
      </c>
      <c r="D4" s="67">
        <v>30.536000000000001</v>
      </c>
      <c r="E4" s="67">
        <v>61.075000000000003</v>
      </c>
      <c r="F4" s="67">
        <v>92.661000000000001</v>
      </c>
      <c r="G4" s="67">
        <v>452.36700000000002</v>
      </c>
      <c r="H4" s="67">
        <v>63.921999999999997</v>
      </c>
      <c r="I4" s="67">
        <v>121.003</v>
      </c>
      <c r="J4" s="67">
        <v>20.974</v>
      </c>
      <c r="K4" s="67">
        <v>48.018999999999998</v>
      </c>
      <c r="L4" s="67">
        <v>35.677999999999997</v>
      </c>
      <c r="M4" s="67">
        <v>27.356000000000002</v>
      </c>
      <c r="N4" s="67">
        <v>223.03299999999999</v>
      </c>
      <c r="O4" s="67">
        <v>85.275000000000006</v>
      </c>
      <c r="P4" s="67">
        <v>90.962000000000003</v>
      </c>
      <c r="Q4" s="67">
        <v>98.54</v>
      </c>
      <c r="R4" s="67">
        <v>98.430999999999997</v>
      </c>
      <c r="S4" s="67">
        <v>73.227000000000004</v>
      </c>
      <c r="T4" s="67">
        <v>51.703000000000003</v>
      </c>
      <c r="U4" s="67">
        <v>53.918999999999997</v>
      </c>
      <c r="V4" s="67">
        <v>457.91199999999998</v>
      </c>
      <c r="W4" s="67">
        <v>43.076000000000001</v>
      </c>
      <c r="X4" s="67">
        <v>27.440999999999999</v>
      </c>
      <c r="Y4" s="67">
        <v>144.00899999999999</v>
      </c>
      <c r="Z4" s="75">
        <f>SUM(B4:Y4)</f>
        <v>5622.4660000000003</v>
      </c>
    </row>
    <row r="5" spans="1:26" x14ac:dyDescent="0.3">
      <c r="A5" s="68">
        <v>39845</v>
      </c>
      <c r="B5" s="69">
        <v>1743.212</v>
      </c>
      <c r="C5" s="69">
        <v>1467.8920000000001</v>
      </c>
      <c r="D5" s="69">
        <v>30.483000000000001</v>
      </c>
      <c r="E5" s="69">
        <v>61.335000000000001</v>
      </c>
      <c r="F5" s="69">
        <v>92.295000000000002</v>
      </c>
      <c r="G5" s="69">
        <v>453.01400000000001</v>
      </c>
      <c r="H5" s="69">
        <v>64.177000000000007</v>
      </c>
      <c r="I5" s="69">
        <v>121.27800000000001</v>
      </c>
      <c r="J5" s="69">
        <v>21.07</v>
      </c>
      <c r="K5" s="69">
        <v>48.488</v>
      </c>
      <c r="L5" s="69">
        <v>35.649000000000001</v>
      </c>
      <c r="M5" s="69">
        <v>25.881</v>
      </c>
      <c r="N5" s="69">
        <v>223.273</v>
      </c>
      <c r="O5" s="69">
        <v>85.311999999999998</v>
      </c>
      <c r="P5" s="69">
        <v>90.314999999999998</v>
      </c>
      <c r="Q5" s="69">
        <v>97.664000000000001</v>
      </c>
      <c r="R5" s="69">
        <v>98.649000000000001</v>
      </c>
      <c r="S5" s="69">
        <v>73.103999999999999</v>
      </c>
      <c r="T5" s="69">
        <v>51.145000000000003</v>
      </c>
      <c r="U5" s="69">
        <v>53.771999999999998</v>
      </c>
      <c r="V5" s="69">
        <v>455.57799999999997</v>
      </c>
      <c r="W5" s="69">
        <v>43.07</v>
      </c>
      <c r="X5" s="69">
        <v>26.87</v>
      </c>
      <c r="Y5" s="69">
        <v>145.614</v>
      </c>
      <c r="Z5" s="75">
        <f t="shared" ref="Z5:Z68" si="0">SUM(B5:Y5)</f>
        <v>5609.14</v>
      </c>
    </row>
    <row r="6" spans="1:26" x14ac:dyDescent="0.3">
      <c r="A6" s="68">
        <v>39873</v>
      </c>
      <c r="B6" s="69">
        <v>1738.9110000000001</v>
      </c>
      <c r="C6" s="69">
        <v>1461.529</v>
      </c>
      <c r="D6" s="69">
        <v>30.923999999999999</v>
      </c>
      <c r="E6" s="69">
        <v>61.734999999999999</v>
      </c>
      <c r="F6" s="69">
        <v>92.156000000000006</v>
      </c>
      <c r="G6" s="69">
        <v>451.86200000000002</v>
      </c>
      <c r="H6" s="69">
        <v>64.677999999999997</v>
      </c>
      <c r="I6" s="69">
        <v>121.29600000000001</v>
      </c>
      <c r="J6" s="69">
        <v>21.081</v>
      </c>
      <c r="K6" s="69">
        <v>48.737000000000002</v>
      </c>
      <c r="L6" s="69">
        <v>35.470999999999997</v>
      </c>
      <c r="M6" s="69">
        <v>25.271000000000001</v>
      </c>
      <c r="N6" s="69">
        <v>221.245</v>
      </c>
      <c r="O6" s="69">
        <v>84.82</v>
      </c>
      <c r="P6" s="69">
        <v>88.778999999999996</v>
      </c>
      <c r="Q6" s="69">
        <v>96.525999999999996</v>
      </c>
      <c r="R6" s="69">
        <v>99.215999999999994</v>
      </c>
      <c r="S6" s="69">
        <v>73.435000000000002</v>
      </c>
      <c r="T6" s="69">
        <v>50.982999999999997</v>
      </c>
      <c r="U6" s="69">
        <v>53.302999999999997</v>
      </c>
      <c r="V6" s="69">
        <v>453.75400000000002</v>
      </c>
      <c r="W6" s="69">
        <v>42.881999999999998</v>
      </c>
      <c r="X6" s="69">
        <v>26.440999999999999</v>
      </c>
      <c r="Y6" s="69">
        <v>147.19499999999999</v>
      </c>
      <c r="Z6" s="75">
        <f t="shared" si="0"/>
        <v>5592.2299999999987</v>
      </c>
    </row>
    <row r="7" spans="1:26" x14ac:dyDescent="0.3">
      <c r="A7" s="68">
        <v>39904</v>
      </c>
      <c r="B7" s="69">
        <v>1736.93</v>
      </c>
      <c r="C7" s="69">
        <v>1457.72</v>
      </c>
      <c r="D7" s="69">
        <v>30.251000000000001</v>
      </c>
      <c r="E7" s="69">
        <v>61.841000000000001</v>
      </c>
      <c r="F7" s="69">
        <v>91.679000000000002</v>
      </c>
      <c r="G7" s="69">
        <v>450.43299999999999</v>
      </c>
      <c r="H7" s="69">
        <v>64.165000000000006</v>
      </c>
      <c r="I7" s="69">
        <v>121.56399999999999</v>
      </c>
      <c r="J7" s="69">
        <v>21.154</v>
      </c>
      <c r="K7" s="69">
        <v>49.085999999999999</v>
      </c>
      <c r="L7" s="69">
        <v>35.481000000000002</v>
      </c>
      <c r="M7" s="69">
        <v>25.042000000000002</v>
      </c>
      <c r="N7" s="69">
        <v>216.935</v>
      </c>
      <c r="O7" s="69">
        <v>85.213999999999999</v>
      </c>
      <c r="P7" s="69">
        <v>87.284999999999997</v>
      </c>
      <c r="Q7" s="69">
        <v>92.301000000000002</v>
      </c>
      <c r="R7" s="69">
        <v>100.405</v>
      </c>
      <c r="S7" s="69">
        <v>73.257000000000005</v>
      </c>
      <c r="T7" s="69">
        <v>51.051000000000002</v>
      </c>
      <c r="U7" s="69">
        <v>53.167999999999999</v>
      </c>
      <c r="V7" s="69">
        <v>451.92899999999997</v>
      </c>
      <c r="W7" s="69">
        <v>42.396000000000001</v>
      </c>
      <c r="X7" s="69">
        <v>25.986999999999998</v>
      </c>
      <c r="Y7" s="69">
        <v>149.61199999999999</v>
      </c>
      <c r="Z7" s="75">
        <f t="shared" si="0"/>
        <v>5574.8860000000004</v>
      </c>
    </row>
    <row r="8" spans="1:26" x14ac:dyDescent="0.3">
      <c r="A8" s="68">
        <v>39934</v>
      </c>
      <c r="B8" s="69">
        <v>1736.9829999999999</v>
      </c>
      <c r="C8" s="69">
        <v>1455.6489999999999</v>
      </c>
      <c r="D8" s="69">
        <v>29.837</v>
      </c>
      <c r="E8" s="69">
        <v>61.771999999999998</v>
      </c>
      <c r="F8" s="69">
        <v>91.304000000000002</v>
      </c>
      <c r="G8" s="69">
        <v>448.803</v>
      </c>
      <c r="H8" s="69">
        <v>64.305000000000007</v>
      </c>
      <c r="I8" s="69">
        <v>122.232</v>
      </c>
      <c r="J8" s="69">
        <v>21.312999999999999</v>
      </c>
      <c r="K8" s="69">
        <v>50.058999999999997</v>
      </c>
      <c r="L8" s="69">
        <v>35.128999999999998</v>
      </c>
      <c r="M8" s="69">
        <v>25.547999999999998</v>
      </c>
      <c r="N8" s="69">
        <v>215.77199999999999</v>
      </c>
      <c r="O8" s="69">
        <v>85.789000000000001</v>
      </c>
      <c r="P8" s="69">
        <v>87.123999999999995</v>
      </c>
      <c r="Q8" s="69">
        <v>93.64</v>
      </c>
      <c r="R8" s="69">
        <v>100.898</v>
      </c>
      <c r="S8" s="69">
        <v>73.096000000000004</v>
      </c>
      <c r="T8" s="69">
        <v>51.061999999999998</v>
      </c>
      <c r="U8" s="69">
        <v>52.947000000000003</v>
      </c>
      <c r="V8" s="69">
        <v>449.85700000000003</v>
      </c>
      <c r="W8" s="69">
        <v>42.073</v>
      </c>
      <c r="X8" s="69">
        <v>25.567</v>
      </c>
      <c r="Y8" s="69">
        <v>148.375</v>
      </c>
      <c r="Z8" s="75">
        <f t="shared" si="0"/>
        <v>5569.1339999999991</v>
      </c>
    </row>
    <row r="9" spans="1:26" x14ac:dyDescent="0.3">
      <c r="A9" s="68">
        <v>39965</v>
      </c>
      <c r="B9" s="69">
        <v>1738.7159999999999</v>
      </c>
      <c r="C9" s="69">
        <v>1455.0530000000001</v>
      </c>
      <c r="D9" s="69">
        <v>29.120999999999999</v>
      </c>
      <c r="E9" s="69">
        <v>61.564999999999998</v>
      </c>
      <c r="F9" s="69">
        <v>90.453999999999994</v>
      </c>
      <c r="G9" s="69">
        <v>449.08800000000002</v>
      </c>
      <c r="H9" s="69">
        <v>65.102999999999994</v>
      </c>
      <c r="I9" s="69">
        <v>122.53</v>
      </c>
      <c r="J9" s="69">
        <v>21.631</v>
      </c>
      <c r="K9" s="69">
        <v>51.488</v>
      </c>
      <c r="L9" s="69">
        <v>35.216000000000001</v>
      </c>
      <c r="M9" s="69">
        <v>25.888000000000002</v>
      </c>
      <c r="N9" s="69">
        <v>219.39599999999999</v>
      </c>
      <c r="O9" s="69">
        <v>86.013000000000005</v>
      </c>
      <c r="P9" s="69">
        <v>86.932000000000002</v>
      </c>
      <c r="Q9" s="69">
        <v>93.819000000000003</v>
      </c>
      <c r="R9" s="69">
        <v>101.43600000000001</v>
      </c>
      <c r="S9" s="69">
        <v>72.025999999999996</v>
      </c>
      <c r="T9" s="69">
        <v>50.697000000000003</v>
      </c>
      <c r="U9" s="69">
        <v>52.363999999999997</v>
      </c>
      <c r="V9" s="69">
        <v>448.57600000000002</v>
      </c>
      <c r="W9" s="69">
        <v>42.698999999999998</v>
      </c>
      <c r="X9" s="69">
        <v>25.518999999999998</v>
      </c>
      <c r="Y9" s="69">
        <v>150.78800000000001</v>
      </c>
      <c r="Z9" s="75">
        <f t="shared" si="0"/>
        <v>5576.1180000000004</v>
      </c>
    </row>
    <row r="10" spans="1:26" x14ac:dyDescent="0.3">
      <c r="A10" s="68">
        <v>39995</v>
      </c>
      <c r="B10" s="69">
        <v>1742.03</v>
      </c>
      <c r="C10" s="69">
        <v>1453.5840000000001</v>
      </c>
      <c r="D10" s="69">
        <v>29.361000000000001</v>
      </c>
      <c r="E10" s="69">
        <v>61.7</v>
      </c>
      <c r="F10" s="69">
        <v>90.14</v>
      </c>
      <c r="G10" s="69">
        <v>449.78300000000002</v>
      </c>
      <c r="H10" s="69">
        <v>64.896000000000001</v>
      </c>
      <c r="I10" s="69">
        <v>123.10899999999999</v>
      </c>
      <c r="J10" s="69">
        <v>22.324000000000002</v>
      </c>
      <c r="K10" s="69">
        <v>52.16</v>
      </c>
      <c r="L10" s="69">
        <v>35.405999999999999</v>
      </c>
      <c r="M10" s="69">
        <v>26.853000000000002</v>
      </c>
      <c r="N10" s="69">
        <v>219.21700000000001</v>
      </c>
      <c r="O10" s="69">
        <v>86.697999999999993</v>
      </c>
      <c r="P10" s="69">
        <v>86.602999999999994</v>
      </c>
      <c r="Q10" s="69">
        <v>93.149000000000001</v>
      </c>
      <c r="R10" s="69">
        <v>102.001</v>
      </c>
      <c r="S10" s="69">
        <v>72.578000000000003</v>
      </c>
      <c r="T10" s="69">
        <v>51.277000000000001</v>
      </c>
      <c r="U10" s="69">
        <v>52.267000000000003</v>
      </c>
      <c r="V10" s="69">
        <v>449.108</v>
      </c>
      <c r="W10" s="69">
        <v>42.994999999999997</v>
      </c>
      <c r="X10" s="69">
        <v>25.207000000000001</v>
      </c>
      <c r="Y10" s="69">
        <v>152.298</v>
      </c>
      <c r="Z10" s="75">
        <f t="shared" si="0"/>
        <v>5584.7440000000006</v>
      </c>
    </row>
    <row r="11" spans="1:26" x14ac:dyDescent="0.3">
      <c r="A11" s="68">
        <v>40026</v>
      </c>
      <c r="B11" s="69">
        <v>1740.001</v>
      </c>
      <c r="C11" s="69">
        <v>1453.3610000000001</v>
      </c>
      <c r="D11" s="69">
        <v>29.315999999999999</v>
      </c>
      <c r="E11" s="69">
        <v>61.600999999999999</v>
      </c>
      <c r="F11" s="69">
        <v>89.787999999999997</v>
      </c>
      <c r="G11" s="69">
        <v>451.05399999999997</v>
      </c>
      <c r="H11" s="69">
        <v>64.906999999999996</v>
      </c>
      <c r="I11" s="69">
        <v>123.075</v>
      </c>
      <c r="J11" s="69">
        <v>21.731999999999999</v>
      </c>
      <c r="K11" s="69">
        <v>51.674999999999997</v>
      </c>
      <c r="L11" s="69">
        <v>35.718000000000004</v>
      </c>
      <c r="M11" s="69">
        <v>27.446000000000002</v>
      </c>
      <c r="N11" s="69">
        <v>218.89099999999999</v>
      </c>
      <c r="O11" s="69">
        <v>86.754999999999995</v>
      </c>
      <c r="P11" s="69">
        <v>86.165000000000006</v>
      </c>
      <c r="Q11" s="69">
        <v>92.367999999999995</v>
      </c>
      <c r="R11" s="69">
        <v>101.79</v>
      </c>
      <c r="S11" s="69">
        <v>71.724000000000004</v>
      </c>
      <c r="T11" s="69">
        <v>51.545999999999999</v>
      </c>
      <c r="U11" s="69">
        <v>52.094000000000001</v>
      </c>
      <c r="V11" s="69">
        <v>447.95800000000003</v>
      </c>
      <c r="W11" s="69">
        <v>42.305999999999997</v>
      </c>
      <c r="X11" s="69">
        <v>25.183</v>
      </c>
      <c r="Y11" s="69">
        <v>149.99299999999999</v>
      </c>
      <c r="Z11" s="75">
        <f t="shared" si="0"/>
        <v>5576.4470000000001</v>
      </c>
    </row>
    <row r="12" spans="1:26" x14ac:dyDescent="0.3">
      <c r="A12" s="68">
        <v>40057</v>
      </c>
      <c r="B12" s="69">
        <v>1742.104</v>
      </c>
      <c r="C12" s="69">
        <v>1453.7080000000001</v>
      </c>
      <c r="D12" s="69">
        <v>29.492000000000001</v>
      </c>
      <c r="E12" s="69">
        <v>61.356000000000002</v>
      </c>
      <c r="F12" s="69">
        <v>89.825000000000003</v>
      </c>
      <c r="G12" s="69">
        <v>452.21</v>
      </c>
      <c r="H12" s="69">
        <v>65.093999999999994</v>
      </c>
      <c r="I12" s="69">
        <v>122.973</v>
      </c>
      <c r="J12" s="69">
        <v>21.794</v>
      </c>
      <c r="K12" s="69">
        <v>52.381</v>
      </c>
      <c r="L12" s="69">
        <v>35.976999999999997</v>
      </c>
      <c r="M12" s="69">
        <v>27.446000000000002</v>
      </c>
      <c r="N12" s="69">
        <v>219.16</v>
      </c>
      <c r="O12" s="69">
        <v>86.66</v>
      </c>
      <c r="P12" s="69">
        <v>85.962000000000003</v>
      </c>
      <c r="Q12" s="69">
        <v>92.762</v>
      </c>
      <c r="R12" s="69">
        <v>102.169</v>
      </c>
      <c r="S12" s="69">
        <v>71.248999999999995</v>
      </c>
      <c r="T12" s="69">
        <v>52.195</v>
      </c>
      <c r="U12" s="69">
        <v>52.302999999999997</v>
      </c>
      <c r="V12" s="69">
        <v>452.27600000000001</v>
      </c>
      <c r="W12" s="69">
        <v>42.670999999999999</v>
      </c>
      <c r="X12" s="69">
        <v>25.716999999999999</v>
      </c>
      <c r="Y12" s="69">
        <v>150.20599999999999</v>
      </c>
      <c r="Z12" s="75">
        <f t="shared" si="0"/>
        <v>5587.6899999999987</v>
      </c>
    </row>
    <row r="13" spans="1:26" x14ac:dyDescent="0.3">
      <c r="A13" s="68">
        <v>40087</v>
      </c>
      <c r="B13" s="69">
        <v>1749.192</v>
      </c>
      <c r="C13" s="69">
        <v>1454.5260000000001</v>
      </c>
      <c r="D13" s="69">
        <v>29.463999999999999</v>
      </c>
      <c r="E13" s="69">
        <v>61.241</v>
      </c>
      <c r="F13" s="69">
        <v>89.578999999999994</v>
      </c>
      <c r="G13" s="69">
        <v>453.19400000000002</v>
      </c>
      <c r="H13" s="69">
        <v>65.231999999999999</v>
      </c>
      <c r="I13" s="69">
        <v>125.499</v>
      </c>
      <c r="J13" s="69">
        <v>21.66</v>
      </c>
      <c r="K13" s="69">
        <v>51.594000000000001</v>
      </c>
      <c r="L13" s="69">
        <v>35.898000000000003</v>
      </c>
      <c r="M13" s="69">
        <v>27.16</v>
      </c>
      <c r="N13" s="69">
        <v>219.363</v>
      </c>
      <c r="O13" s="69">
        <v>86.572000000000003</v>
      </c>
      <c r="P13" s="69">
        <v>85.04</v>
      </c>
      <c r="Q13" s="69">
        <v>91.67</v>
      </c>
      <c r="R13" s="69">
        <v>102.66200000000001</v>
      </c>
      <c r="S13" s="69">
        <v>71.2</v>
      </c>
      <c r="T13" s="69">
        <v>52.027000000000001</v>
      </c>
      <c r="U13" s="69">
        <v>51.661999999999999</v>
      </c>
      <c r="V13" s="69">
        <v>453.40699999999998</v>
      </c>
      <c r="W13" s="69">
        <v>42.661999999999999</v>
      </c>
      <c r="X13" s="69">
        <v>26.047999999999998</v>
      </c>
      <c r="Y13" s="69">
        <v>151.096</v>
      </c>
      <c r="Z13" s="75">
        <f t="shared" si="0"/>
        <v>5597.648000000001</v>
      </c>
    </row>
    <row r="14" spans="1:26" x14ac:dyDescent="0.3">
      <c r="A14" s="68">
        <v>40118</v>
      </c>
      <c r="B14" s="69">
        <v>1748.681</v>
      </c>
      <c r="C14" s="69">
        <v>1455.1369999999999</v>
      </c>
      <c r="D14" s="69">
        <v>29.948</v>
      </c>
      <c r="E14" s="69">
        <v>59.118000000000002</v>
      </c>
      <c r="F14" s="69">
        <v>89.159000000000006</v>
      </c>
      <c r="G14" s="69">
        <v>451.46199999999999</v>
      </c>
      <c r="H14" s="69">
        <v>66.307000000000002</v>
      </c>
      <c r="I14" s="69">
        <v>127.529</v>
      </c>
      <c r="J14" s="69">
        <v>21.7</v>
      </c>
      <c r="K14" s="69">
        <v>51.473999999999997</v>
      </c>
      <c r="L14" s="69">
        <v>35.774000000000001</v>
      </c>
      <c r="M14" s="69">
        <v>27.375</v>
      </c>
      <c r="N14" s="69">
        <v>219.46</v>
      </c>
      <c r="O14" s="69">
        <v>85.736999999999995</v>
      </c>
      <c r="P14" s="69">
        <v>85.721999999999994</v>
      </c>
      <c r="Q14" s="69">
        <v>93.358000000000004</v>
      </c>
      <c r="R14" s="69">
        <v>102.349</v>
      </c>
      <c r="S14" s="69">
        <v>71.182000000000002</v>
      </c>
      <c r="T14" s="69">
        <v>52.65</v>
      </c>
      <c r="U14" s="69">
        <v>51.689</v>
      </c>
      <c r="V14" s="69">
        <v>453.09</v>
      </c>
      <c r="W14" s="69">
        <v>42.774000000000001</v>
      </c>
      <c r="X14" s="69">
        <v>26.463000000000001</v>
      </c>
      <c r="Y14" s="69">
        <v>152.5</v>
      </c>
      <c r="Z14" s="75">
        <f t="shared" si="0"/>
        <v>5600.6379999999999</v>
      </c>
    </row>
    <row r="15" spans="1:26" x14ac:dyDescent="0.3">
      <c r="A15" s="68">
        <v>40148</v>
      </c>
      <c r="B15" s="69">
        <v>1754.117</v>
      </c>
      <c r="C15" s="69">
        <v>1457.7670000000001</v>
      </c>
      <c r="D15" s="69">
        <v>29.599</v>
      </c>
      <c r="E15" s="69">
        <v>59.366</v>
      </c>
      <c r="F15" s="69">
        <v>88.894000000000005</v>
      </c>
      <c r="G15" s="69">
        <v>455.31200000000001</v>
      </c>
      <c r="H15" s="69">
        <v>65.113</v>
      </c>
      <c r="I15" s="69">
        <v>123.232</v>
      </c>
      <c r="J15" s="69">
        <v>21.925000000000001</v>
      </c>
      <c r="K15" s="69">
        <v>50.963000000000001</v>
      </c>
      <c r="L15" s="69">
        <v>35.338999999999999</v>
      </c>
      <c r="M15" s="69">
        <v>27.376000000000001</v>
      </c>
      <c r="N15" s="69">
        <v>220.07300000000001</v>
      </c>
      <c r="O15" s="69">
        <v>86.332999999999998</v>
      </c>
      <c r="P15" s="69">
        <v>85.789000000000001</v>
      </c>
      <c r="Q15" s="69">
        <v>94.003</v>
      </c>
      <c r="R15" s="69">
        <v>102.003</v>
      </c>
      <c r="S15" s="69">
        <v>71.896000000000001</v>
      </c>
      <c r="T15" s="69">
        <v>52.845999999999997</v>
      </c>
      <c r="U15" s="69">
        <v>52.146000000000001</v>
      </c>
      <c r="V15" s="69">
        <v>454.17099999999999</v>
      </c>
      <c r="W15" s="69">
        <v>42.832999999999998</v>
      </c>
      <c r="X15" s="69">
        <v>26.936</v>
      </c>
      <c r="Y15" s="69">
        <v>147.922</v>
      </c>
      <c r="Z15" s="75">
        <f t="shared" si="0"/>
        <v>5605.9539999999979</v>
      </c>
    </row>
    <row r="16" spans="1:26" x14ac:dyDescent="0.3">
      <c r="A16" s="68">
        <v>40179</v>
      </c>
      <c r="B16" s="69">
        <v>1751.2380000000001</v>
      </c>
      <c r="C16" s="69">
        <v>1461.2449999999999</v>
      </c>
      <c r="D16" s="69">
        <v>29.4</v>
      </c>
      <c r="E16" s="69">
        <v>60.012</v>
      </c>
      <c r="F16" s="69">
        <v>89.168000000000006</v>
      </c>
      <c r="G16" s="69">
        <v>459.56200000000001</v>
      </c>
      <c r="H16" s="69">
        <v>64.852999999999994</v>
      </c>
      <c r="I16" s="69">
        <v>122.38500000000001</v>
      </c>
      <c r="J16" s="69">
        <v>21.922999999999998</v>
      </c>
      <c r="K16" s="69">
        <v>50.545000000000002</v>
      </c>
      <c r="L16" s="69">
        <v>35.470999999999997</v>
      </c>
      <c r="M16" s="69">
        <v>27.905999999999999</v>
      </c>
      <c r="N16" s="69">
        <v>221.63399999999999</v>
      </c>
      <c r="O16" s="69">
        <v>86.138000000000005</v>
      </c>
      <c r="P16" s="69">
        <v>85.63</v>
      </c>
      <c r="Q16" s="69">
        <v>95.412000000000006</v>
      </c>
      <c r="R16" s="69">
        <v>102.241</v>
      </c>
      <c r="S16" s="69">
        <v>72.245999999999995</v>
      </c>
      <c r="T16" s="69">
        <v>52.939</v>
      </c>
      <c r="U16" s="69">
        <v>52.238999999999997</v>
      </c>
      <c r="V16" s="69">
        <v>454.28800000000001</v>
      </c>
      <c r="W16" s="69">
        <v>43.536000000000001</v>
      </c>
      <c r="X16" s="69">
        <v>27.687999999999999</v>
      </c>
      <c r="Y16" s="69">
        <v>144.25899999999999</v>
      </c>
      <c r="Z16" s="75">
        <f t="shared" si="0"/>
        <v>5611.9580000000005</v>
      </c>
    </row>
    <row r="17" spans="1:26" x14ac:dyDescent="0.3">
      <c r="A17" s="68">
        <v>40210</v>
      </c>
      <c r="B17" s="69">
        <v>1756.8430000000001</v>
      </c>
      <c r="C17" s="69">
        <v>1463.885</v>
      </c>
      <c r="D17" s="69">
        <v>31.588000000000001</v>
      </c>
      <c r="E17" s="69">
        <v>60.515999999999998</v>
      </c>
      <c r="F17" s="69">
        <v>89.843999999999994</v>
      </c>
      <c r="G17" s="69">
        <v>461.50900000000001</v>
      </c>
      <c r="H17" s="69">
        <v>65.334999999999994</v>
      </c>
      <c r="I17" s="69">
        <v>122.82299999999999</v>
      </c>
      <c r="J17" s="69">
        <v>22.114999999999998</v>
      </c>
      <c r="K17" s="69">
        <v>51.033000000000001</v>
      </c>
      <c r="L17" s="69">
        <v>35.179000000000002</v>
      </c>
      <c r="M17" s="69">
        <v>28.259</v>
      </c>
      <c r="N17" s="69">
        <v>222.81399999999999</v>
      </c>
      <c r="O17" s="69">
        <v>86.450999999999993</v>
      </c>
      <c r="P17" s="69">
        <v>85.924000000000007</v>
      </c>
      <c r="Q17" s="69">
        <v>97.944000000000003</v>
      </c>
      <c r="R17" s="69">
        <v>103.443</v>
      </c>
      <c r="S17" s="69">
        <v>73.570999999999998</v>
      </c>
      <c r="T17" s="69">
        <v>53.66</v>
      </c>
      <c r="U17" s="69">
        <v>52.262999999999998</v>
      </c>
      <c r="V17" s="69">
        <v>456.92</v>
      </c>
      <c r="W17" s="69">
        <v>43.698999999999998</v>
      </c>
      <c r="X17" s="69">
        <v>28.161999999999999</v>
      </c>
      <c r="Y17" s="69">
        <v>146.697</v>
      </c>
      <c r="Z17" s="75">
        <f t="shared" si="0"/>
        <v>5640.4770000000008</v>
      </c>
    </row>
    <row r="18" spans="1:26" x14ac:dyDescent="0.3">
      <c r="A18" s="68">
        <v>40238</v>
      </c>
      <c r="B18" s="69">
        <v>1766.9110000000001</v>
      </c>
      <c r="C18" s="69">
        <v>1468.0350000000001</v>
      </c>
      <c r="D18" s="69">
        <v>31.329000000000001</v>
      </c>
      <c r="E18" s="69">
        <v>59.811999999999998</v>
      </c>
      <c r="F18" s="69">
        <v>90.108000000000004</v>
      </c>
      <c r="G18" s="69">
        <v>464.01900000000001</v>
      </c>
      <c r="H18" s="69">
        <v>65.745999999999995</v>
      </c>
      <c r="I18" s="69">
        <v>124.637</v>
      </c>
      <c r="J18" s="69">
        <v>22.222999999999999</v>
      </c>
      <c r="K18" s="69">
        <v>51.165999999999997</v>
      </c>
      <c r="L18" s="69">
        <v>35.006</v>
      </c>
      <c r="M18" s="69">
        <v>28.765000000000001</v>
      </c>
      <c r="N18" s="69">
        <v>222.86099999999999</v>
      </c>
      <c r="O18" s="69">
        <v>86.626000000000005</v>
      </c>
      <c r="P18" s="69">
        <v>86.286000000000001</v>
      </c>
      <c r="Q18" s="69">
        <v>98.691999999999993</v>
      </c>
      <c r="R18" s="69">
        <v>104.505</v>
      </c>
      <c r="S18" s="69">
        <v>72.905000000000001</v>
      </c>
      <c r="T18" s="69">
        <v>53.676000000000002</v>
      </c>
      <c r="U18" s="69">
        <v>52.454000000000001</v>
      </c>
      <c r="V18" s="69">
        <v>458.22199999999998</v>
      </c>
      <c r="W18" s="69">
        <v>44.036999999999999</v>
      </c>
      <c r="X18" s="69">
        <v>28.501999999999999</v>
      </c>
      <c r="Y18" s="69">
        <v>144.05099999999999</v>
      </c>
      <c r="Z18" s="75">
        <f t="shared" si="0"/>
        <v>5660.5740000000014</v>
      </c>
    </row>
    <row r="19" spans="1:26" x14ac:dyDescent="0.3">
      <c r="A19" s="68">
        <v>40269</v>
      </c>
      <c r="B19" s="69">
        <v>1773.9849999999999</v>
      </c>
      <c r="C19" s="69">
        <v>1470.7090000000001</v>
      </c>
      <c r="D19" s="69">
        <v>31.53</v>
      </c>
      <c r="E19" s="69">
        <v>59.844999999999999</v>
      </c>
      <c r="F19" s="69">
        <v>90.400999999999996</v>
      </c>
      <c r="G19" s="69">
        <v>466.13400000000001</v>
      </c>
      <c r="H19" s="69">
        <v>65.704999999999998</v>
      </c>
      <c r="I19" s="69">
        <v>124.85</v>
      </c>
      <c r="J19" s="69">
        <v>22.355</v>
      </c>
      <c r="K19" s="69">
        <v>51.581000000000003</v>
      </c>
      <c r="L19" s="69">
        <v>34.970999999999997</v>
      </c>
      <c r="M19" s="69">
        <v>28.841999999999999</v>
      </c>
      <c r="N19" s="69">
        <v>222.78299999999999</v>
      </c>
      <c r="O19" s="69">
        <v>86.697000000000003</v>
      </c>
      <c r="P19" s="69">
        <v>86.302999999999997</v>
      </c>
      <c r="Q19" s="69">
        <v>97.313999999999993</v>
      </c>
      <c r="R19" s="69">
        <v>104.887</v>
      </c>
      <c r="S19" s="69">
        <v>73.225999999999999</v>
      </c>
      <c r="T19" s="69">
        <v>53.631999999999998</v>
      </c>
      <c r="U19" s="69">
        <v>52.128</v>
      </c>
      <c r="V19" s="69">
        <v>458.62599999999998</v>
      </c>
      <c r="W19" s="69">
        <v>44.744</v>
      </c>
      <c r="X19" s="69">
        <v>28.638999999999999</v>
      </c>
      <c r="Y19" s="69">
        <v>147.4</v>
      </c>
      <c r="Z19" s="75">
        <f t="shared" si="0"/>
        <v>5677.2869999999975</v>
      </c>
    </row>
    <row r="20" spans="1:26" x14ac:dyDescent="0.3">
      <c r="A20" s="68">
        <v>40299</v>
      </c>
      <c r="B20" s="69">
        <v>1781.31</v>
      </c>
      <c r="C20" s="69">
        <v>1474.1489999999999</v>
      </c>
      <c r="D20" s="69">
        <v>31.959</v>
      </c>
      <c r="E20" s="69">
        <v>59.465000000000003</v>
      </c>
      <c r="F20" s="69">
        <v>90.509</v>
      </c>
      <c r="G20" s="69">
        <v>467.71899999999999</v>
      </c>
      <c r="H20" s="69">
        <v>65.912999999999997</v>
      </c>
      <c r="I20" s="69">
        <v>124.855</v>
      </c>
      <c r="J20" s="69">
        <v>22.364000000000001</v>
      </c>
      <c r="K20" s="69">
        <v>51.823</v>
      </c>
      <c r="L20" s="69">
        <v>34.557000000000002</v>
      </c>
      <c r="M20" s="69">
        <v>28.512</v>
      </c>
      <c r="N20" s="69">
        <v>223.458</v>
      </c>
      <c r="O20" s="69">
        <v>86.671000000000006</v>
      </c>
      <c r="P20" s="69">
        <v>86.623999999999995</v>
      </c>
      <c r="Q20" s="69">
        <v>95.978999999999999</v>
      </c>
      <c r="R20" s="69">
        <v>105.03700000000001</v>
      </c>
      <c r="S20" s="69">
        <v>73.239000000000004</v>
      </c>
      <c r="T20" s="69">
        <v>53.445</v>
      </c>
      <c r="U20" s="69">
        <v>51.994</v>
      </c>
      <c r="V20" s="69">
        <v>459.85500000000002</v>
      </c>
      <c r="W20" s="69">
        <v>44.795000000000002</v>
      </c>
      <c r="X20" s="69">
        <v>28.983000000000001</v>
      </c>
      <c r="Y20" s="69">
        <v>148.655</v>
      </c>
      <c r="Z20" s="75">
        <f t="shared" si="0"/>
        <v>5691.8699999999981</v>
      </c>
    </row>
    <row r="21" spans="1:26" x14ac:dyDescent="0.3">
      <c r="A21" s="68">
        <v>40330</v>
      </c>
      <c r="B21" s="69">
        <v>1787.855</v>
      </c>
      <c r="C21" s="69">
        <v>1477.71</v>
      </c>
      <c r="D21" s="69">
        <v>31.457000000000001</v>
      </c>
      <c r="E21" s="69">
        <v>59.478999999999999</v>
      </c>
      <c r="F21" s="69">
        <v>90.766999999999996</v>
      </c>
      <c r="G21" s="69">
        <v>469.19099999999997</v>
      </c>
      <c r="H21" s="69">
        <v>65.941000000000003</v>
      </c>
      <c r="I21" s="69">
        <v>125.952</v>
      </c>
      <c r="J21" s="69">
        <v>22.282</v>
      </c>
      <c r="K21" s="69">
        <v>52.387999999999998</v>
      </c>
      <c r="L21" s="69">
        <v>34.429000000000002</v>
      </c>
      <c r="M21" s="69">
        <v>28.631</v>
      </c>
      <c r="N21" s="69">
        <v>224.97900000000001</v>
      </c>
      <c r="O21" s="69">
        <v>87.004999999999995</v>
      </c>
      <c r="P21" s="69">
        <v>86.429000000000002</v>
      </c>
      <c r="Q21" s="69">
        <v>96.412000000000006</v>
      </c>
      <c r="R21" s="69">
        <v>105.235</v>
      </c>
      <c r="S21" s="69">
        <v>73.844999999999999</v>
      </c>
      <c r="T21" s="69">
        <v>53.709000000000003</v>
      </c>
      <c r="U21" s="69">
        <v>52.466999999999999</v>
      </c>
      <c r="V21" s="69">
        <v>461.02300000000002</v>
      </c>
      <c r="W21" s="69">
        <v>44.94</v>
      </c>
      <c r="X21" s="69">
        <v>29.353000000000002</v>
      </c>
      <c r="Y21" s="69">
        <v>148.92099999999999</v>
      </c>
      <c r="Z21" s="75">
        <f t="shared" si="0"/>
        <v>5710.4</v>
      </c>
    </row>
    <row r="22" spans="1:26" x14ac:dyDescent="0.3">
      <c r="A22" s="68">
        <v>40360</v>
      </c>
      <c r="B22" s="69">
        <v>1793.8009999999999</v>
      </c>
      <c r="C22" s="69">
        <v>1481.069</v>
      </c>
      <c r="D22" s="69">
        <v>30.893000000000001</v>
      </c>
      <c r="E22" s="69">
        <v>59.54</v>
      </c>
      <c r="F22" s="69">
        <v>91.873999999999995</v>
      </c>
      <c r="G22" s="69">
        <v>470.24700000000001</v>
      </c>
      <c r="H22" s="69">
        <v>65.647999999999996</v>
      </c>
      <c r="I22" s="69">
        <v>126.592</v>
      </c>
      <c r="J22" s="69">
        <v>22.533000000000001</v>
      </c>
      <c r="K22" s="69">
        <v>52.481999999999999</v>
      </c>
      <c r="L22" s="69">
        <v>34.258000000000003</v>
      </c>
      <c r="M22" s="69">
        <v>28.646999999999998</v>
      </c>
      <c r="N22" s="69">
        <v>225.054</v>
      </c>
      <c r="O22" s="69">
        <v>87.335999999999999</v>
      </c>
      <c r="P22" s="69">
        <v>86.706999999999994</v>
      </c>
      <c r="Q22" s="69">
        <v>96.052000000000007</v>
      </c>
      <c r="R22" s="69">
        <v>104.872</v>
      </c>
      <c r="S22" s="69">
        <v>74.046000000000006</v>
      </c>
      <c r="T22" s="69">
        <v>53.820999999999998</v>
      </c>
      <c r="U22" s="69">
        <v>52.96</v>
      </c>
      <c r="V22" s="69">
        <v>463.01</v>
      </c>
      <c r="W22" s="69">
        <v>45.523000000000003</v>
      </c>
      <c r="X22" s="69">
        <v>29.026</v>
      </c>
      <c r="Y22" s="69">
        <v>150.84899999999999</v>
      </c>
      <c r="Z22" s="75">
        <f t="shared" si="0"/>
        <v>5726.8400000000011</v>
      </c>
    </row>
    <row r="23" spans="1:26" x14ac:dyDescent="0.3">
      <c r="A23" s="68">
        <v>40391</v>
      </c>
      <c r="B23" s="69">
        <v>1803.152</v>
      </c>
      <c r="C23" s="69">
        <v>1484.3219999999999</v>
      </c>
      <c r="D23" s="69">
        <v>30.145</v>
      </c>
      <c r="E23" s="69">
        <v>60.267000000000003</v>
      </c>
      <c r="F23" s="69">
        <v>91.536000000000001</v>
      </c>
      <c r="G23" s="69">
        <v>472.33199999999999</v>
      </c>
      <c r="H23" s="69">
        <v>65.698999999999998</v>
      </c>
      <c r="I23" s="69">
        <v>127.02500000000001</v>
      </c>
      <c r="J23" s="69">
        <v>22.856000000000002</v>
      </c>
      <c r="K23" s="69">
        <v>52.66</v>
      </c>
      <c r="L23" s="69">
        <v>34.145000000000003</v>
      </c>
      <c r="M23" s="69">
        <v>28.305</v>
      </c>
      <c r="N23" s="69">
        <v>225.815</v>
      </c>
      <c r="O23" s="69">
        <v>88.072000000000003</v>
      </c>
      <c r="P23" s="69">
        <v>87.32</v>
      </c>
      <c r="Q23" s="69">
        <v>96.119</v>
      </c>
      <c r="R23" s="69">
        <v>105.197</v>
      </c>
      <c r="S23" s="69">
        <v>74.864000000000004</v>
      </c>
      <c r="T23" s="69">
        <v>53.456000000000003</v>
      </c>
      <c r="U23" s="69">
        <v>53.213000000000001</v>
      </c>
      <c r="V23" s="69">
        <v>464.04199999999997</v>
      </c>
      <c r="W23" s="69">
        <v>46.106000000000002</v>
      </c>
      <c r="X23" s="69">
        <v>29.824000000000002</v>
      </c>
      <c r="Y23" s="69">
        <v>151.142</v>
      </c>
      <c r="Z23" s="75">
        <f t="shared" si="0"/>
        <v>5747.6139999999987</v>
      </c>
    </row>
    <row r="24" spans="1:26" x14ac:dyDescent="0.3">
      <c r="A24" s="68">
        <v>40422</v>
      </c>
      <c r="B24" s="69">
        <v>1807.855</v>
      </c>
      <c r="C24" s="69">
        <v>1491.154</v>
      </c>
      <c r="D24" s="69">
        <v>30.138999999999999</v>
      </c>
      <c r="E24" s="69">
        <v>60.956000000000003</v>
      </c>
      <c r="F24" s="69">
        <v>92.286000000000001</v>
      </c>
      <c r="G24" s="69">
        <v>473.82299999999998</v>
      </c>
      <c r="H24" s="69">
        <v>66.033000000000001</v>
      </c>
      <c r="I24" s="69">
        <v>127.19199999999999</v>
      </c>
      <c r="J24" s="69">
        <v>23.141999999999999</v>
      </c>
      <c r="K24" s="69">
        <v>52.978999999999999</v>
      </c>
      <c r="L24" s="69">
        <v>34.18</v>
      </c>
      <c r="M24" s="69">
        <v>28.602</v>
      </c>
      <c r="N24" s="69">
        <v>227.017</v>
      </c>
      <c r="O24" s="69">
        <v>89.198999999999998</v>
      </c>
      <c r="P24" s="69">
        <v>87.498999999999995</v>
      </c>
      <c r="Q24" s="69">
        <v>94.844999999999999</v>
      </c>
      <c r="R24" s="69">
        <v>106.244</v>
      </c>
      <c r="S24" s="69">
        <v>75.623000000000005</v>
      </c>
      <c r="T24" s="69">
        <v>53.82</v>
      </c>
      <c r="U24" s="69">
        <v>53.780999999999999</v>
      </c>
      <c r="V24" s="69">
        <v>466.55200000000002</v>
      </c>
      <c r="W24" s="69">
        <v>46.814999999999998</v>
      </c>
      <c r="X24" s="69">
        <v>30.419</v>
      </c>
      <c r="Y24" s="69">
        <v>152.346</v>
      </c>
      <c r="Z24" s="75">
        <f t="shared" si="0"/>
        <v>5772.5009999999984</v>
      </c>
    </row>
    <row r="25" spans="1:26" x14ac:dyDescent="0.3">
      <c r="A25" s="68">
        <v>40452</v>
      </c>
      <c r="B25" s="69">
        <v>1813.0450000000001</v>
      </c>
      <c r="C25" s="69">
        <v>1494.8889999999999</v>
      </c>
      <c r="D25" s="69">
        <v>29.736000000000001</v>
      </c>
      <c r="E25" s="69">
        <v>61.030999999999999</v>
      </c>
      <c r="F25" s="69">
        <v>92.001000000000005</v>
      </c>
      <c r="G25" s="69">
        <v>474.58300000000003</v>
      </c>
      <c r="H25" s="69">
        <v>66.177999999999997</v>
      </c>
      <c r="I25" s="69">
        <v>127.273</v>
      </c>
      <c r="J25" s="69">
        <v>23.562999999999999</v>
      </c>
      <c r="K25" s="69">
        <v>52.948</v>
      </c>
      <c r="L25" s="69">
        <v>34.156999999999996</v>
      </c>
      <c r="M25" s="69">
        <v>29.317</v>
      </c>
      <c r="N25" s="69">
        <v>227.59200000000001</v>
      </c>
      <c r="O25" s="69">
        <v>89.045000000000002</v>
      </c>
      <c r="P25" s="69">
        <v>87.774000000000001</v>
      </c>
      <c r="Q25" s="69">
        <v>93.947999999999993</v>
      </c>
      <c r="R25" s="69">
        <v>105.669</v>
      </c>
      <c r="S25" s="69">
        <v>76.63</v>
      </c>
      <c r="T25" s="69">
        <v>54.127000000000002</v>
      </c>
      <c r="U25" s="69">
        <v>53.485999999999997</v>
      </c>
      <c r="V25" s="69">
        <v>467.79599999999999</v>
      </c>
      <c r="W25" s="69">
        <v>46.036000000000001</v>
      </c>
      <c r="X25" s="69">
        <v>30.812000000000001</v>
      </c>
      <c r="Y25" s="69">
        <v>150.411</v>
      </c>
      <c r="Z25" s="75">
        <f t="shared" si="0"/>
        <v>5782.0470000000014</v>
      </c>
    </row>
    <row r="26" spans="1:26" x14ac:dyDescent="0.3">
      <c r="A26" s="68">
        <v>40483</v>
      </c>
      <c r="B26" s="69">
        <v>1815.4590000000001</v>
      </c>
      <c r="C26" s="69">
        <v>1499.335</v>
      </c>
      <c r="D26" s="69">
        <v>30.31</v>
      </c>
      <c r="E26" s="69">
        <v>61.712000000000003</v>
      </c>
      <c r="F26" s="69">
        <v>92.686000000000007</v>
      </c>
      <c r="G26" s="69">
        <v>476.447</v>
      </c>
      <c r="H26" s="69">
        <v>66.421000000000006</v>
      </c>
      <c r="I26" s="69">
        <v>127.669</v>
      </c>
      <c r="J26" s="69">
        <v>23.763999999999999</v>
      </c>
      <c r="K26" s="69">
        <v>52.918999999999997</v>
      </c>
      <c r="L26" s="69">
        <v>34.268999999999998</v>
      </c>
      <c r="M26" s="69">
        <v>29.38</v>
      </c>
      <c r="N26" s="69">
        <v>230.261</v>
      </c>
      <c r="O26" s="69">
        <v>88.701999999999998</v>
      </c>
      <c r="P26" s="69">
        <v>87.881</v>
      </c>
      <c r="Q26" s="69">
        <v>95.501999999999995</v>
      </c>
      <c r="R26" s="69">
        <v>105.184</v>
      </c>
      <c r="S26" s="69">
        <v>76.75</v>
      </c>
      <c r="T26" s="69">
        <v>54.45</v>
      </c>
      <c r="U26" s="69">
        <v>54.606000000000002</v>
      </c>
      <c r="V26" s="69">
        <v>469.11599999999999</v>
      </c>
      <c r="W26" s="69">
        <v>46.313000000000002</v>
      </c>
      <c r="X26" s="69">
        <v>31.082000000000001</v>
      </c>
      <c r="Y26" s="69">
        <v>151.352</v>
      </c>
      <c r="Z26" s="75">
        <f t="shared" si="0"/>
        <v>5801.5700000000015</v>
      </c>
    </row>
    <row r="27" spans="1:26" x14ac:dyDescent="0.3">
      <c r="A27" s="68">
        <v>40513</v>
      </c>
      <c r="B27" s="69">
        <v>1830.923</v>
      </c>
      <c r="C27" s="69">
        <v>1502.896</v>
      </c>
      <c r="D27" s="69">
        <v>30.169</v>
      </c>
      <c r="E27" s="69">
        <v>62.069000000000003</v>
      </c>
      <c r="F27" s="69">
        <v>93.516000000000005</v>
      </c>
      <c r="G27" s="69">
        <v>480.32900000000001</v>
      </c>
      <c r="H27" s="69">
        <v>66.992000000000004</v>
      </c>
      <c r="I27" s="69">
        <v>127.28</v>
      </c>
      <c r="J27" s="69">
        <v>23.937000000000001</v>
      </c>
      <c r="K27" s="69">
        <v>52.73</v>
      </c>
      <c r="L27" s="69">
        <v>34.488</v>
      </c>
      <c r="M27" s="69">
        <v>29.49</v>
      </c>
      <c r="N27" s="69">
        <v>232.85300000000001</v>
      </c>
      <c r="O27" s="69">
        <v>90.087000000000003</v>
      </c>
      <c r="P27" s="69">
        <v>88.567999999999998</v>
      </c>
      <c r="Q27" s="69">
        <v>95.540999999999997</v>
      </c>
      <c r="R27" s="69">
        <v>105.923</v>
      </c>
      <c r="S27" s="69">
        <v>78.052999999999997</v>
      </c>
      <c r="T27" s="69">
        <v>54.475999999999999</v>
      </c>
      <c r="U27" s="69">
        <v>55.021999999999998</v>
      </c>
      <c r="V27" s="69">
        <v>472.29899999999998</v>
      </c>
      <c r="W27" s="69">
        <v>46.677</v>
      </c>
      <c r="X27" s="69">
        <v>31.41</v>
      </c>
      <c r="Y27" s="69">
        <v>151.64699999999999</v>
      </c>
      <c r="Z27" s="75">
        <f t="shared" si="0"/>
        <v>5837.3749999999991</v>
      </c>
    </row>
    <row r="28" spans="1:26" x14ac:dyDescent="0.3">
      <c r="A28" s="68">
        <v>40544</v>
      </c>
      <c r="B28" s="69">
        <v>1838.865</v>
      </c>
      <c r="C28" s="69">
        <v>1504.884</v>
      </c>
      <c r="D28" s="69">
        <v>30.219000000000001</v>
      </c>
      <c r="E28" s="69">
        <v>62.527999999999999</v>
      </c>
      <c r="F28" s="69">
        <v>93.963999999999999</v>
      </c>
      <c r="G28" s="69">
        <v>482.56700000000001</v>
      </c>
      <c r="H28" s="69">
        <v>67.546000000000006</v>
      </c>
      <c r="I28" s="69">
        <v>127.66500000000001</v>
      </c>
      <c r="J28" s="69">
        <v>24.195</v>
      </c>
      <c r="K28" s="69">
        <v>53.201000000000001</v>
      </c>
      <c r="L28" s="69">
        <v>34.965000000000003</v>
      </c>
      <c r="M28" s="69">
        <v>29.741</v>
      </c>
      <c r="N28" s="69">
        <v>233.69</v>
      </c>
      <c r="O28" s="69">
        <v>91.301000000000002</v>
      </c>
      <c r="P28" s="69">
        <v>88.926000000000002</v>
      </c>
      <c r="Q28" s="69">
        <v>99.4</v>
      </c>
      <c r="R28" s="69">
        <v>107.501</v>
      </c>
      <c r="S28" s="69">
        <v>79.744</v>
      </c>
      <c r="T28" s="69">
        <v>54.591999999999999</v>
      </c>
      <c r="U28" s="69">
        <v>55.798000000000002</v>
      </c>
      <c r="V28" s="69">
        <v>474.29399999999998</v>
      </c>
      <c r="W28" s="69">
        <v>46.548999999999999</v>
      </c>
      <c r="X28" s="69">
        <v>31.716999999999999</v>
      </c>
      <c r="Y28" s="69">
        <v>150.54499999999999</v>
      </c>
      <c r="Z28" s="75">
        <f t="shared" si="0"/>
        <v>5864.3969999999981</v>
      </c>
    </row>
    <row r="29" spans="1:26" x14ac:dyDescent="0.3">
      <c r="A29" s="68">
        <v>40575</v>
      </c>
      <c r="B29" s="69">
        <v>1846.0029999999999</v>
      </c>
      <c r="C29" s="69">
        <v>1508.95</v>
      </c>
      <c r="D29" s="69">
        <v>31.986000000000001</v>
      </c>
      <c r="E29" s="69">
        <v>63.225000000000001</v>
      </c>
      <c r="F29" s="69">
        <v>94.256</v>
      </c>
      <c r="G29" s="69">
        <v>485.07499999999999</v>
      </c>
      <c r="H29" s="69">
        <v>67.954999999999998</v>
      </c>
      <c r="I29" s="69">
        <v>127.949</v>
      </c>
      <c r="J29" s="69">
        <v>24.407</v>
      </c>
      <c r="K29" s="69">
        <v>53.247</v>
      </c>
      <c r="L29" s="69">
        <v>35.423000000000002</v>
      </c>
      <c r="M29" s="69">
        <v>30.233000000000001</v>
      </c>
      <c r="N29" s="69">
        <v>235.364</v>
      </c>
      <c r="O29" s="69">
        <v>92.513000000000005</v>
      </c>
      <c r="P29" s="69">
        <v>89.298000000000002</v>
      </c>
      <c r="Q29" s="69">
        <v>100.69799999999999</v>
      </c>
      <c r="R29" s="69">
        <v>108.629</v>
      </c>
      <c r="S29" s="69">
        <v>79.900999999999996</v>
      </c>
      <c r="T29" s="69">
        <v>54.649000000000001</v>
      </c>
      <c r="U29" s="69">
        <v>56.683999999999997</v>
      </c>
      <c r="V29" s="69">
        <v>476.15800000000002</v>
      </c>
      <c r="W29" s="69">
        <v>46.817999999999998</v>
      </c>
      <c r="X29" s="69">
        <v>32.249000000000002</v>
      </c>
      <c r="Y29" s="69">
        <v>153.39099999999999</v>
      </c>
      <c r="Z29" s="75">
        <f t="shared" si="0"/>
        <v>5895.0609999999997</v>
      </c>
    </row>
    <row r="30" spans="1:26" x14ac:dyDescent="0.3">
      <c r="A30" s="68">
        <v>40603</v>
      </c>
      <c r="B30" s="69">
        <v>1850.028</v>
      </c>
      <c r="C30" s="69">
        <v>1508.6690000000001</v>
      </c>
      <c r="D30" s="69">
        <v>32.543999999999997</v>
      </c>
      <c r="E30" s="69">
        <v>63.756999999999998</v>
      </c>
      <c r="F30" s="69">
        <v>94.772999999999996</v>
      </c>
      <c r="G30" s="69">
        <v>485.76400000000001</v>
      </c>
      <c r="H30" s="69">
        <v>68.331999999999994</v>
      </c>
      <c r="I30" s="69">
        <v>129.75299999999999</v>
      </c>
      <c r="J30" s="69">
        <v>24.710999999999999</v>
      </c>
      <c r="K30" s="69">
        <v>53.896999999999998</v>
      </c>
      <c r="L30" s="69">
        <v>35.86</v>
      </c>
      <c r="M30" s="69">
        <v>30.82</v>
      </c>
      <c r="N30" s="69">
        <v>235.24299999999999</v>
      </c>
      <c r="O30" s="69">
        <v>93.28</v>
      </c>
      <c r="P30" s="69">
        <v>89.206999999999994</v>
      </c>
      <c r="Q30" s="69">
        <v>101.113</v>
      </c>
      <c r="R30" s="69">
        <v>109.342</v>
      </c>
      <c r="S30" s="69">
        <v>79.134</v>
      </c>
      <c r="T30" s="69">
        <v>54.445999999999998</v>
      </c>
      <c r="U30" s="69">
        <v>57.4</v>
      </c>
      <c r="V30" s="69">
        <v>477.935</v>
      </c>
      <c r="W30" s="69">
        <v>46.817</v>
      </c>
      <c r="X30" s="69">
        <v>32.338999999999999</v>
      </c>
      <c r="Y30" s="69">
        <v>155.27600000000001</v>
      </c>
      <c r="Z30" s="75">
        <f t="shared" si="0"/>
        <v>5910.44</v>
      </c>
    </row>
    <row r="31" spans="1:26" x14ac:dyDescent="0.3">
      <c r="A31" s="68">
        <v>40634</v>
      </c>
      <c r="B31" s="69">
        <v>1856.204</v>
      </c>
      <c r="C31" s="69">
        <v>1517.6569999999999</v>
      </c>
      <c r="D31" s="69">
        <v>32.317999999999998</v>
      </c>
      <c r="E31" s="69">
        <v>64.341999999999999</v>
      </c>
      <c r="F31" s="69">
        <v>95.195999999999998</v>
      </c>
      <c r="G31" s="69">
        <v>490.495</v>
      </c>
      <c r="H31" s="69">
        <v>69.180999999999997</v>
      </c>
      <c r="I31" s="69">
        <v>131.19300000000001</v>
      </c>
      <c r="J31" s="69">
        <v>25.027000000000001</v>
      </c>
      <c r="K31" s="69">
        <v>54.088999999999999</v>
      </c>
      <c r="L31" s="69">
        <v>36.130000000000003</v>
      </c>
      <c r="M31" s="69">
        <v>31.411999999999999</v>
      </c>
      <c r="N31" s="69">
        <v>237.102</v>
      </c>
      <c r="O31" s="69">
        <v>93.956000000000003</v>
      </c>
      <c r="P31" s="69">
        <v>89.450999999999993</v>
      </c>
      <c r="Q31" s="69">
        <v>101.01600000000001</v>
      </c>
      <c r="R31" s="69">
        <v>109.601</v>
      </c>
      <c r="S31" s="69">
        <v>80.852000000000004</v>
      </c>
      <c r="T31" s="69">
        <v>54.633000000000003</v>
      </c>
      <c r="U31" s="69">
        <v>57.796999999999997</v>
      </c>
      <c r="V31" s="69">
        <v>480.76</v>
      </c>
      <c r="W31" s="69">
        <v>47.079000000000001</v>
      </c>
      <c r="X31" s="69">
        <v>33.183999999999997</v>
      </c>
      <c r="Y31" s="69">
        <v>155.37299999999999</v>
      </c>
      <c r="Z31" s="75">
        <f t="shared" si="0"/>
        <v>5944.0479999999989</v>
      </c>
    </row>
    <row r="32" spans="1:26" x14ac:dyDescent="0.3">
      <c r="A32" s="68">
        <v>40664</v>
      </c>
      <c r="B32" s="69">
        <v>1860.7919999999999</v>
      </c>
      <c r="C32" s="69">
        <v>1523.191</v>
      </c>
      <c r="D32" s="69">
        <v>32.174999999999997</v>
      </c>
      <c r="E32" s="69">
        <v>65.760000000000005</v>
      </c>
      <c r="F32" s="69">
        <v>94.97</v>
      </c>
      <c r="G32" s="69">
        <v>493.51799999999997</v>
      </c>
      <c r="H32" s="69">
        <v>69.433999999999997</v>
      </c>
      <c r="I32" s="69">
        <v>131.85599999999999</v>
      </c>
      <c r="J32" s="69">
        <v>25.329000000000001</v>
      </c>
      <c r="K32" s="69">
        <v>54.482999999999997</v>
      </c>
      <c r="L32" s="69">
        <v>36.378</v>
      </c>
      <c r="M32" s="69">
        <v>31.347000000000001</v>
      </c>
      <c r="N32" s="69">
        <v>238.97800000000001</v>
      </c>
      <c r="O32" s="69">
        <v>94.343999999999994</v>
      </c>
      <c r="P32" s="69">
        <v>89.641999999999996</v>
      </c>
      <c r="Q32" s="69">
        <v>100.48099999999999</v>
      </c>
      <c r="R32" s="69">
        <v>110.379</v>
      </c>
      <c r="S32" s="69">
        <v>81.653999999999996</v>
      </c>
      <c r="T32" s="69">
        <v>54.921999999999997</v>
      </c>
      <c r="U32" s="69">
        <v>57.981000000000002</v>
      </c>
      <c r="V32" s="69">
        <v>482.81299999999999</v>
      </c>
      <c r="W32" s="69">
        <v>47.633000000000003</v>
      </c>
      <c r="X32" s="69">
        <v>33.655999999999999</v>
      </c>
      <c r="Y32" s="69">
        <v>156.572</v>
      </c>
      <c r="Z32" s="75">
        <f t="shared" si="0"/>
        <v>5968.2879999999986</v>
      </c>
    </row>
    <row r="33" spans="1:26" x14ac:dyDescent="0.3">
      <c r="A33" s="68">
        <v>40695</v>
      </c>
      <c r="B33" s="69">
        <v>1870.2660000000001</v>
      </c>
      <c r="C33" s="69">
        <v>1525.0550000000001</v>
      </c>
      <c r="D33" s="69">
        <v>31.818999999999999</v>
      </c>
      <c r="E33" s="69">
        <v>65.947999999999993</v>
      </c>
      <c r="F33" s="69">
        <v>95.244</v>
      </c>
      <c r="G33" s="69">
        <v>494.62400000000002</v>
      </c>
      <c r="H33" s="69">
        <v>69.629000000000005</v>
      </c>
      <c r="I33" s="69">
        <v>132.38499999999999</v>
      </c>
      <c r="J33" s="69">
        <v>25.986000000000001</v>
      </c>
      <c r="K33" s="69">
        <v>54.307000000000002</v>
      </c>
      <c r="L33" s="69">
        <v>36.472000000000001</v>
      </c>
      <c r="M33" s="69">
        <v>31.263999999999999</v>
      </c>
      <c r="N33" s="69">
        <v>238.589</v>
      </c>
      <c r="O33" s="69">
        <v>94.617999999999995</v>
      </c>
      <c r="P33" s="69">
        <v>90.183999999999997</v>
      </c>
      <c r="Q33" s="69">
        <v>100.226</v>
      </c>
      <c r="R33" s="69">
        <v>110.947</v>
      </c>
      <c r="S33" s="69">
        <v>82.745999999999995</v>
      </c>
      <c r="T33" s="69">
        <v>55.024000000000001</v>
      </c>
      <c r="U33" s="69">
        <v>58.59</v>
      </c>
      <c r="V33" s="69">
        <v>485.4</v>
      </c>
      <c r="W33" s="69">
        <v>48.070999999999998</v>
      </c>
      <c r="X33" s="69">
        <v>34.036000000000001</v>
      </c>
      <c r="Y33" s="69">
        <v>156.70699999999999</v>
      </c>
      <c r="Z33" s="75">
        <f t="shared" si="0"/>
        <v>5988.1370000000006</v>
      </c>
    </row>
    <row r="34" spans="1:26" x14ac:dyDescent="0.3">
      <c r="A34" s="68">
        <v>40725</v>
      </c>
      <c r="B34" s="69">
        <v>1875.1659999999999</v>
      </c>
      <c r="C34" s="69">
        <v>1529.5440000000001</v>
      </c>
      <c r="D34" s="69">
        <v>31.26</v>
      </c>
      <c r="E34" s="69">
        <v>66.126000000000005</v>
      </c>
      <c r="F34" s="69">
        <v>95.034000000000006</v>
      </c>
      <c r="G34" s="69">
        <v>496.928</v>
      </c>
      <c r="H34" s="69">
        <v>70.033000000000001</v>
      </c>
      <c r="I34" s="69">
        <v>133.31</v>
      </c>
      <c r="J34" s="69">
        <v>26.167999999999999</v>
      </c>
      <c r="K34" s="69">
        <v>54.515000000000001</v>
      </c>
      <c r="L34" s="69">
        <v>36.598999999999997</v>
      </c>
      <c r="M34" s="69">
        <v>30.51</v>
      </c>
      <c r="N34" s="69">
        <v>240.494</v>
      </c>
      <c r="O34" s="69">
        <v>95.02</v>
      </c>
      <c r="P34" s="69">
        <v>89.891999999999996</v>
      </c>
      <c r="Q34" s="69">
        <v>100.101</v>
      </c>
      <c r="R34" s="69">
        <v>111.267</v>
      </c>
      <c r="S34" s="69">
        <v>83.078999999999994</v>
      </c>
      <c r="T34" s="69">
        <v>55.103000000000002</v>
      </c>
      <c r="U34" s="69">
        <v>58.241</v>
      </c>
      <c r="V34" s="69">
        <v>487.20499999999998</v>
      </c>
      <c r="W34" s="69">
        <v>47.884999999999998</v>
      </c>
      <c r="X34" s="69">
        <v>34.774999999999999</v>
      </c>
      <c r="Y34" s="69">
        <v>156.46700000000001</v>
      </c>
      <c r="Z34" s="75">
        <f t="shared" si="0"/>
        <v>6004.7219999999998</v>
      </c>
    </row>
    <row r="35" spans="1:26" x14ac:dyDescent="0.3">
      <c r="A35" s="68">
        <v>40756</v>
      </c>
      <c r="B35" s="69">
        <v>1879.8219999999999</v>
      </c>
      <c r="C35" s="69">
        <v>1533.8019999999999</v>
      </c>
      <c r="D35" s="69">
        <v>30.888000000000002</v>
      </c>
      <c r="E35" s="69">
        <v>66.057000000000002</v>
      </c>
      <c r="F35" s="69">
        <v>95.004000000000005</v>
      </c>
      <c r="G35" s="69">
        <v>497.72199999999998</v>
      </c>
      <c r="H35" s="69">
        <v>70.674000000000007</v>
      </c>
      <c r="I35" s="69">
        <v>134.28899999999999</v>
      </c>
      <c r="J35" s="69">
        <v>26.497</v>
      </c>
      <c r="K35" s="69">
        <v>54.878999999999998</v>
      </c>
      <c r="L35" s="69">
        <v>36.695</v>
      </c>
      <c r="M35" s="69">
        <v>30.445</v>
      </c>
      <c r="N35" s="69">
        <v>241.54599999999999</v>
      </c>
      <c r="O35" s="69">
        <v>95.414000000000001</v>
      </c>
      <c r="P35" s="69">
        <v>90.185000000000002</v>
      </c>
      <c r="Q35" s="69">
        <v>99.992999999999995</v>
      </c>
      <c r="R35" s="69">
        <v>111.919</v>
      </c>
      <c r="S35" s="69">
        <v>83.765000000000001</v>
      </c>
      <c r="T35" s="69">
        <v>55.509</v>
      </c>
      <c r="U35" s="69">
        <v>58.21</v>
      </c>
      <c r="V35" s="69">
        <v>489.23</v>
      </c>
      <c r="W35" s="69">
        <v>48.097999999999999</v>
      </c>
      <c r="X35" s="69">
        <v>35.118000000000002</v>
      </c>
      <c r="Y35" s="69">
        <v>158.947</v>
      </c>
      <c r="Z35" s="75">
        <f t="shared" si="0"/>
        <v>6024.7080000000005</v>
      </c>
    </row>
    <row r="36" spans="1:26" x14ac:dyDescent="0.3">
      <c r="A36" s="68">
        <v>40787</v>
      </c>
      <c r="B36" s="69">
        <v>1890.934</v>
      </c>
      <c r="C36" s="69">
        <v>1533.89</v>
      </c>
      <c r="D36" s="69">
        <v>30.82</v>
      </c>
      <c r="E36" s="69">
        <v>65.680999999999997</v>
      </c>
      <c r="F36" s="69">
        <v>94.774000000000001</v>
      </c>
      <c r="G36" s="69">
        <v>499.44099999999997</v>
      </c>
      <c r="H36" s="69">
        <v>70.706000000000003</v>
      </c>
      <c r="I36" s="69">
        <v>134.13200000000001</v>
      </c>
      <c r="J36" s="69">
        <v>26.385000000000002</v>
      </c>
      <c r="K36" s="69">
        <v>54.997999999999998</v>
      </c>
      <c r="L36" s="69">
        <v>36.741999999999997</v>
      </c>
      <c r="M36" s="69">
        <v>30.158000000000001</v>
      </c>
      <c r="N36" s="69">
        <v>241.46700000000001</v>
      </c>
      <c r="O36" s="69">
        <v>96.070999999999998</v>
      </c>
      <c r="P36" s="69">
        <v>90.47</v>
      </c>
      <c r="Q36" s="69">
        <v>100.616</v>
      </c>
      <c r="R36" s="69">
        <v>111.223</v>
      </c>
      <c r="S36" s="69">
        <v>84.218000000000004</v>
      </c>
      <c r="T36" s="69">
        <v>55.463999999999999</v>
      </c>
      <c r="U36" s="69">
        <v>59.006999999999998</v>
      </c>
      <c r="V36" s="69">
        <v>490.18099999999998</v>
      </c>
      <c r="W36" s="69">
        <v>47.878999999999998</v>
      </c>
      <c r="X36" s="69">
        <v>35.281999999999996</v>
      </c>
      <c r="Y36" s="69">
        <v>158.64599999999999</v>
      </c>
      <c r="Z36" s="75">
        <f t="shared" si="0"/>
        <v>6039.1849999999986</v>
      </c>
    </row>
    <row r="37" spans="1:26" x14ac:dyDescent="0.3">
      <c r="A37" s="68">
        <v>40817</v>
      </c>
      <c r="B37" s="69">
        <v>1893.059</v>
      </c>
      <c r="C37" s="69">
        <v>1534.289</v>
      </c>
      <c r="D37" s="69">
        <v>30.986000000000001</v>
      </c>
      <c r="E37" s="69">
        <v>66.722999999999999</v>
      </c>
      <c r="F37" s="69">
        <v>94.432000000000002</v>
      </c>
      <c r="G37" s="69">
        <v>501.22199999999998</v>
      </c>
      <c r="H37" s="69">
        <v>71.132999999999996</v>
      </c>
      <c r="I37" s="69">
        <v>134.71899999999999</v>
      </c>
      <c r="J37" s="69">
        <v>26.31</v>
      </c>
      <c r="K37" s="69">
        <v>55.514000000000003</v>
      </c>
      <c r="L37" s="69">
        <v>36.783999999999999</v>
      </c>
      <c r="M37" s="69">
        <v>30.352</v>
      </c>
      <c r="N37" s="69">
        <v>243.02799999999999</v>
      </c>
      <c r="O37" s="69">
        <v>96.605999999999995</v>
      </c>
      <c r="P37" s="69">
        <v>90.536000000000001</v>
      </c>
      <c r="Q37" s="69">
        <v>100.61499999999999</v>
      </c>
      <c r="R37" s="69">
        <v>111.758</v>
      </c>
      <c r="S37" s="69">
        <v>84.724999999999994</v>
      </c>
      <c r="T37" s="69">
        <v>55.968000000000004</v>
      </c>
      <c r="U37" s="69">
        <v>59.551000000000002</v>
      </c>
      <c r="V37" s="69">
        <v>491.21300000000002</v>
      </c>
      <c r="W37" s="69">
        <v>48.23</v>
      </c>
      <c r="X37" s="69">
        <v>35.512</v>
      </c>
      <c r="Y37" s="69">
        <v>161.69999999999999</v>
      </c>
      <c r="Z37" s="75">
        <f t="shared" si="0"/>
        <v>6054.9649999999983</v>
      </c>
    </row>
    <row r="38" spans="1:26" x14ac:dyDescent="0.3">
      <c r="A38" s="68">
        <v>40848</v>
      </c>
      <c r="B38" s="69">
        <v>1900.66</v>
      </c>
      <c r="C38" s="69">
        <v>1537.154</v>
      </c>
      <c r="D38" s="69">
        <v>30.992000000000001</v>
      </c>
      <c r="E38" s="69">
        <v>66.686999999999998</v>
      </c>
      <c r="F38" s="69">
        <v>94.71</v>
      </c>
      <c r="G38" s="69">
        <v>502.39</v>
      </c>
      <c r="H38" s="69">
        <v>71.488</v>
      </c>
      <c r="I38" s="69">
        <v>135.88399999999999</v>
      </c>
      <c r="J38" s="69">
        <v>26.344999999999999</v>
      </c>
      <c r="K38" s="69">
        <v>55.439</v>
      </c>
      <c r="L38" s="69">
        <v>36.643000000000001</v>
      </c>
      <c r="M38" s="69">
        <v>30.196999999999999</v>
      </c>
      <c r="N38" s="69">
        <v>242.631</v>
      </c>
      <c r="O38" s="69">
        <v>96.903999999999996</v>
      </c>
      <c r="P38" s="69">
        <v>90.554000000000002</v>
      </c>
      <c r="Q38" s="69">
        <v>100.77200000000001</v>
      </c>
      <c r="R38" s="69">
        <v>112.35299999999999</v>
      </c>
      <c r="S38" s="69">
        <v>85.507000000000005</v>
      </c>
      <c r="T38" s="69">
        <v>55.844000000000001</v>
      </c>
      <c r="U38" s="69">
        <v>59.89</v>
      </c>
      <c r="V38" s="69">
        <v>492.50700000000001</v>
      </c>
      <c r="W38" s="69">
        <v>47.999000000000002</v>
      </c>
      <c r="X38" s="69">
        <v>35.779000000000003</v>
      </c>
      <c r="Y38" s="69">
        <v>161.17400000000001</v>
      </c>
      <c r="Z38" s="75">
        <f t="shared" si="0"/>
        <v>6070.5030000000015</v>
      </c>
    </row>
    <row r="39" spans="1:26" x14ac:dyDescent="0.3">
      <c r="A39" s="68">
        <v>40878</v>
      </c>
      <c r="B39" s="69">
        <v>1901.54</v>
      </c>
      <c r="C39" s="69">
        <v>1537.558</v>
      </c>
      <c r="D39" s="69">
        <v>30.93</v>
      </c>
      <c r="E39" s="69">
        <v>66.727999999999994</v>
      </c>
      <c r="F39" s="69">
        <v>94.858000000000004</v>
      </c>
      <c r="G39" s="69">
        <v>501.779</v>
      </c>
      <c r="H39" s="69">
        <v>71.194999999999993</v>
      </c>
      <c r="I39" s="69">
        <v>135.691</v>
      </c>
      <c r="J39" s="69">
        <v>26.152999999999999</v>
      </c>
      <c r="K39" s="69">
        <v>55.780999999999999</v>
      </c>
      <c r="L39" s="69">
        <v>36.347999999999999</v>
      </c>
      <c r="M39" s="69">
        <v>30.251999999999999</v>
      </c>
      <c r="N39" s="69">
        <v>242.04300000000001</v>
      </c>
      <c r="O39" s="69">
        <v>97.042000000000002</v>
      </c>
      <c r="P39" s="69">
        <v>90.287000000000006</v>
      </c>
      <c r="Q39" s="69">
        <v>100.14700000000001</v>
      </c>
      <c r="R39" s="69">
        <v>111.297</v>
      </c>
      <c r="S39" s="69">
        <v>85.429000000000002</v>
      </c>
      <c r="T39" s="69">
        <v>56.106999999999999</v>
      </c>
      <c r="U39" s="69">
        <v>60.225000000000001</v>
      </c>
      <c r="V39" s="69">
        <v>492.94299999999998</v>
      </c>
      <c r="W39" s="69">
        <v>47.914999999999999</v>
      </c>
      <c r="X39" s="69">
        <v>35.960999999999999</v>
      </c>
      <c r="Y39" s="69">
        <v>161.59299999999999</v>
      </c>
      <c r="Z39" s="75">
        <f t="shared" si="0"/>
        <v>6069.8020000000006</v>
      </c>
    </row>
    <row r="40" spans="1:26" x14ac:dyDescent="0.3">
      <c r="A40" s="68">
        <v>40909</v>
      </c>
      <c r="B40" s="69">
        <v>1909.7460000000001</v>
      </c>
      <c r="C40" s="69">
        <v>1533.41</v>
      </c>
      <c r="D40" s="69">
        <v>30.753</v>
      </c>
      <c r="E40" s="69">
        <v>66.876999999999995</v>
      </c>
      <c r="F40" s="69">
        <v>94.460999999999999</v>
      </c>
      <c r="G40" s="69">
        <v>499.44200000000001</v>
      </c>
      <c r="H40" s="69">
        <v>71.162000000000006</v>
      </c>
      <c r="I40" s="69">
        <v>135.624</v>
      </c>
      <c r="J40" s="69">
        <v>26.227</v>
      </c>
      <c r="K40" s="69">
        <v>55.756</v>
      </c>
      <c r="L40" s="69">
        <v>36.057000000000002</v>
      </c>
      <c r="M40" s="69">
        <v>30.497</v>
      </c>
      <c r="N40" s="69">
        <v>240.24600000000001</v>
      </c>
      <c r="O40" s="69">
        <v>96.545000000000002</v>
      </c>
      <c r="P40" s="69">
        <v>89.512</v>
      </c>
      <c r="Q40" s="69">
        <v>100.04300000000001</v>
      </c>
      <c r="R40" s="69">
        <v>110.464</v>
      </c>
      <c r="S40" s="69">
        <v>85.828999999999994</v>
      </c>
      <c r="T40" s="69">
        <v>56.234000000000002</v>
      </c>
      <c r="U40" s="69">
        <v>60.545000000000002</v>
      </c>
      <c r="V40" s="69">
        <v>492.55</v>
      </c>
      <c r="W40" s="69">
        <v>47.781999999999996</v>
      </c>
      <c r="X40" s="69">
        <v>35.491999999999997</v>
      </c>
      <c r="Y40" s="69">
        <v>161.839</v>
      </c>
      <c r="Z40" s="75">
        <f t="shared" si="0"/>
        <v>6067.0930000000008</v>
      </c>
    </row>
    <row r="41" spans="1:26" x14ac:dyDescent="0.3">
      <c r="A41" s="68">
        <v>40940</v>
      </c>
      <c r="B41" s="69">
        <v>1910.6489999999999</v>
      </c>
      <c r="C41" s="69">
        <v>1531.509</v>
      </c>
      <c r="D41" s="69">
        <v>30.224</v>
      </c>
      <c r="E41" s="69">
        <v>66.995000000000005</v>
      </c>
      <c r="F41" s="69">
        <v>94.049000000000007</v>
      </c>
      <c r="G41" s="69">
        <v>497.98200000000003</v>
      </c>
      <c r="H41" s="69">
        <v>71.043000000000006</v>
      </c>
      <c r="I41" s="69">
        <v>135.84800000000001</v>
      </c>
      <c r="J41" s="69">
        <v>26.465</v>
      </c>
      <c r="K41" s="69">
        <v>55.862000000000002</v>
      </c>
      <c r="L41" s="69">
        <v>35.811999999999998</v>
      </c>
      <c r="M41" s="69">
        <v>27.696999999999999</v>
      </c>
      <c r="N41" s="69">
        <v>241.81800000000001</v>
      </c>
      <c r="O41" s="69">
        <v>93.197000000000003</v>
      </c>
      <c r="P41" s="69">
        <v>89.534000000000006</v>
      </c>
      <c r="Q41" s="69">
        <v>99.861999999999995</v>
      </c>
      <c r="R41" s="69">
        <v>109.754</v>
      </c>
      <c r="S41" s="69">
        <v>85.828000000000003</v>
      </c>
      <c r="T41" s="69">
        <v>56.225000000000001</v>
      </c>
      <c r="U41" s="69">
        <v>60.603000000000002</v>
      </c>
      <c r="V41" s="69">
        <v>492.53699999999998</v>
      </c>
      <c r="W41" s="69">
        <v>47.527000000000001</v>
      </c>
      <c r="X41" s="69">
        <v>35.819000000000003</v>
      </c>
      <c r="Y41" s="69">
        <v>161.714</v>
      </c>
      <c r="Z41" s="75">
        <f t="shared" si="0"/>
        <v>6058.5530000000017</v>
      </c>
    </row>
    <row r="42" spans="1:26" x14ac:dyDescent="0.3">
      <c r="A42" s="68">
        <v>40969</v>
      </c>
      <c r="B42" s="69">
        <v>1918.2339999999999</v>
      </c>
      <c r="C42" s="69">
        <v>1533.422</v>
      </c>
      <c r="D42" s="69">
        <v>30.396999999999998</v>
      </c>
      <c r="E42" s="69">
        <v>67.44</v>
      </c>
      <c r="F42" s="69">
        <v>94.147999999999996</v>
      </c>
      <c r="G42" s="69">
        <v>497.98500000000001</v>
      </c>
      <c r="H42" s="69">
        <v>71.069999999999993</v>
      </c>
      <c r="I42" s="69">
        <v>135.58600000000001</v>
      </c>
      <c r="J42" s="69">
        <v>26.16</v>
      </c>
      <c r="K42" s="69">
        <v>55.401000000000003</v>
      </c>
      <c r="L42" s="69">
        <v>35.563000000000002</v>
      </c>
      <c r="M42" s="69">
        <v>28.675999999999998</v>
      </c>
      <c r="N42" s="69">
        <v>243.43899999999999</v>
      </c>
      <c r="O42" s="69">
        <v>96.382000000000005</v>
      </c>
      <c r="P42" s="69">
        <v>90.049000000000007</v>
      </c>
      <c r="Q42" s="69">
        <v>100.858</v>
      </c>
      <c r="R42" s="69">
        <v>108.822</v>
      </c>
      <c r="S42" s="69">
        <v>86.38</v>
      </c>
      <c r="T42" s="69">
        <v>56.469000000000001</v>
      </c>
      <c r="U42" s="69">
        <v>61.215000000000003</v>
      </c>
      <c r="V42" s="69">
        <v>492.50799999999998</v>
      </c>
      <c r="W42" s="69">
        <v>47.472000000000001</v>
      </c>
      <c r="X42" s="69">
        <v>36.506</v>
      </c>
      <c r="Y42" s="69">
        <v>159.601</v>
      </c>
      <c r="Z42" s="75">
        <f t="shared" si="0"/>
        <v>6073.7830000000004</v>
      </c>
    </row>
    <row r="43" spans="1:26" x14ac:dyDescent="0.3">
      <c r="A43" s="68">
        <v>41000</v>
      </c>
      <c r="B43" s="69">
        <v>1910.3510000000001</v>
      </c>
      <c r="C43" s="69">
        <v>1529.8879999999999</v>
      </c>
      <c r="D43" s="69">
        <v>30.027000000000001</v>
      </c>
      <c r="E43" s="69">
        <v>67.471000000000004</v>
      </c>
      <c r="F43" s="69">
        <v>93.924999999999997</v>
      </c>
      <c r="G43" s="69">
        <v>496.37099999999998</v>
      </c>
      <c r="H43" s="69">
        <v>71.180999999999997</v>
      </c>
      <c r="I43" s="69">
        <v>134.64699999999999</v>
      </c>
      <c r="J43" s="69">
        <v>25.936</v>
      </c>
      <c r="K43" s="69">
        <v>55.081000000000003</v>
      </c>
      <c r="L43" s="69">
        <v>35.463000000000001</v>
      </c>
      <c r="M43" s="69">
        <v>28.422999999999998</v>
      </c>
      <c r="N43" s="69">
        <v>244.203</v>
      </c>
      <c r="O43" s="69">
        <v>95.944999999999993</v>
      </c>
      <c r="P43" s="69">
        <v>90.715000000000003</v>
      </c>
      <c r="Q43" s="69">
        <v>100.28</v>
      </c>
      <c r="R43" s="69">
        <v>108.863</v>
      </c>
      <c r="S43" s="69">
        <v>86.510999999999996</v>
      </c>
      <c r="T43" s="69">
        <v>56.387</v>
      </c>
      <c r="U43" s="69">
        <v>61.232999999999997</v>
      </c>
      <c r="V43" s="69">
        <v>492.52800000000002</v>
      </c>
      <c r="W43" s="69">
        <v>47.110999999999997</v>
      </c>
      <c r="X43" s="69">
        <v>36.799999999999997</v>
      </c>
      <c r="Y43" s="69">
        <v>156.761</v>
      </c>
      <c r="Z43" s="75">
        <f t="shared" si="0"/>
        <v>6056.1010000000006</v>
      </c>
    </row>
    <row r="44" spans="1:26" x14ac:dyDescent="0.3">
      <c r="A44" s="68">
        <v>41030</v>
      </c>
      <c r="B44" s="69">
        <v>1914.96</v>
      </c>
      <c r="C44" s="69">
        <v>1528.944</v>
      </c>
      <c r="D44" s="69">
        <v>29.972000000000001</v>
      </c>
      <c r="E44" s="69">
        <v>67.691000000000003</v>
      </c>
      <c r="F44" s="69">
        <v>94.403000000000006</v>
      </c>
      <c r="G44" s="69">
        <v>496.40600000000001</v>
      </c>
      <c r="H44" s="69">
        <v>70.884</v>
      </c>
      <c r="I44" s="69">
        <v>135.37100000000001</v>
      </c>
      <c r="J44" s="69">
        <v>25.888999999999999</v>
      </c>
      <c r="K44" s="69">
        <v>54.968000000000004</v>
      </c>
      <c r="L44" s="69">
        <v>35.509</v>
      </c>
      <c r="M44" s="69">
        <v>28.864999999999998</v>
      </c>
      <c r="N44" s="69">
        <v>243.82</v>
      </c>
      <c r="O44" s="69">
        <v>96.012</v>
      </c>
      <c r="P44" s="69">
        <v>90.795000000000002</v>
      </c>
      <c r="Q44" s="69">
        <v>101.214</v>
      </c>
      <c r="R44" s="69">
        <v>109.292</v>
      </c>
      <c r="S44" s="69">
        <v>87.132000000000005</v>
      </c>
      <c r="T44" s="69">
        <v>56.384999999999998</v>
      </c>
      <c r="U44" s="69">
        <v>61.250999999999998</v>
      </c>
      <c r="V44" s="69">
        <v>492.35199999999998</v>
      </c>
      <c r="W44" s="69">
        <v>47.036999999999999</v>
      </c>
      <c r="X44" s="69">
        <v>37.207999999999998</v>
      </c>
      <c r="Y44" s="69">
        <v>161.12100000000001</v>
      </c>
      <c r="Z44" s="75">
        <f t="shared" si="0"/>
        <v>6067.4809999999998</v>
      </c>
    </row>
    <row r="45" spans="1:26" x14ac:dyDescent="0.3">
      <c r="A45" s="68">
        <v>41061</v>
      </c>
      <c r="B45" s="69">
        <v>1913.6410000000001</v>
      </c>
      <c r="C45" s="69">
        <v>1527.1949999999999</v>
      </c>
      <c r="D45" s="69">
        <v>29.960999999999999</v>
      </c>
      <c r="E45" s="69">
        <v>67.587999999999994</v>
      </c>
      <c r="F45" s="69">
        <v>94.674000000000007</v>
      </c>
      <c r="G45" s="69">
        <v>496.96499999999997</v>
      </c>
      <c r="H45" s="69">
        <v>71.075000000000003</v>
      </c>
      <c r="I45" s="69">
        <v>134.601</v>
      </c>
      <c r="J45" s="69">
        <v>25.483000000000001</v>
      </c>
      <c r="K45" s="69">
        <v>54.786000000000001</v>
      </c>
      <c r="L45" s="69">
        <v>35.576000000000001</v>
      </c>
      <c r="M45" s="69">
        <v>28.878</v>
      </c>
      <c r="N45" s="69">
        <v>244.559</v>
      </c>
      <c r="O45" s="69">
        <v>95.995000000000005</v>
      </c>
      <c r="P45" s="69">
        <v>91.259</v>
      </c>
      <c r="Q45" s="69">
        <v>100.95099999999999</v>
      </c>
      <c r="R45" s="69">
        <v>109.739</v>
      </c>
      <c r="S45" s="69">
        <v>87.301000000000002</v>
      </c>
      <c r="T45" s="69">
        <v>56.27</v>
      </c>
      <c r="U45" s="69">
        <v>60.988</v>
      </c>
      <c r="V45" s="69">
        <v>491.69200000000001</v>
      </c>
      <c r="W45" s="69">
        <v>46.720999999999997</v>
      </c>
      <c r="X45" s="69">
        <v>37.43</v>
      </c>
      <c r="Y45" s="69">
        <v>161.92699999999999</v>
      </c>
      <c r="Z45" s="75">
        <f t="shared" si="0"/>
        <v>6065.2550000000001</v>
      </c>
    </row>
    <row r="46" spans="1:26" x14ac:dyDescent="0.3">
      <c r="A46" s="68">
        <v>41091</v>
      </c>
      <c r="B46" s="69">
        <v>1914.932</v>
      </c>
      <c r="C46" s="69">
        <v>1524.713</v>
      </c>
      <c r="D46" s="69">
        <v>30.227</v>
      </c>
      <c r="E46" s="69">
        <v>67.561999999999998</v>
      </c>
      <c r="F46" s="69">
        <v>94.616</v>
      </c>
      <c r="G46" s="69">
        <v>495.99700000000001</v>
      </c>
      <c r="H46" s="69">
        <v>71.238</v>
      </c>
      <c r="I46" s="69">
        <v>134.173</v>
      </c>
      <c r="J46" s="69">
        <v>25.03</v>
      </c>
      <c r="K46" s="69">
        <v>54.814</v>
      </c>
      <c r="L46" s="69">
        <v>35.436999999999998</v>
      </c>
      <c r="M46" s="69">
        <v>29.202000000000002</v>
      </c>
      <c r="N46" s="69">
        <v>244.7</v>
      </c>
      <c r="O46" s="69">
        <v>95.757000000000005</v>
      </c>
      <c r="P46" s="69">
        <v>91.432000000000002</v>
      </c>
      <c r="Q46" s="69">
        <v>101.01300000000001</v>
      </c>
      <c r="R46" s="69">
        <v>110.211</v>
      </c>
      <c r="S46" s="69">
        <v>87.790999999999997</v>
      </c>
      <c r="T46" s="69">
        <v>56.238999999999997</v>
      </c>
      <c r="U46" s="69">
        <v>60.667000000000002</v>
      </c>
      <c r="V46" s="69">
        <v>491.17099999999999</v>
      </c>
      <c r="W46" s="69">
        <v>47.142000000000003</v>
      </c>
      <c r="X46" s="69">
        <v>37.65</v>
      </c>
      <c r="Y46" s="69">
        <v>161.441</v>
      </c>
      <c r="Z46" s="75">
        <f t="shared" si="0"/>
        <v>6063.1549999999988</v>
      </c>
    </row>
    <row r="47" spans="1:26" x14ac:dyDescent="0.3">
      <c r="A47" s="68">
        <v>41122</v>
      </c>
      <c r="B47" s="69">
        <v>1916.23</v>
      </c>
      <c r="C47" s="69">
        <v>1522.6869999999999</v>
      </c>
      <c r="D47" s="69">
        <v>30.651</v>
      </c>
      <c r="E47" s="69">
        <v>67.197000000000003</v>
      </c>
      <c r="F47" s="69">
        <v>94.944000000000003</v>
      </c>
      <c r="G47" s="69">
        <v>496.35599999999999</v>
      </c>
      <c r="H47" s="69">
        <v>70.926000000000002</v>
      </c>
      <c r="I47" s="69">
        <v>134.05199999999999</v>
      </c>
      <c r="J47" s="69">
        <v>24.977</v>
      </c>
      <c r="K47" s="69">
        <v>54.456000000000003</v>
      </c>
      <c r="L47" s="69">
        <v>35.442</v>
      </c>
      <c r="M47" s="69">
        <v>29.585000000000001</v>
      </c>
      <c r="N47" s="69">
        <v>244.70599999999999</v>
      </c>
      <c r="O47" s="69">
        <v>96.006</v>
      </c>
      <c r="P47" s="69">
        <v>91.331999999999994</v>
      </c>
      <c r="Q47" s="69">
        <v>101.589</v>
      </c>
      <c r="R47" s="69">
        <v>109.288</v>
      </c>
      <c r="S47" s="69">
        <v>88.283000000000001</v>
      </c>
      <c r="T47" s="69">
        <v>55.887999999999998</v>
      </c>
      <c r="U47" s="69">
        <v>60.646000000000001</v>
      </c>
      <c r="V47" s="69">
        <v>489.654</v>
      </c>
      <c r="W47" s="69">
        <v>47.222000000000001</v>
      </c>
      <c r="X47" s="69">
        <v>37.628999999999998</v>
      </c>
      <c r="Y47" s="69">
        <v>161.20400000000001</v>
      </c>
      <c r="Z47" s="75">
        <f t="shared" si="0"/>
        <v>6060.95</v>
      </c>
    </row>
    <row r="48" spans="1:26" x14ac:dyDescent="0.3">
      <c r="A48" s="68">
        <v>41153</v>
      </c>
      <c r="B48" s="69">
        <v>1914.357</v>
      </c>
      <c r="C48" s="69">
        <v>1521.654</v>
      </c>
      <c r="D48" s="69">
        <v>31.053000000000001</v>
      </c>
      <c r="E48" s="69">
        <v>66.811999999999998</v>
      </c>
      <c r="F48" s="69">
        <v>94.641000000000005</v>
      </c>
      <c r="G48" s="69">
        <v>496.34500000000003</v>
      </c>
      <c r="H48" s="69">
        <v>70.942999999999998</v>
      </c>
      <c r="I48" s="69">
        <v>133.89400000000001</v>
      </c>
      <c r="J48" s="69">
        <v>24.887</v>
      </c>
      <c r="K48" s="69">
        <v>54.988999999999997</v>
      </c>
      <c r="L48" s="69">
        <v>35.363999999999997</v>
      </c>
      <c r="M48" s="69">
        <v>29.972000000000001</v>
      </c>
      <c r="N48" s="69">
        <v>244.672</v>
      </c>
      <c r="O48" s="69">
        <v>96.146000000000001</v>
      </c>
      <c r="P48" s="69">
        <v>91.99</v>
      </c>
      <c r="Q48" s="69">
        <v>101.40900000000001</v>
      </c>
      <c r="R48" s="69">
        <v>109.476</v>
      </c>
      <c r="S48" s="69">
        <v>89.075000000000003</v>
      </c>
      <c r="T48" s="69">
        <v>55.805999999999997</v>
      </c>
      <c r="U48" s="69">
        <v>60.52</v>
      </c>
      <c r="V48" s="69">
        <v>490.25599999999997</v>
      </c>
      <c r="W48" s="69">
        <v>47.448</v>
      </c>
      <c r="X48" s="69">
        <v>37.872999999999998</v>
      </c>
      <c r="Y48" s="69">
        <v>160.708</v>
      </c>
      <c r="Z48" s="75">
        <f t="shared" si="0"/>
        <v>6060.2899999999972</v>
      </c>
    </row>
    <row r="49" spans="1:26" x14ac:dyDescent="0.3">
      <c r="A49" s="68">
        <v>41183</v>
      </c>
      <c r="B49" s="69">
        <v>1916.4860000000001</v>
      </c>
      <c r="C49" s="69">
        <v>1521.8679999999999</v>
      </c>
      <c r="D49" s="69">
        <v>31.163</v>
      </c>
      <c r="E49" s="69">
        <v>66.912000000000006</v>
      </c>
      <c r="F49" s="69">
        <v>94.781999999999996</v>
      </c>
      <c r="G49" s="69">
        <v>496.67899999999997</v>
      </c>
      <c r="H49" s="69">
        <v>70.679000000000002</v>
      </c>
      <c r="I49" s="69">
        <v>134.81200000000001</v>
      </c>
      <c r="J49" s="69">
        <v>24.855</v>
      </c>
      <c r="K49" s="69">
        <v>54.978000000000002</v>
      </c>
      <c r="L49" s="69">
        <v>35.194000000000003</v>
      </c>
      <c r="M49" s="69">
        <v>29.795000000000002</v>
      </c>
      <c r="N49" s="69">
        <v>244.61799999999999</v>
      </c>
      <c r="O49" s="69">
        <v>96.012</v>
      </c>
      <c r="P49" s="69">
        <v>92.298000000000002</v>
      </c>
      <c r="Q49" s="69">
        <v>101.267</v>
      </c>
      <c r="R49" s="69">
        <v>109.226</v>
      </c>
      <c r="S49" s="69">
        <v>89.048000000000002</v>
      </c>
      <c r="T49" s="69">
        <v>55.756999999999998</v>
      </c>
      <c r="U49" s="69">
        <v>60.719000000000001</v>
      </c>
      <c r="V49" s="69">
        <v>490.66300000000001</v>
      </c>
      <c r="W49" s="69">
        <v>47.69</v>
      </c>
      <c r="X49" s="69">
        <v>37.945</v>
      </c>
      <c r="Y49" s="69">
        <v>158.971</v>
      </c>
      <c r="Z49" s="75">
        <f t="shared" si="0"/>
        <v>6062.4169999999995</v>
      </c>
    </row>
    <row r="50" spans="1:26" x14ac:dyDescent="0.3">
      <c r="A50" s="68">
        <v>41214</v>
      </c>
      <c r="B50" s="69">
        <v>1913.895</v>
      </c>
      <c r="C50" s="69">
        <v>1521.0719999999999</v>
      </c>
      <c r="D50" s="69">
        <v>31.1</v>
      </c>
      <c r="E50" s="69">
        <v>67.117999999999995</v>
      </c>
      <c r="F50" s="69">
        <v>94.977999999999994</v>
      </c>
      <c r="G50" s="69">
        <v>498.16</v>
      </c>
      <c r="H50" s="69">
        <v>70.997</v>
      </c>
      <c r="I50" s="69">
        <v>134.816</v>
      </c>
      <c r="J50" s="69">
        <v>24.875</v>
      </c>
      <c r="K50" s="69">
        <v>55.103000000000002</v>
      </c>
      <c r="L50" s="69">
        <v>35.755000000000003</v>
      </c>
      <c r="M50" s="69">
        <v>30.024000000000001</v>
      </c>
      <c r="N50" s="69">
        <v>245.29400000000001</v>
      </c>
      <c r="O50" s="69">
        <v>97.397000000000006</v>
      </c>
      <c r="P50" s="69">
        <v>92.587000000000003</v>
      </c>
      <c r="Q50" s="69">
        <v>101.634</v>
      </c>
      <c r="R50" s="69">
        <v>109.008</v>
      </c>
      <c r="S50" s="69">
        <v>89.513999999999996</v>
      </c>
      <c r="T50" s="69">
        <v>55.686999999999998</v>
      </c>
      <c r="U50" s="69">
        <v>60.54</v>
      </c>
      <c r="V50" s="69">
        <v>489.66500000000002</v>
      </c>
      <c r="W50" s="69">
        <v>48.128</v>
      </c>
      <c r="X50" s="69">
        <v>38.225000000000001</v>
      </c>
      <c r="Y50" s="69">
        <v>158.911</v>
      </c>
      <c r="Z50" s="75">
        <f t="shared" si="0"/>
        <v>6064.4830000000002</v>
      </c>
    </row>
    <row r="51" spans="1:26" x14ac:dyDescent="0.3">
      <c r="A51" s="68">
        <v>41244</v>
      </c>
      <c r="B51" s="69">
        <v>1927.329</v>
      </c>
      <c r="C51" s="69">
        <v>1523.8430000000001</v>
      </c>
      <c r="D51" s="69">
        <v>31.158000000000001</v>
      </c>
      <c r="E51" s="69">
        <v>67.608999999999995</v>
      </c>
      <c r="F51" s="69">
        <v>94.307000000000002</v>
      </c>
      <c r="G51" s="69">
        <v>499.65</v>
      </c>
      <c r="H51" s="69">
        <v>71.275999999999996</v>
      </c>
      <c r="I51" s="69">
        <v>135.49</v>
      </c>
      <c r="J51" s="69">
        <v>25.039000000000001</v>
      </c>
      <c r="K51" s="69">
        <v>54.883000000000003</v>
      </c>
      <c r="L51" s="69">
        <v>36.158999999999999</v>
      </c>
      <c r="M51" s="69">
        <v>30.591999999999999</v>
      </c>
      <c r="N51" s="69">
        <v>245.691</v>
      </c>
      <c r="O51" s="69">
        <v>98.02</v>
      </c>
      <c r="P51" s="69">
        <v>93.028000000000006</v>
      </c>
      <c r="Q51" s="69">
        <v>101.985</v>
      </c>
      <c r="R51" s="69">
        <v>109.16200000000001</v>
      </c>
      <c r="S51" s="69">
        <v>90.55</v>
      </c>
      <c r="T51" s="69">
        <v>55.621000000000002</v>
      </c>
      <c r="U51" s="69">
        <v>60.802</v>
      </c>
      <c r="V51" s="69">
        <v>491.51299999999998</v>
      </c>
      <c r="W51" s="69">
        <v>48.177999999999997</v>
      </c>
      <c r="X51" s="69">
        <v>38.877000000000002</v>
      </c>
      <c r="Y51" s="69">
        <v>159</v>
      </c>
      <c r="Z51" s="75">
        <f t="shared" si="0"/>
        <v>6089.7619999999988</v>
      </c>
    </row>
    <row r="52" spans="1:26" x14ac:dyDescent="0.3">
      <c r="A52" s="68">
        <v>41275</v>
      </c>
      <c r="B52" s="69">
        <v>1924.317</v>
      </c>
      <c r="C52" s="69">
        <v>1523.5219999999999</v>
      </c>
      <c r="D52" s="69">
        <v>31.151</v>
      </c>
      <c r="E52" s="69">
        <v>67.694999999999993</v>
      </c>
      <c r="F52" s="69">
        <v>94.201999999999998</v>
      </c>
      <c r="G52" s="69">
        <v>499.17599999999999</v>
      </c>
      <c r="H52" s="69">
        <v>71.150999999999996</v>
      </c>
      <c r="I52" s="69">
        <v>135.785</v>
      </c>
      <c r="J52" s="69">
        <v>25.277000000000001</v>
      </c>
      <c r="K52" s="69">
        <v>54.604999999999997</v>
      </c>
      <c r="L52" s="69">
        <v>36.585000000000001</v>
      </c>
      <c r="M52" s="69">
        <v>30.559000000000001</v>
      </c>
      <c r="N52" s="69">
        <v>244.97</v>
      </c>
      <c r="O52" s="69">
        <v>99.078000000000003</v>
      </c>
      <c r="P52" s="69">
        <v>93.846999999999994</v>
      </c>
      <c r="Q52" s="69">
        <v>103.54300000000001</v>
      </c>
      <c r="R52" s="69">
        <v>109.054</v>
      </c>
      <c r="S52" s="69">
        <v>90.87</v>
      </c>
      <c r="T52" s="69">
        <v>55.411000000000001</v>
      </c>
      <c r="U52" s="69">
        <v>60.677</v>
      </c>
      <c r="V52" s="69">
        <v>492.79399999999998</v>
      </c>
      <c r="W52" s="69">
        <v>48.161999999999999</v>
      </c>
      <c r="X52" s="69">
        <v>39.271000000000001</v>
      </c>
      <c r="Y52" s="69">
        <v>159.35499999999999</v>
      </c>
      <c r="Z52" s="75">
        <f t="shared" si="0"/>
        <v>6091.0569999999989</v>
      </c>
    </row>
    <row r="53" spans="1:26" x14ac:dyDescent="0.3">
      <c r="A53" s="68">
        <v>41306</v>
      </c>
      <c r="B53" s="69">
        <v>1927.0630000000001</v>
      </c>
      <c r="C53" s="69">
        <v>1522.6780000000001</v>
      </c>
      <c r="D53" s="69">
        <v>31.53</v>
      </c>
      <c r="E53" s="69">
        <v>68.206000000000003</v>
      </c>
      <c r="F53" s="69">
        <v>94.405000000000001</v>
      </c>
      <c r="G53" s="69">
        <v>499.38400000000001</v>
      </c>
      <c r="H53" s="69">
        <v>71.218999999999994</v>
      </c>
      <c r="I53" s="69">
        <v>135.679</v>
      </c>
      <c r="J53" s="69">
        <v>25.364000000000001</v>
      </c>
      <c r="K53" s="69">
        <v>54.436</v>
      </c>
      <c r="L53" s="69">
        <v>36.491999999999997</v>
      </c>
      <c r="M53" s="69">
        <v>30.873999999999999</v>
      </c>
      <c r="N53" s="69">
        <v>247.26499999999999</v>
      </c>
      <c r="O53" s="69">
        <v>99.733000000000004</v>
      </c>
      <c r="P53" s="69">
        <v>94.51</v>
      </c>
      <c r="Q53" s="69">
        <v>102.68300000000001</v>
      </c>
      <c r="R53" s="69">
        <v>108.44</v>
      </c>
      <c r="S53" s="69">
        <v>91.858999999999995</v>
      </c>
      <c r="T53" s="69">
        <v>55.445</v>
      </c>
      <c r="U53" s="69">
        <v>61.164999999999999</v>
      </c>
      <c r="V53" s="69">
        <v>493.88299999999998</v>
      </c>
      <c r="W53" s="69">
        <v>48.167000000000002</v>
      </c>
      <c r="X53" s="69">
        <v>39.53</v>
      </c>
      <c r="Y53" s="69">
        <v>159.27600000000001</v>
      </c>
      <c r="Z53" s="75">
        <f t="shared" si="0"/>
        <v>6099.2860000000001</v>
      </c>
    </row>
    <row r="54" spans="1:26" x14ac:dyDescent="0.3">
      <c r="A54" s="68">
        <v>41334</v>
      </c>
      <c r="B54" s="69">
        <v>1928.2729999999999</v>
      </c>
      <c r="C54" s="69">
        <v>1520.931</v>
      </c>
      <c r="D54" s="69">
        <v>31.44</v>
      </c>
      <c r="E54" s="69">
        <v>68.497</v>
      </c>
      <c r="F54" s="69">
        <v>93.938999999999993</v>
      </c>
      <c r="G54" s="69">
        <v>500.40899999999999</v>
      </c>
      <c r="H54" s="69">
        <v>71.177000000000007</v>
      </c>
      <c r="I54" s="69">
        <v>135.40100000000001</v>
      </c>
      <c r="J54" s="69">
        <v>25.367000000000001</v>
      </c>
      <c r="K54" s="69">
        <v>54.201000000000001</v>
      </c>
      <c r="L54" s="69">
        <v>36.445</v>
      </c>
      <c r="M54" s="69">
        <v>31.131</v>
      </c>
      <c r="N54" s="69">
        <v>249.30099999999999</v>
      </c>
      <c r="O54" s="69">
        <v>99.775000000000006</v>
      </c>
      <c r="P54" s="69">
        <v>94.977000000000004</v>
      </c>
      <c r="Q54" s="69">
        <v>102.929</v>
      </c>
      <c r="R54" s="69">
        <v>108.178</v>
      </c>
      <c r="S54" s="69">
        <v>92.662000000000006</v>
      </c>
      <c r="T54" s="69">
        <v>55.802</v>
      </c>
      <c r="U54" s="69">
        <v>61.234999999999999</v>
      </c>
      <c r="V54" s="69">
        <v>494.399</v>
      </c>
      <c r="W54" s="69">
        <v>48.823999999999998</v>
      </c>
      <c r="X54" s="69">
        <v>39.872</v>
      </c>
      <c r="Y54" s="69">
        <v>161.584</v>
      </c>
      <c r="Z54" s="75">
        <f t="shared" si="0"/>
        <v>6106.7489999999989</v>
      </c>
    </row>
    <row r="55" spans="1:26" x14ac:dyDescent="0.3">
      <c r="A55" s="68">
        <v>41365</v>
      </c>
      <c r="B55" s="69">
        <v>1928.8510000000001</v>
      </c>
      <c r="C55" s="69">
        <v>1521.5540000000001</v>
      </c>
      <c r="D55" s="69">
        <v>31.773</v>
      </c>
      <c r="E55" s="69">
        <v>68.843999999999994</v>
      </c>
      <c r="F55" s="69">
        <v>94.302000000000007</v>
      </c>
      <c r="G55" s="69">
        <v>501.11700000000002</v>
      </c>
      <c r="H55" s="69">
        <v>71.210999999999999</v>
      </c>
      <c r="I55" s="69">
        <v>135.791</v>
      </c>
      <c r="J55" s="69">
        <v>25.553000000000001</v>
      </c>
      <c r="K55" s="69">
        <v>55.966000000000001</v>
      </c>
      <c r="L55" s="69">
        <v>36.478000000000002</v>
      </c>
      <c r="M55" s="69">
        <v>31.074000000000002</v>
      </c>
      <c r="N55" s="69">
        <v>250.42</v>
      </c>
      <c r="O55" s="69">
        <v>99.620999999999995</v>
      </c>
      <c r="P55" s="69">
        <v>95.194999999999993</v>
      </c>
      <c r="Q55" s="69">
        <v>102.395</v>
      </c>
      <c r="R55" s="69">
        <v>108.574</v>
      </c>
      <c r="S55" s="69">
        <v>93.350999999999999</v>
      </c>
      <c r="T55" s="69">
        <v>56.295000000000002</v>
      </c>
      <c r="U55" s="69">
        <v>61.296999999999997</v>
      </c>
      <c r="V55" s="69">
        <v>494.786</v>
      </c>
      <c r="W55" s="69">
        <v>49.012999999999998</v>
      </c>
      <c r="X55" s="69">
        <v>39.667999999999999</v>
      </c>
      <c r="Y55" s="69">
        <v>163.40799999999999</v>
      </c>
      <c r="Z55" s="75">
        <f t="shared" si="0"/>
        <v>6116.5370000000003</v>
      </c>
    </row>
    <row r="56" spans="1:26" x14ac:dyDescent="0.3">
      <c r="A56" s="68">
        <v>41395</v>
      </c>
      <c r="B56" s="69">
        <v>1928.3989999999999</v>
      </c>
      <c r="C56" s="69">
        <v>1520.1780000000001</v>
      </c>
      <c r="D56" s="69">
        <v>31.811</v>
      </c>
      <c r="E56" s="69">
        <v>69.036000000000001</v>
      </c>
      <c r="F56" s="69">
        <v>94.623999999999995</v>
      </c>
      <c r="G56" s="69">
        <v>501.15600000000001</v>
      </c>
      <c r="H56" s="69">
        <v>71.025999999999996</v>
      </c>
      <c r="I56" s="69">
        <v>135.154</v>
      </c>
      <c r="J56" s="69">
        <v>25.625</v>
      </c>
      <c r="K56" s="69">
        <v>56.238999999999997</v>
      </c>
      <c r="L56" s="69">
        <v>36.506</v>
      </c>
      <c r="M56" s="69">
        <v>30.766999999999999</v>
      </c>
      <c r="N56" s="69">
        <v>246.28</v>
      </c>
      <c r="O56" s="69">
        <v>99.84</v>
      </c>
      <c r="P56" s="69">
        <v>95.569000000000003</v>
      </c>
      <c r="Q56" s="69">
        <v>104.124</v>
      </c>
      <c r="R56" s="69">
        <v>108.80800000000001</v>
      </c>
      <c r="S56" s="69">
        <v>92.716999999999999</v>
      </c>
      <c r="T56" s="69">
        <v>56.170999999999999</v>
      </c>
      <c r="U56" s="69">
        <v>61.098999999999997</v>
      </c>
      <c r="V56" s="69">
        <v>496.30399999999997</v>
      </c>
      <c r="W56" s="69">
        <v>48.957999999999998</v>
      </c>
      <c r="X56" s="69">
        <v>39.905000000000001</v>
      </c>
      <c r="Y56" s="69">
        <v>160.87799999999999</v>
      </c>
      <c r="Z56" s="75">
        <f t="shared" si="0"/>
        <v>6111.1739999999991</v>
      </c>
    </row>
    <row r="57" spans="1:26" x14ac:dyDescent="0.3">
      <c r="A57" s="68">
        <v>41426</v>
      </c>
      <c r="B57" s="69">
        <v>1926.5429999999999</v>
      </c>
      <c r="C57" s="69">
        <v>1520.847</v>
      </c>
      <c r="D57" s="69">
        <v>31.896999999999998</v>
      </c>
      <c r="E57" s="69">
        <v>69.614999999999995</v>
      </c>
      <c r="F57" s="69">
        <v>93.95</v>
      </c>
      <c r="G57" s="69">
        <v>501.274</v>
      </c>
      <c r="H57" s="69">
        <v>71.046000000000006</v>
      </c>
      <c r="I57" s="69">
        <v>135.541</v>
      </c>
      <c r="J57" s="69">
        <v>25.481999999999999</v>
      </c>
      <c r="K57" s="69">
        <v>56.15</v>
      </c>
      <c r="L57" s="69">
        <v>36.451000000000001</v>
      </c>
      <c r="M57" s="69">
        <v>31.29</v>
      </c>
      <c r="N57" s="69">
        <v>243.18100000000001</v>
      </c>
      <c r="O57" s="69">
        <v>100.271</v>
      </c>
      <c r="P57" s="69">
        <v>95.929000000000002</v>
      </c>
      <c r="Q57" s="69">
        <v>104.423</v>
      </c>
      <c r="R57" s="69">
        <v>108.39400000000001</v>
      </c>
      <c r="S57" s="69">
        <v>91.85</v>
      </c>
      <c r="T57" s="69">
        <v>56.244999999999997</v>
      </c>
      <c r="U57" s="69">
        <v>60.780999999999999</v>
      </c>
      <c r="V57" s="69">
        <v>495.03699999999998</v>
      </c>
      <c r="W57" s="69">
        <v>48.981000000000002</v>
      </c>
      <c r="X57" s="69">
        <v>40.084000000000003</v>
      </c>
      <c r="Y57" s="69">
        <v>158.96</v>
      </c>
      <c r="Z57" s="75">
        <f t="shared" si="0"/>
        <v>6104.2219999999988</v>
      </c>
    </row>
    <row r="58" spans="1:26" x14ac:dyDescent="0.3">
      <c r="A58" s="68">
        <v>41456</v>
      </c>
      <c r="B58" s="69">
        <v>1927.2619999999999</v>
      </c>
      <c r="C58" s="69">
        <v>1520.693</v>
      </c>
      <c r="D58" s="69">
        <v>32.109000000000002</v>
      </c>
      <c r="E58" s="69">
        <v>70.441000000000003</v>
      </c>
      <c r="F58" s="69">
        <v>94.542000000000002</v>
      </c>
      <c r="G58" s="69">
        <v>502.16300000000001</v>
      </c>
      <c r="H58" s="69">
        <v>70.974999999999994</v>
      </c>
      <c r="I58" s="69">
        <v>135.66999999999999</v>
      </c>
      <c r="J58" s="69">
        <v>25.818999999999999</v>
      </c>
      <c r="K58" s="69">
        <v>56.247999999999998</v>
      </c>
      <c r="L58" s="69">
        <v>36.499000000000002</v>
      </c>
      <c r="M58" s="69">
        <v>31.585999999999999</v>
      </c>
      <c r="N58" s="69">
        <v>243.73</v>
      </c>
      <c r="O58" s="69">
        <v>100.46299999999999</v>
      </c>
      <c r="P58" s="69">
        <v>97.072999999999993</v>
      </c>
      <c r="Q58" s="69">
        <v>105.03100000000001</v>
      </c>
      <c r="R58" s="69">
        <v>108.821</v>
      </c>
      <c r="S58" s="69">
        <v>91.361000000000004</v>
      </c>
      <c r="T58" s="69">
        <v>56.564999999999998</v>
      </c>
      <c r="U58" s="69">
        <v>60.796999999999997</v>
      </c>
      <c r="V58" s="69">
        <v>495.327</v>
      </c>
      <c r="W58" s="69">
        <v>48.863999999999997</v>
      </c>
      <c r="X58" s="69">
        <v>40.116</v>
      </c>
      <c r="Y58" s="69">
        <v>158.935</v>
      </c>
      <c r="Z58" s="75">
        <f t="shared" si="0"/>
        <v>6111.0899999999983</v>
      </c>
    </row>
    <row r="59" spans="1:26" x14ac:dyDescent="0.3">
      <c r="A59" s="68">
        <v>41487</v>
      </c>
      <c r="B59" s="69">
        <v>1935.4559999999999</v>
      </c>
      <c r="C59" s="69">
        <v>1519.816</v>
      </c>
      <c r="D59" s="69">
        <v>32.533999999999999</v>
      </c>
      <c r="E59" s="69">
        <v>72.037999999999997</v>
      </c>
      <c r="F59" s="69">
        <v>94.793000000000006</v>
      </c>
      <c r="G59" s="69">
        <v>502.81</v>
      </c>
      <c r="H59" s="69">
        <v>71.489000000000004</v>
      </c>
      <c r="I59" s="69">
        <v>136.09299999999999</v>
      </c>
      <c r="J59" s="69">
        <v>25.907</v>
      </c>
      <c r="K59" s="69">
        <v>56.429000000000002</v>
      </c>
      <c r="L59" s="69">
        <v>36.612000000000002</v>
      </c>
      <c r="M59" s="69">
        <v>31.385999999999999</v>
      </c>
      <c r="N59" s="69">
        <v>244.55500000000001</v>
      </c>
      <c r="O59" s="69">
        <v>100.428</v>
      </c>
      <c r="P59" s="69">
        <v>97.66</v>
      </c>
      <c r="Q59" s="69">
        <v>104.696</v>
      </c>
      <c r="R59" s="69">
        <v>110.09099999999999</v>
      </c>
      <c r="S59" s="69">
        <v>90.009</v>
      </c>
      <c r="T59" s="69">
        <v>56.792000000000002</v>
      </c>
      <c r="U59" s="69">
        <v>60.790999999999997</v>
      </c>
      <c r="V59" s="69">
        <v>495.64400000000001</v>
      </c>
      <c r="W59" s="69">
        <v>48.726999999999997</v>
      </c>
      <c r="X59" s="69">
        <v>40.311</v>
      </c>
      <c r="Y59" s="69">
        <v>157.93799999999999</v>
      </c>
      <c r="Z59" s="75">
        <f t="shared" si="0"/>
        <v>6123.005000000001</v>
      </c>
    </row>
    <row r="60" spans="1:26" x14ac:dyDescent="0.3">
      <c r="A60" s="68">
        <v>41518</v>
      </c>
      <c r="B60" s="69">
        <v>1932.98</v>
      </c>
      <c r="C60" s="69">
        <v>1519.2760000000001</v>
      </c>
      <c r="D60" s="69">
        <v>32.057000000000002</v>
      </c>
      <c r="E60" s="69">
        <v>72.13</v>
      </c>
      <c r="F60" s="69">
        <v>94.954999999999998</v>
      </c>
      <c r="G60" s="69">
        <v>503.16800000000001</v>
      </c>
      <c r="H60" s="69">
        <v>71.055000000000007</v>
      </c>
      <c r="I60" s="69">
        <v>135.066</v>
      </c>
      <c r="J60" s="69">
        <v>25.751999999999999</v>
      </c>
      <c r="K60" s="69">
        <v>56.154000000000003</v>
      </c>
      <c r="L60" s="69">
        <v>36.36</v>
      </c>
      <c r="M60" s="69">
        <v>31.428999999999998</v>
      </c>
      <c r="N60" s="69">
        <v>244.39400000000001</v>
      </c>
      <c r="O60" s="69">
        <v>100.79300000000001</v>
      </c>
      <c r="P60" s="69">
        <v>97.81</v>
      </c>
      <c r="Q60" s="69">
        <v>104.776</v>
      </c>
      <c r="R60" s="69">
        <v>109.657</v>
      </c>
      <c r="S60" s="69">
        <v>88.697999999999993</v>
      </c>
      <c r="T60" s="69">
        <v>56.883000000000003</v>
      </c>
      <c r="U60" s="69">
        <v>60.744</v>
      </c>
      <c r="V60" s="69">
        <v>495.452</v>
      </c>
      <c r="W60" s="69">
        <v>48.875999999999998</v>
      </c>
      <c r="X60" s="69">
        <v>40.283999999999999</v>
      </c>
      <c r="Y60" s="69">
        <v>158.24799999999999</v>
      </c>
      <c r="Z60" s="75">
        <f t="shared" si="0"/>
        <v>6116.9970000000003</v>
      </c>
    </row>
    <row r="61" spans="1:26" x14ac:dyDescent="0.3">
      <c r="A61" s="68">
        <v>41548</v>
      </c>
      <c r="B61" s="69">
        <v>1931.135</v>
      </c>
      <c r="C61" s="69">
        <v>1519.4559999999999</v>
      </c>
      <c r="D61" s="69">
        <v>31.908999999999999</v>
      </c>
      <c r="E61" s="69">
        <v>72.941000000000003</v>
      </c>
      <c r="F61" s="69">
        <v>95.626999999999995</v>
      </c>
      <c r="G61" s="69">
        <v>503.7</v>
      </c>
      <c r="H61" s="69">
        <v>71.296999999999997</v>
      </c>
      <c r="I61" s="69">
        <v>132.70699999999999</v>
      </c>
      <c r="J61" s="69">
        <v>26.666</v>
      </c>
      <c r="K61" s="69">
        <v>55.948</v>
      </c>
      <c r="L61" s="69">
        <v>36.243000000000002</v>
      </c>
      <c r="M61" s="69">
        <v>31.364000000000001</v>
      </c>
      <c r="N61" s="69">
        <v>242.80699999999999</v>
      </c>
      <c r="O61" s="69">
        <v>101.51</v>
      </c>
      <c r="P61" s="69">
        <v>98.037999999999997</v>
      </c>
      <c r="Q61" s="69">
        <v>104.414</v>
      </c>
      <c r="R61" s="69">
        <v>111.934</v>
      </c>
      <c r="S61" s="69">
        <v>91.436000000000007</v>
      </c>
      <c r="T61" s="69">
        <v>57.061</v>
      </c>
      <c r="U61" s="69">
        <v>60.790999999999997</v>
      </c>
      <c r="V61" s="69">
        <v>495.46600000000001</v>
      </c>
      <c r="W61" s="69">
        <v>50.720999999999997</v>
      </c>
      <c r="X61" s="69">
        <v>40.465000000000003</v>
      </c>
      <c r="Y61" s="69">
        <v>151.61699999999999</v>
      </c>
      <c r="Z61" s="75">
        <f t="shared" si="0"/>
        <v>6115.2529999999997</v>
      </c>
    </row>
    <row r="62" spans="1:26" x14ac:dyDescent="0.3">
      <c r="A62" s="68">
        <v>41579</v>
      </c>
      <c r="B62" s="69">
        <v>1933.135</v>
      </c>
      <c r="C62" s="69">
        <v>1519.403</v>
      </c>
      <c r="D62" s="69">
        <v>31.571999999999999</v>
      </c>
      <c r="E62" s="69">
        <v>73.831000000000003</v>
      </c>
      <c r="F62" s="69">
        <v>95.67</v>
      </c>
      <c r="G62" s="69">
        <v>502.75099999999998</v>
      </c>
      <c r="H62" s="69">
        <v>71.465999999999994</v>
      </c>
      <c r="I62" s="69">
        <v>133.286</v>
      </c>
      <c r="J62" s="69">
        <v>27.317</v>
      </c>
      <c r="K62" s="69">
        <v>56.371000000000002</v>
      </c>
      <c r="L62" s="69">
        <v>36.14</v>
      </c>
      <c r="M62" s="69">
        <v>31.19</v>
      </c>
      <c r="N62" s="69">
        <v>241.99799999999999</v>
      </c>
      <c r="O62" s="69">
        <v>102.40600000000001</v>
      </c>
      <c r="P62" s="69">
        <v>99.006</v>
      </c>
      <c r="Q62" s="69">
        <v>103.633</v>
      </c>
      <c r="R62" s="69">
        <v>112.645</v>
      </c>
      <c r="S62" s="69">
        <v>87.174999999999997</v>
      </c>
      <c r="T62" s="69">
        <v>57.350999999999999</v>
      </c>
      <c r="U62" s="69">
        <v>61.198999999999998</v>
      </c>
      <c r="V62" s="69">
        <v>496.07799999999997</v>
      </c>
      <c r="W62" s="69">
        <v>50.872</v>
      </c>
      <c r="X62" s="69">
        <v>40.427</v>
      </c>
      <c r="Y62" s="69">
        <v>156.94999999999999</v>
      </c>
      <c r="Z62" s="75">
        <f t="shared" si="0"/>
        <v>6121.8719999999994</v>
      </c>
    </row>
    <row r="63" spans="1:26" x14ac:dyDescent="0.3">
      <c r="A63" s="68">
        <v>41609</v>
      </c>
      <c r="B63" s="69">
        <v>1935.1590000000001</v>
      </c>
      <c r="C63" s="69">
        <v>1519.077</v>
      </c>
      <c r="D63" s="69">
        <v>31.882000000000001</v>
      </c>
      <c r="E63" s="69">
        <v>72.944000000000003</v>
      </c>
      <c r="F63" s="69">
        <v>96.153999999999996</v>
      </c>
      <c r="G63" s="69">
        <v>501.15100000000001</v>
      </c>
      <c r="H63" s="69">
        <v>71.697999999999993</v>
      </c>
      <c r="I63" s="69">
        <v>135.21700000000001</v>
      </c>
      <c r="J63" s="69">
        <v>27.344000000000001</v>
      </c>
      <c r="K63" s="69">
        <v>56.235999999999997</v>
      </c>
      <c r="L63" s="69">
        <v>36.021999999999998</v>
      </c>
      <c r="M63" s="69">
        <v>31.527000000000001</v>
      </c>
      <c r="N63" s="69">
        <v>242.11600000000001</v>
      </c>
      <c r="O63" s="69">
        <v>101.221</v>
      </c>
      <c r="P63" s="69">
        <v>99.903000000000006</v>
      </c>
      <c r="Q63" s="69">
        <v>104.773</v>
      </c>
      <c r="R63" s="69">
        <v>111.75700000000001</v>
      </c>
      <c r="S63" s="69">
        <v>86.051000000000002</v>
      </c>
      <c r="T63" s="69">
        <v>57.146000000000001</v>
      </c>
      <c r="U63" s="69">
        <v>61.133000000000003</v>
      </c>
      <c r="V63" s="69">
        <v>495.98899999999998</v>
      </c>
      <c r="W63" s="69">
        <v>51.003</v>
      </c>
      <c r="X63" s="69">
        <v>40.317999999999998</v>
      </c>
      <c r="Y63" s="69">
        <v>156.00800000000001</v>
      </c>
      <c r="Z63" s="75">
        <f t="shared" si="0"/>
        <v>6121.8289999999988</v>
      </c>
    </row>
    <row r="64" spans="1:26" x14ac:dyDescent="0.3">
      <c r="A64" s="68">
        <v>41640</v>
      </c>
      <c r="B64" s="69">
        <v>1930.2550000000001</v>
      </c>
      <c r="C64" s="69">
        <v>1519.809</v>
      </c>
      <c r="D64" s="69">
        <v>31.36</v>
      </c>
      <c r="E64" s="69">
        <v>72.95</v>
      </c>
      <c r="F64" s="69">
        <v>96.566999999999993</v>
      </c>
      <c r="G64" s="69">
        <v>500.63299999999998</v>
      </c>
      <c r="H64" s="69">
        <v>71.77</v>
      </c>
      <c r="I64" s="69">
        <v>135.80600000000001</v>
      </c>
      <c r="J64" s="69">
        <v>27.692</v>
      </c>
      <c r="K64" s="69">
        <v>55.933999999999997</v>
      </c>
      <c r="L64" s="69">
        <v>35.81</v>
      </c>
      <c r="M64" s="69">
        <v>30.943000000000001</v>
      </c>
      <c r="N64" s="69">
        <v>240.51599999999999</v>
      </c>
      <c r="O64" s="69">
        <v>101.11799999999999</v>
      </c>
      <c r="P64" s="69">
        <v>101.285</v>
      </c>
      <c r="Q64" s="69">
        <v>105.134</v>
      </c>
      <c r="R64" s="69">
        <v>114.033</v>
      </c>
      <c r="S64" s="69">
        <v>84.251999999999995</v>
      </c>
      <c r="T64" s="69">
        <v>57.798999999999999</v>
      </c>
      <c r="U64" s="69">
        <v>60.363999999999997</v>
      </c>
      <c r="V64" s="69">
        <v>495.61799999999999</v>
      </c>
      <c r="W64" s="69">
        <v>51.344999999999999</v>
      </c>
      <c r="X64" s="69">
        <v>39.372999999999998</v>
      </c>
      <c r="Y64" s="69">
        <v>156.452</v>
      </c>
      <c r="Z64" s="75">
        <f t="shared" si="0"/>
        <v>6116.818000000002</v>
      </c>
    </row>
    <row r="65" spans="1:26" x14ac:dyDescent="0.3">
      <c r="A65" s="68">
        <v>41671</v>
      </c>
      <c r="B65" s="69">
        <v>1931.079</v>
      </c>
      <c r="C65" s="69">
        <v>1518.3050000000001</v>
      </c>
      <c r="D65" s="69">
        <v>31.274000000000001</v>
      </c>
      <c r="E65" s="69">
        <v>72.966999999999999</v>
      </c>
      <c r="F65" s="69">
        <v>97.040999999999997</v>
      </c>
      <c r="G65" s="69">
        <v>499.92500000000001</v>
      </c>
      <c r="H65" s="69">
        <v>71.870999999999995</v>
      </c>
      <c r="I65" s="69">
        <v>135.33799999999999</v>
      </c>
      <c r="J65" s="69">
        <v>27.434000000000001</v>
      </c>
      <c r="K65" s="69">
        <v>56.045000000000002</v>
      </c>
      <c r="L65" s="69">
        <v>35.698</v>
      </c>
      <c r="M65" s="69">
        <v>29.398</v>
      </c>
      <c r="N65" s="69">
        <v>240.655</v>
      </c>
      <c r="O65" s="69">
        <v>101.128</v>
      </c>
      <c r="P65" s="69">
        <v>101.81399999999999</v>
      </c>
      <c r="Q65" s="69">
        <v>104.675</v>
      </c>
      <c r="R65" s="69">
        <v>113.35</v>
      </c>
      <c r="S65" s="69">
        <v>83.843999999999994</v>
      </c>
      <c r="T65" s="69">
        <v>57.509</v>
      </c>
      <c r="U65" s="69">
        <v>61.11</v>
      </c>
      <c r="V65" s="69">
        <v>494.51100000000002</v>
      </c>
      <c r="W65" s="69">
        <v>51.427999999999997</v>
      </c>
      <c r="X65" s="69">
        <v>38.701999999999998</v>
      </c>
      <c r="Y65" s="69">
        <v>156.45400000000001</v>
      </c>
      <c r="Z65" s="75">
        <f t="shared" si="0"/>
        <v>6111.5550000000012</v>
      </c>
    </row>
    <row r="66" spans="1:26" x14ac:dyDescent="0.3">
      <c r="A66" s="68">
        <v>41699</v>
      </c>
      <c r="B66" s="69">
        <v>1926.9849999999999</v>
      </c>
      <c r="C66" s="69">
        <v>1514.3389999999999</v>
      </c>
      <c r="D66" s="69">
        <v>30.98</v>
      </c>
      <c r="E66" s="69">
        <v>72.548000000000002</v>
      </c>
      <c r="F66" s="69">
        <v>96.340999999999994</v>
      </c>
      <c r="G66" s="69">
        <v>496.2</v>
      </c>
      <c r="H66" s="69">
        <v>71.466999999999999</v>
      </c>
      <c r="I66" s="69">
        <v>135.38200000000001</v>
      </c>
      <c r="J66" s="69">
        <v>27.302</v>
      </c>
      <c r="K66" s="69">
        <v>56.15</v>
      </c>
      <c r="L66" s="69">
        <v>35.698999999999998</v>
      </c>
      <c r="M66" s="69">
        <v>29.196000000000002</v>
      </c>
      <c r="N66" s="69">
        <v>241.863</v>
      </c>
      <c r="O66" s="69">
        <v>101.18600000000001</v>
      </c>
      <c r="P66" s="69">
        <v>102.16200000000001</v>
      </c>
      <c r="Q66" s="69">
        <v>104.496</v>
      </c>
      <c r="R66" s="69">
        <v>113.629</v>
      </c>
      <c r="S66" s="69">
        <v>85.438000000000002</v>
      </c>
      <c r="T66" s="69">
        <v>56.899000000000001</v>
      </c>
      <c r="U66" s="69">
        <v>61.125999999999998</v>
      </c>
      <c r="V66" s="69">
        <v>492.613</v>
      </c>
      <c r="W66" s="69">
        <v>51.21</v>
      </c>
      <c r="X66" s="69">
        <v>38.857999999999997</v>
      </c>
      <c r="Y66" s="69">
        <v>153.34700000000001</v>
      </c>
      <c r="Z66" s="75">
        <f t="shared" si="0"/>
        <v>6095.4159999999993</v>
      </c>
    </row>
    <row r="67" spans="1:26" x14ac:dyDescent="0.3">
      <c r="A67" s="68">
        <v>41730</v>
      </c>
      <c r="B67" s="69">
        <v>1927.9369999999999</v>
      </c>
      <c r="C67" s="69">
        <v>1513.4190000000001</v>
      </c>
      <c r="D67" s="69">
        <v>31.334</v>
      </c>
      <c r="E67" s="69">
        <v>72.616</v>
      </c>
      <c r="F67" s="69">
        <v>96.878</v>
      </c>
      <c r="G67" s="69">
        <v>495.26400000000001</v>
      </c>
      <c r="H67" s="69">
        <v>71.611999999999995</v>
      </c>
      <c r="I67" s="69">
        <v>135.733</v>
      </c>
      <c r="J67" s="69">
        <v>27.283000000000001</v>
      </c>
      <c r="K67" s="69">
        <v>56.057000000000002</v>
      </c>
      <c r="L67" s="69">
        <v>35.710999999999999</v>
      </c>
      <c r="M67" s="69">
        <v>29.707999999999998</v>
      </c>
      <c r="N67" s="69">
        <v>244.54499999999999</v>
      </c>
      <c r="O67" s="69">
        <v>100.887</v>
      </c>
      <c r="P67" s="69">
        <v>102.449</v>
      </c>
      <c r="Q67" s="69">
        <v>104.717</v>
      </c>
      <c r="R67" s="69">
        <v>112.54900000000001</v>
      </c>
      <c r="S67" s="69">
        <v>82.117000000000004</v>
      </c>
      <c r="T67" s="69">
        <v>57.018000000000001</v>
      </c>
      <c r="U67" s="69">
        <v>61.695</v>
      </c>
      <c r="V67" s="69">
        <v>494.10399999999998</v>
      </c>
      <c r="W67" s="69">
        <v>52.256999999999998</v>
      </c>
      <c r="X67" s="69">
        <v>38.938000000000002</v>
      </c>
      <c r="Y67" s="69">
        <v>151.50399999999999</v>
      </c>
      <c r="Z67" s="75">
        <f t="shared" si="0"/>
        <v>6096.3319999999985</v>
      </c>
    </row>
    <row r="68" spans="1:26" x14ac:dyDescent="0.3">
      <c r="A68" s="68">
        <v>41760</v>
      </c>
      <c r="B68" s="69">
        <v>1929.13</v>
      </c>
      <c r="C68" s="69">
        <v>1513.8710000000001</v>
      </c>
      <c r="D68" s="69">
        <v>31.856999999999999</v>
      </c>
      <c r="E68" s="69">
        <v>72.674999999999997</v>
      </c>
      <c r="F68" s="69">
        <v>97.662000000000006</v>
      </c>
      <c r="G68" s="69">
        <v>496.39</v>
      </c>
      <c r="H68" s="69">
        <v>71.811000000000007</v>
      </c>
      <c r="I68" s="69">
        <v>135.679</v>
      </c>
      <c r="J68" s="69">
        <v>27.311</v>
      </c>
      <c r="K68" s="69">
        <v>56.095999999999997</v>
      </c>
      <c r="L68" s="69">
        <v>35.642000000000003</v>
      </c>
      <c r="M68" s="69">
        <v>29.673999999999999</v>
      </c>
      <c r="N68" s="69">
        <v>242.42500000000001</v>
      </c>
      <c r="O68" s="69">
        <v>101.07299999999999</v>
      </c>
      <c r="P68" s="69">
        <v>103.294</v>
      </c>
      <c r="Q68" s="69">
        <v>105.31699999999999</v>
      </c>
      <c r="R68" s="69">
        <v>114.005</v>
      </c>
      <c r="S68" s="69">
        <v>81.78</v>
      </c>
      <c r="T68" s="69">
        <v>57.167000000000002</v>
      </c>
      <c r="U68" s="69">
        <v>62.125999999999998</v>
      </c>
      <c r="V68" s="69">
        <v>494.91199999999998</v>
      </c>
      <c r="W68" s="69">
        <v>51.924999999999997</v>
      </c>
      <c r="X68" s="69">
        <v>38.75</v>
      </c>
      <c r="Y68" s="69">
        <v>153.71799999999999</v>
      </c>
      <c r="Z68" s="75">
        <f t="shared" si="0"/>
        <v>6104.29</v>
      </c>
    </row>
    <row r="69" spans="1:26" x14ac:dyDescent="0.3">
      <c r="A69" s="68">
        <v>41791</v>
      </c>
      <c r="B69" s="69">
        <v>1929.4680000000001</v>
      </c>
      <c r="C69" s="69">
        <v>1513.059</v>
      </c>
      <c r="D69" s="69">
        <v>31.888999999999999</v>
      </c>
      <c r="E69" s="69">
        <v>73.018000000000001</v>
      </c>
      <c r="F69" s="69">
        <v>98.231999999999999</v>
      </c>
      <c r="G69" s="69">
        <v>496.50299999999999</v>
      </c>
      <c r="H69" s="69">
        <v>71.730999999999995</v>
      </c>
      <c r="I69" s="69">
        <v>136.08000000000001</v>
      </c>
      <c r="J69" s="69">
        <v>27.341000000000001</v>
      </c>
      <c r="K69" s="69">
        <v>56.427</v>
      </c>
      <c r="L69" s="69">
        <v>35.765999999999998</v>
      </c>
      <c r="M69" s="69">
        <v>30.009</v>
      </c>
      <c r="N69" s="69">
        <v>242.54300000000001</v>
      </c>
      <c r="O69" s="69">
        <v>101.099</v>
      </c>
      <c r="P69" s="69">
        <v>103.815</v>
      </c>
      <c r="Q69" s="69">
        <v>105.863</v>
      </c>
      <c r="R69" s="69">
        <v>114.373</v>
      </c>
      <c r="S69" s="69">
        <v>81.614000000000004</v>
      </c>
      <c r="T69" s="69">
        <v>57.625999999999998</v>
      </c>
      <c r="U69" s="69">
        <v>62.542999999999999</v>
      </c>
      <c r="V69" s="69">
        <v>495.464</v>
      </c>
      <c r="W69" s="69">
        <v>52.154000000000003</v>
      </c>
      <c r="X69" s="69">
        <v>38.808999999999997</v>
      </c>
      <c r="Y69" s="69">
        <v>155.291</v>
      </c>
      <c r="Z69" s="75">
        <f t="shared" ref="Z69:Z132" si="1">SUM(B69:Y69)</f>
        <v>6110.7169999999987</v>
      </c>
    </row>
    <row r="70" spans="1:26" x14ac:dyDescent="0.3">
      <c r="A70" s="68">
        <v>41821</v>
      </c>
      <c r="B70" s="69">
        <v>1928.04</v>
      </c>
      <c r="C70" s="69">
        <v>1511.0429999999999</v>
      </c>
      <c r="D70" s="69">
        <v>32.085000000000001</v>
      </c>
      <c r="E70" s="69">
        <v>73.013999999999996</v>
      </c>
      <c r="F70" s="69">
        <v>98.418000000000006</v>
      </c>
      <c r="G70" s="69">
        <v>496.32400000000001</v>
      </c>
      <c r="H70" s="69">
        <v>71.453000000000003</v>
      </c>
      <c r="I70" s="69">
        <v>135.578</v>
      </c>
      <c r="J70" s="69">
        <v>27.221</v>
      </c>
      <c r="K70" s="69">
        <v>56.786999999999999</v>
      </c>
      <c r="L70" s="69">
        <v>35.81</v>
      </c>
      <c r="M70" s="69">
        <v>30.303999999999998</v>
      </c>
      <c r="N70" s="69">
        <v>243.108</v>
      </c>
      <c r="O70" s="69">
        <v>101.54300000000001</v>
      </c>
      <c r="P70" s="69">
        <v>104.545</v>
      </c>
      <c r="Q70" s="69">
        <v>106.718</v>
      </c>
      <c r="R70" s="69">
        <v>114.536</v>
      </c>
      <c r="S70" s="69">
        <v>81.804000000000002</v>
      </c>
      <c r="T70" s="69">
        <v>57.69</v>
      </c>
      <c r="U70" s="69">
        <v>62.628999999999998</v>
      </c>
      <c r="V70" s="69">
        <v>496.45600000000002</v>
      </c>
      <c r="W70" s="69">
        <v>52.470999999999997</v>
      </c>
      <c r="X70" s="69">
        <v>38.886000000000003</v>
      </c>
      <c r="Y70" s="69">
        <v>155.94900000000001</v>
      </c>
      <c r="Z70" s="75">
        <f t="shared" si="1"/>
        <v>6112.4120000000003</v>
      </c>
    </row>
    <row r="71" spans="1:26" x14ac:dyDescent="0.3">
      <c r="A71" s="68">
        <v>41852</v>
      </c>
      <c r="B71" s="69">
        <v>1924.943</v>
      </c>
      <c r="C71" s="69">
        <v>1514.942</v>
      </c>
      <c r="D71" s="69">
        <v>32.104999999999997</v>
      </c>
      <c r="E71" s="69">
        <v>72.792000000000002</v>
      </c>
      <c r="F71" s="69">
        <v>98.248999999999995</v>
      </c>
      <c r="G71" s="69">
        <v>496.26299999999998</v>
      </c>
      <c r="H71" s="69">
        <v>72.033000000000001</v>
      </c>
      <c r="I71" s="69">
        <v>135.721</v>
      </c>
      <c r="J71" s="69">
        <v>25.428000000000001</v>
      </c>
      <c r="K71" s="69">
        <v>56.646000000000001</v>
      </c>
      <c r="L71" s="69">
        <v>35.832000000000001</v>
      </c>
      <c r="M71" s="69">
        <v>30.803000000000001</v>
      </c>
      <c r="N71" s="69">
        <v>242.197</v>
      </c>
      <c r="O71" s="69">
        <v>100.99</v>
      </c>
      <c r="P71" s="69">
        <v>105.042</v>
      </c>
      <c r="Q71" s="69">
        <v>106.39100000000001</v>
      </c>
      <c r="R71" s="69">
        <v>114.935</v>
      </c>
      <c r="S71" s="69">
        <v>82.108000000000004</v>
      </c>
      <c r="T71" s="69">
        <v>57.683999999999997</v>
      </c>
      <c r="U71" s="69">
        <v>62.485999999999997</v>
      </c>
      <c r="V71" s="69">
        <v>495.50099999999998</v>
      </c>
      <c r="W71" s="69">
        <v>50.445</v>
      </c>
      <c r="X71" s="69">
        <v>38.896000000000001</v>
      </c>
      <c r="Y71" s="69">
        <v>155.84800000000001</v>
      </c>
      <c r="Z71" s="75">
        <f t="shared" si="1"/>
        <v>6108.2800000000007</v>
      </c>
    </row>
    <row r="72" spans="1:26" x14ac:dyDescent="0.3">
      <c r="A72" s="68">
        <v>41883</v>
      </c>
      <c r="B72" s="69">
        <v>1925.9280000000001</v>
      </c>
      <c r="C72" s="69">
        <v>1517.6210000000001</v>
      </c>
      <c r="D72" s="69">
        <v>31.908000000000001</v>
      </c>
      <c r="E72" s="69">
        <v>73.036000000000001</v>
      </c>
      <c r="F72" s="69">
        <v>98.905000000000001</v>
      </c>
      <c r="G72" s="69">
        <v>495.30200000000002</v>
      </c>
      <c r="H72" s="69">
        <v>72.463999999999999</v>
      </c>
      <c r="I72" s="69">
        <v>136.23699999999999</v>
      </c>
      <c r="J72" s="69">
        <v>25.515999999999998</v>
      </c>
      <c r="K72" s="69">
        <v>57.173000000000002</v>
      </c>
      <c r="L72" s="69">
        <v>36.073</v>
      </c>
      <c r="M72" s="69">
        <v>31.018000000000001</v>
      </c>
      <c r="N72" s="69">
        <v>242.477</v>
      </c>
      <c r="O72" s="69">
        <v>101.866</v>
      </c>
      <c r="P72" s="69">
        <v>105.517</v>
      </c>
      <c r="Q72" s="69">
        <v>106.61499999999999</v>
      </c>
      <c r="R72" s="69">
        <v>116.52800000000001</v>
      </c>
      <c r="S72" s="69">
        <v>82.120999999999995</v>
      </c>
      <c r="T72" s="69">
        <v>57.936</v>
      </c>
      <c r="U72" s="69">
        <v>62.643999999999998</v>
      </c>
      <c r="V72" s="69">
        <v>495.75</v>
      </c>
      <c r="W72" s="69">
        <v>50.58</v>
      </c>
      <c r="X72" s="69">
        <v>39.055999999999997</v>
      </c>
      <c r="Y72" s="69">
        <v>157.899</v>
      </c>
      <c r="Z72" s="75">
        <f t="shared" si="1"/>
        <v>6120.1699999999992</v>
      </c>
    </row>
    <row r="73" spans="1:26" x14ac:dyDescent="0.3">
      <c r="A73" s="68">
        <v>41913</v>
      </c>
      <c r="B73" s="69">
        <v>1930.52</v>
      </c>
      <c r="C73" s="69">
        <v>1516.7819999999999</v>
      </c>
      <c r="D73" s="69">
        <v>32.207999999999998</v>
      </c>
      <c r="E73" s="69">
        <v>72.846999999999994</v>
      </c>
      <c r="F73" s="69">
        <v>99.111999999999995</v>
      </c>
      <c r="G73" s="69">
        <v>494.74</v>
      </c>
      <c r="H73" s="69">
        <v>72.561000000000007</v>
      </c>
      <c r="I73" s="69">
        <v>136.50299999999999</v>
      </c>
      <c r="J73" s="69">
        <v>25.577000000000002</v>
      </c>
      <c r="K73" s="69">
        <v>57.256</v>
      </c>
      <c r="L73" s="69">
        <v>36.198999999999998</v>
      </c>
      <c r="M73" s="69">
        <v>31.06</v>
      </c>
      <c r="N73" s="69">
        <v>244.45400000000001</v>
      </c>
      <c r="O73" s="69">
        <v>102.376</v>
      </c>
      <c r="P73" s="69">
        <v>106.652</v>
      </c>
      <c r="Q73" s="69">
        <v>107.212</v>
      </c>
      <c r="R73" s="69">
        <v>115.52200000000001</v>
      </c>
      <c r="S73" s="69">
        <v>82.597999999999999</v>
      </c>
      <c r="T73" s="69">
        <v>57.789000000000001</v>
      </c>
      <c r="U73" s="69">
        <v>62.875999999999998</v>
      </c>
      <c r="V73" s="69">
        <v>495.54199999999997</v>
      </c>
      <c r="W73" s="69">
        <v>50.634</v>
      </c>
      <c r="X73" s="69">
        <v>38.618000000000002</v>
      </c>
      <c r="Y73" s="69">
        <v>157.10300000000001</v>
      </c>
      <c r="Z73" s="75">
        <f t="shared" si="1"/>
        <v>6126.7410000000009</v>
      </c>
    </row>
    <row r="74" spans="1:26" x14ac:dyDescent="0.3">
      <c r="A74" s="68">
        <v>41944</v>
      </c>
      <c r="B74" s="69">
        <v>1929.931</v>
      </c>
      <c r="C74" s="69">
        <v>1518.7670000000001</v>
      </c>
      <c r="D74" s="69">
        <v>32.344000000000001</v>
      </c>
      <c r="E74" s="69">
        <v>73.137</v>
      </c>
      <c r="F74" s="69">
        <v>99.55</v>
      </c>
      <c r="G74" s="69">
        <v>493.76</v>
      </c>
      <c r="H74" s="69">
        <v>72.626999999999995</v>
      </c>
      <c r="I74" s="69">
        <v>135.749</v>
      </c>
      <c r="J74" s="69">
        <v>25.672999999999998</v>
      </c>
      <c r="K74" s="69">
        <v>57.469000000000001</v>
      </c>
      <c r="L74" s="69">
        <v>36.274000000000001</v>
      </c>
      <c r="M74" s="69">
        <v>31.24</v>
      </c>
      <c r="N74" s="69">
        <v>243.816</v>
      </c>
      <c r="O74" s="69">
        <v>103.29900000000001</v>
      </c>
      <c r="P74" s="69">
        <v>107.68899999999999</v>
      </c>
      <c r="Q74" s="69">
        <v>107.31100000000001</v>
      </c>
      <c r="R74" s="69">
        <v>115.705</v>
      </c>
      <c r="S74" s="69">
        <v>82.545000000000002</v>
      </c>
      <c r="T74" s="69">
        <v>58.158000000000001</v>
      </c>
      <c r="U74" s="69">
        <v>62.662999999999997</v>
      </c>
      <c r="V74" s="69">
        <v>496.18599999999998</v>
      </c>
      <c r="W74" s="69">
        <v>50.540999999999997</v>
      </c>
      <c r="X74" s="69">
        <v>38.481999999999999</v>
      </c>
      <c r="Y74" s="69">
        <v>158.74199999999999</v>
      </c>
      <c r="Z74" s="75">
        <f t="shared" si="1"/>
        <v>6131.6580000000004</v>
      </c>
    </row>
    <row r="75" spans="1:26" x14ac:dyDescent="0.3">
      <c r="A75" s="68">
        <v>41974</v>
      </c>
      <c r="B75" s="69">
        <v>1933.7560000000001</v>
      </c>
      <c r="C75" s="69">
        <v>1518.8530000000001</v>
      </c>
      <c r="D75" s="69">
        <v>32.238</v>
      </c>
      <c r="E75" s="69">
        <v>73.774000000000001</v>
      </c>
      <c r="F75" s="69">
        <v>99.840999999999994</v>
      </c>
      <c r="G75" s="69">
        <v>494.11399999999998</v>
      </c>
      <c r="H75" s="69">
        <v>72.894999999999996</v>
      </c>
      <c r="I75" s="69">
        <v>135.33799999999999</v>
      </c>
      <c r="J75" s="69">
        <v>26.105</v>
      </c>
      <c r="K75" s="69">
        <v>58.423000000000002</v>
      </c>
      <c r="L75" s="69">
        <v>36.174999999999997</v>
      </c>
      <c r="M75" s="69">
        <v>31.195</v>
      </c>
      <c r="N75" s="69">
        <v>243.29400000000001</v>
      </c>
      <c r="O75" s="69">
        <v>104.6</v>
      </c>
      <c r="P75" s="69">
        <v>108.504</v>
      </c>
      <c r="Q75" s="69">
        <v>108.02500000000001</v>
      </c>
      <c r="R75" s="69">
        <v>117.18</v>
      </c>
      <c r="S75" s="69">
        <v>81.941999999999993</v>
      </c>
      <c r="T75" s="69">
        <v>58.866</v>
      </c>
      <c r="U75" s="69">
        <v>63.115000000000002</v>
      </c>
      <c r="V75" s="69">
        <v>496.82</v>
      </c>
      <c r="W75" s="69">
        <v>50.787999999999997</v>
      </c>
      <c r="X75" s="69">
        <v>37.878</v>
      </c>
      <c r="Y75" s="69">
        <v>160.203</v>
      </c>
      <c r="Z75" s="75">
        <f t="shared" si="1"/>
        <v>6143.9219999999987</v>
      </c>
    </row>
    <row r="76" spans="1:26" x14ac:dyDescent="0.3">
      <c r="A76" s="68">
        <v>42005</v>
      </c>
      <c r="B76" s="69">
        <v>1940.0809999999999</v>
      </c>
      <c r="C76" s="69">
        <v>1522.402</v>
      </c>
      <c r="D76" s="69">
        <v>32.189</v>
      </c>
      <c r="E76" s="69">
        <v>73.876000000000005</v>
      </c>
      <c r="F76" s="69">
        <v>100.22499999999999</v>
      </c>
      <c r="G76" s="69">
        <v>496.24299999999999</v>
      </c>
      <c r="H76" s="69">
        <v>73.213999999999999</v>
      </c>
      <c r="I76" s="69">
        <v>136.67699999999999</v>
      </c>
      <c r="J76" s="69">
        <v>26.143999999999998</v>
      </c>
      <c r="K76" s="69">
        <v>58.786000000000001</v>
      </c>
      <c r="L76" s="69">
        <v>36.353000000000002</v>
      </c>
      <c r="M76" s="69">
        <v>31.667999999999999</v>
      </c>
      <c r="N76" s="69">
        <v>244.99100000000001</v>
      </c>
      <c r="O76" s="69">
        <v>105.31100000000001</v>
      </c>
      <c r="P76" s="69">
        <v>109.721</v>
      </c>
      <c r="Q76" s="69">
        <v>107.64100000000001</v>
      </c>
      <c r="R76" s="69">
        <v>116.73399999999999</v>
      </c>
      <c r="S76" s="69">
        <v>82.605999999999995</v>
      </c>
      <c r="T76" s="69">
        <v>59.634</v>
      </c>
      <c r="U76" s="69">
        <v>62.115000000000002</v>
      </c>
      <c r="V76" s="69">
        <v>497.61700000000002</v>
      </c>
      <c r="W76" s="69">
        <v>50.942999999999998</v>
      </c>
      <c r="X76" s="69">
        <v>37.651000000000003</v>
      </c>
      <c r="Y76" s="69">
        <v>160.28200000000001</v>
      </c>
      <c r="Z76" s="75">
        <f t="shared" si="1"/>
        <v>6163.1039999999994</v>
      </c>
    </row>
    <row r="77" spans="1:26" x14ac:dyDescent="0.3">
      <c r="A77" s="68">
        <v>42036</v>
      </c>
      <c r="B77" s="69">
        <v>1943.789</v>
      </c>
      <c r="C77" s="69">
        <v>1524.443</v>
      </c>
      <c r="D77" s="69">
        <v>32.677</v>
      </c>
      <c r="E77" s="69">
        <v>74.106999999999999</v>
      </c>
      <c r="F77" s="69">
        <v>100.30200000000001</v>
      </c>
      <c r="G77" s="69">
        <v>497.375</v>
      </c>
      <c r="H77" s="69">
        <v>73.534000000000006</v>
      </c>
      <c r="I77" s="69">
        <v>137.70099999999999</v>
      </c>
      <c r="J77" s="69">
        <v>26.440999999999999</v>
      </c>
      <c r="K77" s="69">
        <v>58.783999999999999</v>
      </c>
      <c r="L77" s="69">
        <v>36.186</v>
      </c>
      <c r="M77" s="69">
        <v>31.893000000000001</v>
      </c>
      <c r="N77" s="69">
        <v>246.24100000000001</v>
      </c>
      <c r="O77" s="69">
        <v>105.663</v>
      </c>
      <c r="P77" s="69">
        <v>110.687</v>
      </c>
      <c r="Q77" s="69">
        <v>108.346</v>
      </c>
      <c r="R77" s="69">
        <v>118.396</v>
      </c>
      <c r="S77" s="69">
        <v>82.474000000000004</v>
      </c>
      <c r="T77" s="69">
        <v>60.387</v>
      </c>
      <c r="U77" s="69">
        <v>62.591999999999999</v>
      </c>
      <c r="V77" s="69">
        <v>498.03199999999998</v>
      </c>
      <c r="W77" s="69">
        <v>50.981999999999999</v>
      </c>
      <c r="X77" s="69">
        <v>37.936999999999998</v>
      </c>
      <c r="Y77" s="69">
        <v>161.12899999999999</v>
      </c>
      <c r="Z77" s="75">
        <f t="shared" si="1"/>
        <v>6180.0979999999972</v>
      </c>
    </row>
    <row r="78" spans="1:26" x14ac:dyDescent="0.3">
      <c r="A78" s="68">
        <v>42064</v>
      </c>
      <c r="B78" s="69">
        <v>1948.04</v>
      </c>
      <c r="C78" s="69">
        <v>1527.845</v>
      </c>
      <c r="D78" s="69">
        <v>32.514000000000003</v>
      </c>
      <c r="E78" s="69">
        <v>74.546000000000006</v>
      </c>
      <c r="F78" s="69">
        <v>100.682</v>
      </c>
      <c r="G78" s="69">
        <v>497.41899999999998</v>
      </c>
      <c r="H78" s="69">
        <v>74.638999999999996</v>
      </c>
      <c r="I78" s="69">
        <v>137.45599999999999</v>
      </c>
      <c r="J78" s="69">
        <v>26.908000000000001</v>
      </c>
      <c r="K78" s="69">
        <v>58.639000000000003</v>
      </c>
      <c r="L78" s="69">
        <v>36.256999999999998</v>
      </c>
      <c r="M78" s="69">
        <v>31.94</v>
      </c>
      <c r="N78" s="69">
        <v>246.33199999999999</v>
      </c>
      <c r="O78" s="69">
        <v>105.994</v>
      </c>
      <c r="P78" s="69">
        <v>111.636</v>
      </c>
      <c r="Q78" s="69">
        <v>108.051</v>
      </c>
      <c r="R78" s="69">
        <v>118.79</v>
      </c>
      <c r="S78" s="69">
        <v>82.028999999999996</v>
      </c>
      <c r="T78" s="69">
        <v>60.773000000000003</v>
      </c>
      <c r="U78" s="69">
        <v>62.96</v>
      </c>
      <c r="V78" s="69">
        <v>499.03300000000002</v>
      </c>
      <c r="W78" s="69">
        <v>50.768000000000001</v>
      </c>
      <c r="X78" s="69">
        <v>38.110999999999997</v>
      </c>
      <c r="Y78" s="69">
        <v>159.791</v>
      </c>
      <c r="Z78" s="75">
        <f t="shared" si="1"/>
        <v>6191.1530000000012</v>
      </c>
    </row>
    <row r="79" spans="1:26" x14ac:dyDescent="0.3">
      <c r="A79" s="68">
        <v>42095</v>
      </c>
      <c r="B79" s="69">
        <v>1958.6420000000001</v>
      </c>
      <c r="C79" s="69">
        <v>1535.404</v>
      </c>
      <c r="D79" s="69">
        <v>32.661000000000001</v>
      </c>
      <c r="E79" s="69">
        <v>75.021000000000001</v>
      </c>
      <c r="F79" s="69">
        <v>101.185</v>
      </c>
      <c r="G79" s="69">
        <v>500.375</v>
      </c>
      <c r="H79" s="69">
        <v>74.992000000000004</v>
      </c>
      <c r="I79" s="69">
        <v>137.99199999999999</v>
      </c>
      <c r="J79" s="69">
        <v>27.167000000000002</v>
      </c>
      <c r="K79" s="69">
        <v>58.472000000000001</v>
      </c>
      <c r="L79" s="69">
        <v>36.6</v>
      </c>
      <c r="M79" s="69">
        <v>32.567999999999998</v>
      </c>
      <c r="N79" s="69">
        <v>248.601</v>
      </c>
      <c r="O79" s="69">
        <v>106.245</v>
      </c>
      <c r="P79" s="69">
        <v>112.48099999999999</v>
      </c>
      <c r="Q79" s="69">
        <v>109.27</v>
      </c>
      <c r="R79" s="69">
        <v>118.684</v>
      </c>
      <c r="S79" s="69">
        <v>83.078000000000003</v>
      </c>
      <c r="T79" s="69">
        <v>61.103999999999999</v>
      </c>
      <c r="U79" s="69">
        <v>63.805</v>
      </c>
      <c r="V79" s="69">
        <v>502.19900000000001</v>
      </c>
      <c r="W79" s="69">
        <v>51.031999999999996</v>
      </c>
      <c r="X79" s="69">
        <v>39.003</v>
      </c>
      <c r="Y79" s="69">
        <v>159.80799999999999</v>
      </c>
      <c r="Z79" s="75">
        <f t="shared" si="1"/>
        <v>6226.3890000000019</v>
      </c>
    </row>
    <row r="80" spans="1:26" x14ac:dyDescent="0.3">
      <c r="A80" s="68">
        <v>42125</v>
      </c>
      <c r="B80" s="69">
        <v>1960.1289999999999</v>
      </c>
      <c r="C80" s="69">
        <v>1535.204</v>
      </c>
      <c r="D80" s="69">
        <v>32.573999999999998</v>
      </c>
      <c r="E80" s="69">
        <v>75.870999999999995</v>
      </c>
      <c r="F80" s="69">
        <v>101.29</v>
      </c>
      <c r="G80" s="69">
        <v>500.863</v>
      </c>
      <c r="H80" s="69">
        <v>75.483999999999995</v>
      </c>
      <c r="I80" s="69">
        <v>138.06100000000001</v>
      </c>
      <c r="J80" s="69">
        <v>27.379000000000001</v>
      </c>
      <c r="K80" s="69">
        <v>58.198999999999998</v>
      </c>
      <c r="L80" s="69">
        <v>36.773000000000003</v>
      </c>
      <c r="M80" s="69">
        <v>32.460999999999999</v>
      </c>
      <c r="N80" s="69">
        <v>247.292</v>
      </c>
      <c r="O80" s="69">
        <v>106.449</v>
      </c>
      <c r="P80" s="69">
        <v>112.80200000000001</v>
      </c>
      <c r="Q80" s="69">
        <v>109.935</v>
      </c>
      <c r="R80" s="69">
        <v>118.54600000000001</v>
      </c>
      <c r="S80" s="69">
        <v>82.69</v>
      </c>
      <c r="T80" s="69">
        <v>61.688000000000002</v>
      </c>
      <c r="U80" s="69">
        <v>64.043999999999997</v>
      </c>
      <c r="V80" s="69">
        <v>501.48599999999999</v>
      </c>
      <c r="W80" s="69">
        <v>51.055999999999997</v>
      </c>
      <c r="X80" s="69">
        <v>39.503</v>
      </c>
      <c r="Y80" s="69">
        <v>158.607</v>
      </c>
      <c r="Z80" s="75">
        <f t="shared" si="1"/>
        <v>6228.3859999999986</v>
      </c>
    </row>
    <row r="81" spans="1:26" x14ac:dyDescent="0.3">
      <c r="A81" s="68">
        <v>42156</v>
      </c>
      <c r="B81" s="69">
        <v>1965.499</v>
      </c>
      <c r="C81" s="69">
        <v>1539.61</v>
      </c>
      <c r="D81" s="69">
        <v>32.588000000000001</v>
      </c>
      <c r="E81" s="69">
        <v>75.558000000000007</v>
      </c>
      <c r="F81" s="69">
        <v>101.364</v>
      </c>
      <c r="G81" s="69">
        <v>501.57499999999999</v>
      </c>
      <c r="H81" s="69">
        <v>75.975999999999999</v>
      </c>
      <c r="I81" s="69">
        <v>138.053</v>
      </c>
      <c r="J81" s="69">
        <v>27.8</v>
      </c>
      <c r="K81" s="69">
        <v>57.869</v>
      </c>
      <c r="L81" s="69">
        <v>36.799999999999997</v>
      </c>
      <c r="M81" s="69">
        <v>32.197000000000003</v>
      </c>
      <c r="N81" s="69">
        <v>248.745</v>
      </c>
      <c r="O81" s="69">
        <v>107.18899999999999</v>
      </c>
      <c r="P81" s="69">
        <v>113.197</v>
      </c>
      <c r="Q81" s="69">
        <v>110.16200000000001</v>
      </c>
      <c r="R81" s="69">
        <v>118.47799999999999</v>
      </c>
      <c r="S81" s="69">
        <v>83.403000000000006</v>
      </c>
      <c r="T81" s="69">
        <v>61.432000000000002</v>
      </c>
      <c r="U81" s="69">
        <v>64.447000000000003</v>
      </c>
      <c r="V81" s="69">
        <v>503.44600000000003</v>
      </c>
      <c r="W81" s="69">
        <v>51.103999999999999</v>
      </c>
      <c r="X81" s="69">
        <v>39.837000000000003</v>
      </c>
      <c r="Y81" s="69">
        <v>159.57900000000001</v>
      </c>
      <c r="Z81" s="75">
        <f t="shared" si="1"/>
        <v>6245.9080000000013</v>
      </c>
    </row>
    <row r="82" spans="1:26" x14ac:dyDescent="0.3">
      <c r="A82" s="68">
        <v>42186</v>
      </c>
      <c r="B82" s="69">
        <v>1969.1869999999999</v>
      </c>
      <c r="C82" s="69">
        <v>1540.7239999999999</v>
      </c>
      <c r="D82" s="69">
        <v>32.200000000000003</v>
      </c>
      <c r="E82" s="69">
        <v>75.879000000000005</v>
      </c>
      <c r="F82" s="69">
        <v>101.438</v>
      </c>
      <c r="G82" s="69">
        <v>502.726</v>
      </c>
      <c r="H82" s="69">
        <v>76.629000000000005</v>
      </c>
      <c r="I82" s="69">
        <v>138.411</v>
      </c>
      <c r="J82" s="69">
        <v>28.161999999999999</v>
      </c>
      <c r="K82" s="69">
        <v>57.878999999999998</v>
      </c>
      <c r="L82" s="69">
        <v>37.046999999999997</v>
      </c>
      <c r="M82" s="69">
        <v>32.271999999999998</v>
      </c>
      <c r="N82" s="69">
        <v>248.20599999999999</v>
      </c>
      <c r="O82" s="69">
        <v>107.792</v>
      </c>
      <c r="P82" s="69">
        <v>113.574</v>
      </c>
      <c r="Q82" s="69">
        <v>110.283</v>
      </c>
      <c r="R82" s="69">
        <v>117.518</v>
      </c>
      <c r="S82" s="69">
        <v>82.421000000000006</v>
      </c>
      <c r="T82" s="69">
        <v>61.636000000000003</v>
      </c>
      <c r="U82" s="69">
        <v>64.533000000000001</v>
      </c>
      <c r="V82" s="69">
        <v>503.19600000000003</v>
      </c>
      <c r="W82" s="69">
        <v>50.920999999999999</v>
      </c>
      <c r="X82" s="69">
        <v>40.161000000000001</v>
      </c>
      <c r="Y82" s="69">
        <v>160.62700000000001</v>
      </c>
      <c r="Z82" s="75">
        <f t="shared" si="1"/>
        <v>6253.4220000000014</v>
      </c>
    </row>
    <row r="83" spans="1:26" x14ac:dyDescent="0.3">
      <c r="A83" s="68">
        <v>42217</v>
      </c>
      <c r="B83" s="69">
        <v>1971.127</v>
      </c>
      <c r="C83" s="69">
        <v>1541.6959999999999</v>
      </c>
      <c r="D83" s="69">
        <v>32.36</v>
      </c>
      <c r="E83" s="69">
        <v>76.83</v>
      </c>
      <c r="F83" s="69">
        <v>101.40300000000001</v>
      </c>
      <c r="G83" s="69">
        <v>502.721</v>
      </c>
      <c r="H83" s="69">
        <v>77.155000000000001</v>
      </c>
      <c r="I83" s="69">
        <v>139.709</v>
      </c>
      <c r="J83" s="69">
        <v>28.696000000000002</v>
      </c>
      <c r="K83" s="69">
        <v>58.106000000000002</v>
      </c>
      <c r="L83" s="69">
        <v>37.210999999999999</v>
      </c>
      <c r="M83" s="69">
        <v>32.145000000000003</v>
      </c>
      <c r="N83" s="69">
        <v>247.60599999999999</v>
      </c>
      <c r="O83" s="69">
        <v>109.124</v>
      </c>
      <c r="P83" s="69">
        <v>114.74</v>
      </c>
      <c r="Q83" s="69">
        <v>110.333</v>
      </c>
      <c r="R83" s="69">
        <v>118.43899999999999</v>
      </c>
      <c r="S83" s="69">
        <v>82.340999999999994</v>
      </c>
      <c r="T83" s="69">
        <v>62.067999999999998</v>
      </c>
      <c r="U83" s="69">
        <v>64.766000000000005</v>
      </c>
      <c r="V83" s="69">
        <v>504.18</v>
      </c>
      <c r="W83" s="69">
        <v>51.177999999999997</v>
      </c>
      <c r="X83" s="69">
        <v>40.694000000000003</v>
      </c>
      <c r="Y83" s="69">
        <v>160.755</v>
      </c>
      <c r="Z83" s="75">
        <f t="shared" si="1"/>
        <v>6265.3829999999998</v>
      </c>
    </row>
    <row r="84" spans="1:26" x14ac:dyDescent="0.3">
      <c r="A84" s="68">
        <v>42248</v>
      </c>
      <c r="B84" s="69">
        <v>1969.932</v>
      </c>
      <c r="C84" s="69">
        <v>1541.6310000000001</v>
      </c>
      <c r="D84" s="69">
        <v>32.137</v>
      </c>
      <c r="E84" s="69">
        <v>77.290999999999997</v>
      </c>
      <c r="F84" s="69">
        <v>101.277</v>
      </c>
      <c r="G84" s="69">
        <v>504.28100000000001</v>
      </c>
      <c r="H84" s="69">
        <v>76.997</v>
      </c>
      <c r="I84" s="69">
        <v>138.44999999999999</v>
      </c>
      <c r="J84" s="69">
        <v>28.538</v>
      </c>
      <c r="K84" s="69">
        <v>57.396000000000001</v>
      </c>
      <c r="L84" s="69">
        <v>37.229999999999997</v>
      </c>
      <c r="M84" s="69">
        <v>31.577000000000002</v>
      </c>
      <c r="N84" s="69">
        <v>247.39699999999999</v>
      </c>
      <c r="O84" s="69">
        <v>108.98399999999999</v>
      </c>
      <c r="P84" s="69">
        <v>114.59099999999999</v>
      </c>
      <c r="Q84" s="69">
        <v>110.024</v>
      </c>
      <c r="R84" s="69">
        <v>118.684</v>
      </c>
      <c r="S84" s="69">
        <v>81.978999999999999</v>
      </c>
      <c r="T84" s="69">
        <v>62.036000000000001</v>
      </c>
      <c r="U84" s="69">
        <v>64.811000000000007</v>
      </c>
      <c r="V84" s="69">
        <v>503.517</v>
      </c>
      <c r="W84" s="69">
        <v>50.77</v>
      </c>
      <c r="X84" s="69">
        <v>41.204000000000001</v>
      </c>
      <c r="Y84" s="69">
        <v>161.268</v>
      </c>
      <c r="Z84" s="75">
        <f t="shared" si="1"/>
        <v>6262.0020000000013</v>
      </c>
    </row>
    <row r="85" spans="1:26" x14ac:dyDescent="0.3">
      <c r="A85" s="68">
        <v>42278</v>
      </c>
      <c r="B85" s="69">
        <v>1971.346</v>
      </c>
      <c r="C85" s="69">
        <v>1542.6769999999999</v>
      </c>
      <c r="D85" s="69">
        <v>31.858000000000001</v>
      </c>
      <c r="E85" s="69">
        <v>76.418000000000006</v>
      </c>
      <c r="F85" s="69">
        <v>101.377</v>
      </c>
      <c r="G85" s="69">
        <v>504.10899999999998</v>
      </c>
      <c r="H85" s="69">
        <v>76.876999999999995</v>
      </c>
      <c r="I85" s="69">
        <v>137.62200000000001</v>
      </c>
      <c r="J85" s="69">
        <v>28.652999999999999</v>
      </c>
      <c r="K85" s="69">
        <v>57.646000000000001</v>
      </c>
      <c r="L85" s="69">
        <v>37.268999999999998</v>
      </c>
      <c r="M85" s="69">
        <v>31.518000000000001</v>
      </c>
      <c r="N85" s="69">
        <v>246.00800000000001</v>
      </c>
      <c r="O85" s="69">
        <v>108.595</v>
      </c>
      <c r="P85" s="69">
        <v>114.473</v>
      </c>
      <c r="Q85" s="69">
        <v>109.982</v>
      </c>
      <c r="R85" s="69">
        <v>117.601</v>
      </c>
      <c r="S85" s="69">
        <v>81.322000000000003</v>
      </c>
      <c r="T85" s="69">
        <v>61.914000000000001</v>
      </c>
      <c r="U85" s="69">
        <v>64.703000000000003</v>
      </c>
      <c r="V85" s="69">
        <v>503.84100000000001</v>
      </c>
      <c r="W85" s="69">
        <v>51.801000000000002</v>
      </c>
      <c r="X85" s="69">
        <v>41.853000000000002</v>
      </c>
      <c r="Y85" s="69">
        <v>162.245</v>
      </c>
      <c r="Z85" s="75">
        <f t="shared" si="1"/>
        <v>6261.7080000000024</v>
      </c>
    </row>
    <row r="86" spans="1:26" x14ac:dyDescent="0.3">
      <c r="A86" s="68">
        <v>42309</v>
      </c>
      <c r="B86" s="69">
        <v>1967.385</v>
      </c>
      <c r="C86" s="69">
        <v>1541.1959999999999</v>
      </c>
      <c r="D86" s="69">
        <v>31.513000000000002</v>
      </c>
      <c r="E86" s="69">
        <v>76.399000000000001</v>
      </c>
      <c r="F86" s="69">
        <v>100.79300000000001</v>
      </c>
      <c r="G86" s="69">
        <v>503.721</v>
      </c>
      <c r="H86" s="69">
        <v>76.591999999999999</v>
      </c>
      <c r="I86" s="69">
        <v>137.27199999999999</v>
      </c>
      <c r="J86" s="69">
        <v>28.445</v>
      </c>
      <c r="K86" s="69">
        <v>57.1</v>
      </c>
      <c r="L86" s="69">
        <v>37.359000000000002</v>
      </c>
      <c r="M86" s="69">
        <v>31.388000000000002</v>
      </c>
      <c r="N86" s="69">
        <v>245.499</v>
      </c>
      <c r="O86" s="69">
        <v>107.82599999999999</v>
      </c>
      <c r="P86" s="69">
        <v>114.261</v>
      </c>
      <c r="Q86" s="69">
        <v>109.72</v>
      </c>
      <c r="R86" s="69">
        <v>117.66800000000001</v>
      </c>
      <c r="S86" s="69">
        <v>80.644999999999996</v>
      </c>
      <c r="T86" s="69">
        <v>60.88</v>
      </c>
      <c r="U86" s="69">
        <v>64.570999999999998</v>
      </c>
      <c r="V86" s="69">
        <v>503.23099999999999</v>
      </c>
      <c r="W86" s="69">
        <v>51.835000000000001</v>
      </c>
      <c r="X86" s="69">
        <v>41.92</v>
      </c>
      <c r="Y86" s="69">
        <v>163.22200000000001</v>
      </c>
      <c r="Z86" s="75">
        <f t="shared" si="1"/>
        <v>6250.4409999999998</v>
      </c>
    </row>
    <row r="87" spans="1:26" x14ac:dyDescent="0.3">
      <c r="A87" s="68">
        <v>42339</v>
      </c>
      <c r="B87" s="69">
        <v>1961.6030000000001</v>
      </c>
      <c r="C87" s="69">
        <v>1537.329</v>
      </c>
      <c r="D87" s="69">
        <v>31.251000000000001</v>
      </c>
      <c r="E87" s="69">
        <v>74.762</v>
      </c>
      <c r="F87" s="69">
        <v>99.796999999999997</v>
      </c>
      <c r="G87" s="69">
        <v>502.71300000000002</v>
      </c>
      <c r="H87" s="69">
        <v>76.433000000000007</v>
      </c>
      <c r="I87" s="69">
        <v>136.92099999999999</v>
      </c>
      <c r="J87" s="69">
        <v>27.844000000000001</v>
      </c>
      <c r="K87" s="69">
        <v>56.441000000000003</v>
      </c>
      <c r="L87" s="69">
        <v>37.311</v>
      </c>
      <c r="M87" s="69">
        <v>30.954999999999998</v>
      </c>
      <c r="N87" s="69">
        <v>243.66900000000001</v>
      </c>
      <c r="O87" s="69">
        <v>105.956</v>
      </c>
      <c r="P87" s="69">
        <v>113.70099999999999</v>
      </c>
      <c r="Q87" s="69">
        <v>110.13200000000001</v>
      </c>
      <c r="R87" s="69">
        <v>116.803</v>
      </c>
      <c r="S87" s="69">
        <v>80.195999999999998</v>
      </c>
      <c r="T87" s="69">
        <v>59.500999999999998</v>
      </c>
      <c r="U87" s="69">
        <v>63.881999999999998</v>
      </c>
      <c r="V87" s="69">
        <v>501.69600000000003</v>
      </c>
      <c r="W87" s="69">
        <v>50.993000000000002</v>
      </c>
      <c r="X87" s="69">
        <v>42.122</v>
      </c>
      <c r="Y87" s="69">
        <v>162.738</v>
      </c>
      <c r="Z87" s="75">
        <f t="shared" si="1"/>
        <v>6224.7489999999998</v>
      </c>
    </row>
    <row r="88" spans="1:26" x14ac:dyDescent="0.3">
      <c r="A88" s="68">
        <v>42370</v>
      </c>
      <c r="B88" s="69">
        <v>1959.8989999999999</v>
      </c>
      <c r="C88" s="69">
        <v>1538.0940000000001</v>
      </c>
      <c r="D88" s="69">
        <v>30.853000000000002</v>
      </c>
      <c r="E88" s="69">
        <v>74.150999999999996</v>
      </c>
      <c r="F88" s="69">
        <v>99.608999999999995</v>
      </c>
      <c r="G88" s="69">
        <v>502.815</v>
      </c>
      <c r="H88" s="69">
        <v>76.644999999999996</v>
      </c>
      <c r="I88" s="69">
        <v>136.11799999999999</v>
      </c>
      <c r="J88" s="69">
        <v>27.65</v>
      </c>
      <c r="K88" s="69">
        <v>56.692999999999998</v>
      </c>
      <c r="L88" s="69">
        <v>37.734000000000002</v>
      </c>
      <c r="M88" s="69">
        <v>30.515000000000001</v>
      </c>
      <c r="N88" s="69">
        <v>242.93700000000001</v>
      </c>
      <c r="O88" s="69">
        <v>104.66200000000001</v>
      </c>
      <c r="P88" s="69">
        <v>112.432</v>
      </c>
      <c r="Q88" s="69">
        <v>105.68</v>
      </c>
      <c r="R88" s="69">
        <v>115.726</v>
      </c>
      <c r="S88" s="69">
        <v>79.918000000000006</v>
      </c>
      <c r="T88" s="69">
        <v>58.933</v>
      </c>
      <c r="U88" s="69">
        <v>62.414000000000001</v>
      </c>
      <c r="V88" s="69">
        <v>501.53199999999998</v>
      </c>
      <c r="W88" s="69">
        <v>50.92</v>
      </c>
      <c r="X88" s="69">
        <v>39.715000000000003</v>
      </c>
      <c r="Y88" s="69">
        <v>162.87299999999999</v>
      </c>
      <c r="Z88" s="75">
        <f t="shared" si="1"/>
        <v>6208.518</v>
      </c>
    </row>
    <row r="89" spans="1:26" x14ac:dyDescent="0.3">
      <c r="A89" s="68">
        <v>42401</v>
      </c>
      <c r="B89" s="69">
        <v>1958.22</v>
      </c>
      <c r="C89" s="69">
        <v>1539.8019999999999</v>
      </c>
      <c r="D89" s="69">
        <v>30.702999999999999</v>
      </c>
      <c r="E89" s="69">
        <v>74.14</v>
      </c>
      <c r="F89" s="69">
        <v>99.218999999999994</v>
      </c>
      <c r="G89" s="69">
        <v>503.42599999999999</v>
      </c>
      <c r="H89" s="69">
        <v>76.841999999999999</v>
      </c>
      <c r="I89" s="69">
        <v>135.32300000000001</v>
      </c>
      <c r="J89" s="69">
        <v>27.248000000000001</v>
      </c>
      <c r="K89" s="69">
        <v>57.058999999999997</v>
      </c>
      <c r="L89" s="69">
        <v>38.097999999999999</v>
      </c>
      <c r="M89" s="69">
        <v>30.106000000000002</v>
      </c>
      <c r="N89" s="69">
        <v>241.06800000000001</v>
      </c>
      <c r="O89" s="69">
        <v>101.949</v>
      </c>
      <c r="P89" s="69">
        <v>112.657</v>
      </c>
      <c r="Q89" s="69">
        <v>106.637</v>
      </c>
      <c r="R89" s="69">
        <v>115.342</v>
      </c>
      <c r="S89" s="69">
        <v>80.304000000000002</v>
      </c>
      <c r="T89" s="69">
        <v>58.917999999999999</v>
      </c>
      <c r="U89" s="69">
        <v>61.134999999999998</v>
      </c>
      <c r="V89" s="69">
        <v>501.11700000000002</v>
      </c>
      <c r="W89" s="69">
        <v>50.85</v>
      </c>
      <c r="X89" s="69">
        <v>39.585999999999999</v>
      </c>
      <c r="Y89" s="69">
        <v>162.91200000000001</v>
      </c>
      <c r="Z89" s="75">
        <f t="shared" si="1"/>
        <v>6202.6610000000001</v>
      </c>
    </row>
    <row r="90" spans="1:26" x14ac:dyDescent="0.3">
      <c r="A90" s="68">
        <v>42430</v>
      </c>
      <c r="B90" s="69">
        <v>1953.4190000000001</v>
      </c>
      <c r="C90" s="69">
        <v>1541.46</v>
      </c>
      <c r="D90" s="69">
        <v>30.343</v>
      </c>
      <c r="E90" s="69">
        <v>74.117999999999995</v>
      </c>
      <c r="F90" s="69">
        <v>99.153999999999996</v>
      </c>
      <c r="G90" s="69">
        <v>503.70400000000001</v>
      </c>
      <c r="H90" s="69">
        <v>76.13</v>
      </c>
      <c r="I90" s="69">
        <v>134.94900000000001</v>
      </c>
      <c r="J90" s="69">
        <v>27.148</v>
      </c>
      <c r="K90" s="69">
        <v>57.655000000000001</v>
      </c>
      <c r="L90" s="69">
        <v>38.100999999999999</v>
      </c>
      <c r="M90" s="69">
        <v>31.22</v>
      </c>
      <c r="N90" s="69">
        <v>240.697</v>
      </c>
      <c r="O90" s="69">
        <v>105.595</v>
      </c>
      <c r="P90" s="69">
        <v>111.919</v>
      </c>
      <c r="Q90" s="69">
        <v>106.998</v>
      </c>
      <c r="R90" s="69">
        <v>115.54</v>
      </c>
      <c r="S90" s="69">
        <v>80.159000000000006</v>
      </c>
      <c r="T90" s="69">
        <v>58.863999999999997</v>
      </c>
      <c r="U90" s="69">
        <v>60.011000000000003</v>
      </c>
      <c r="V90" s="69">
        <v>501.32</v>
      </c>
      <c r="W90" s="69">
        <v>50.917000000000002</v>
      </c>
      <c r="X90" s="69">
        <v>39.302</v>
      </c>
      <c r="Y90" s="69">
        <v>163.54300000000001</v>
      </c>
      <c r="Z90" s="75">
        <f t="shared" si="1"/>
        <v>6202.2659999999978</v>
      </c>
    </row>
    <row r="91" spans="1:26" x14ac:dyDescent="0.3">
      <c r="A91" s="68">
        <v>42461</v>
      </c>
      <c r="B91" s="69">
        <v>1949.212</v>
      </c>
      <c r="C91" s="69">
        <v>1540.481</v>
      </c>
      <c r="D91" s="69">
        <v>30.076000000000001</v>
      </c>
      <c r="E91" s="69">
        <v>74.257999999999996</v>
      </c>
      <c r="F91" s="69">
        <v>98.608999999999995</v>
      </c>
      <c r="G91" s="69">
        <v>503.94200000000001</v>
      </c>
      <c r="H91" s="69">
        <v>76.070999999999998</v>
      </c>
      <c r="I91" s="69">
        <v>134.536</v>
      </c>
      <c r="J91" s="69">
        <v>27.14</v>
      </c>
      <c r="K91" s="69">
        <v>57.073</v>
      </c>
      <c r="L91" s="69">
        <v>38.131</v>
      </c>
      <c r="M91" s="69">
        <v>30.17</v>
      </c>
      <c r="N91" s="69">
        <v>239.33199999999999</v>
      </c>
      <c r="O91" s="69">
        <v>104.404</v>
      </c>
      <c r="P91" s="69">
        <v>112.393</v>
      </c>
      <c r="Q91" s="69">
        <v>107.515</v>
      </c>
      <c r="R91" s="69">
        <v>115.85299999999999</v>
      </c>
      <c r="S91" s="69">
        <v>79.572000000000003</v>
      </c>
      <c r="T91" s="69">
        <v>58.561</v>
      </c>
      <c r="U91" s="69">
        <v>59.601999999999997</v>
      </c>
      <c r="V91" s="69">
        <v>499.81900000000002</v>
      </c>
      <c r="W91" s="69">
        <v>50.338000000000001</v>
      </c>
      <c r="X91" s="69">
        <v>38.881999999999998</v>
      </c>
      <c r="Y91" s="69">
        <v>162.94200000000001</v>
      </c>
      <c r="Z91" s="75">
        <f t="shared" si="1"/>
        <v>6188.9120000000012</v>
      </c>
    </row>
    <row r="92" spans="1:26" x14ac:dyDescent="0.3">
      <c r="A92" s="68">
        <v>42491</v>
      </c>
      <c r="B92" s="69">
        <v>1949.6990000000001</v>
      </c>
      <c r="C92" s="69">
        <v>1535.3119999999999</v>
      </c>
      <c r="D92" s="69">
        <v>29.812000000000001</v>
      </c>
      <c r="E92" s="69">
        <v>74.317999999999998</v>
      </c>
      <c r="F92" s="69">
        <v>97.811000000000007</v>
      </c>
      <c r="G92" s="69">
        <v>503.61399999999998</v>
      </c>
      <c r="H92" s="69">
        <v>75.876999999999995</v>
      </c>
      <c r="I92" s="69">
        <v>134.96100000000001</v>
      </c>
      <c r="J92" s="69">
        <v>26.995000000000001</v>
      </c>
      <c r="K92" s="69">
        <v>56.533000000000001</v>
      </c>
      <c r="L92" s="69">
        <v>37.981000000000002</v>
      </c>
      <c r="M92" s="69">
        <v>29.852</v>
      </c>
      <c r="N92" s="69">
        <v>240.72399999999999</v>
      </c>
      <c r="O92" s="69">
        <v>102.99299999999999</v>
      </c>
      <c r="P92" s="69">
        <v>112.35299999999999</v>
      </c>
      <c r="Q92" s="69">
        <v>107.22799999999999</v>
      </c>
      <c r="R92" s="69">
        <v>115.116</v>
      </c>
      <c r="S92" s="69">
        <v>80.183999999999997</v>
      </c>
      <c r="T92" s="69">
        <v>57.976999999999997</v>
      </c>
      <c r="U92" s="69">
        <v>59.262999999999998</v>
      </c>
      <c r="V92" s="69">
        <v>499.60500000000002</v>
      </c>
      <c r="W92" s="69">
        <v>49.877000000000002</v>
      </c>
      <c r="X92" s="69">
        <v>38.283000000000001</v>
      </c>
      <c r="Y92" s="69">
        <v>162.04300000000001</v>
      </c>
      <c r="Z92" s="75">
        <f t="shared" si="1"/>
        <v>6178.411000000001</v>
      </c>
    </row>
    <row r="93" spans="1:26" x14ac:dyDescent="0.3">
      <c r="A93" s="68">
        <v>42522</v>
      </c>
      <c r="B93" s="69">
        <v>1947.7449999999999</v>
      </c>
      <c r="C93" s="69">
        <v>1531.5630000000001</v>
      </c>
      <c r="D93" s="69">
        <v>29.777000000000001</v>
      </c>
      <c r="E93" s="69">
        <v>74.376000000000005</v>
      </c>
      <c r="F93" s="69">
        <v>97.475999999999999</v>
      </c>
      <c r="G93" s="69">
        <v>502.608</v>
      </c>
      <c r="H93" s="69">
        <v>75.902000000000001</v>
      </c>
      <c r="I93" s="69">
        <v>134.846</v>
      </c>
      <c r="J93" s="69">
        <v>26.88</v>
      </c>
      <c r="K93" s="69">
        <v>56.747</v>
      </c>
      <c r="L93" s="69">
        <v>38.115000000000002</v>
      </c>
      <c r="M93" s="69">
        <v>30.774999999999999</v>
      </c>
      <c r="N93" s="69">
        <v>240.46100000000001</v>
      </c>
      <c r="O93" s="69">
        <v>103.02500000000001</v>
      </c>
      <c r="P93" s="69">
        <v>112.46599999999999</v>
      </c>
      <c r="Q93" s="69">
        <v>106.688</v>
      </c>
      <c r="R93" s="69">
        <v>115.759</v>
      </c>
      <c r="S93" s="69">
        <v>80.233999999999995</v>
      </c>
      <c r="T93" s="69">
        <v>57.484000000000002</v>
      </c>
      <c r="U93" s="69">
        <v>59.155000000000001</v>
      </c>
      <c r="V93" s="69">
        <v>499.762</v>
      </c>
      <c r="W93" s="69">
        <v>50.1</v>
      </c>
      <c r="X93" s="69">
        <v>37.813000000000002</v>
      </c>
      <c r="Y93" s="69">
        <v>163.06</v>
      </c>
      <c r="Z93" s="75">
        <f t="shared" si="1"/>
        <v>6172.8170000000009</v>
      </c>
    </row>
    <row r="94" spans="1:26" x14ac:dyDescent="0.3">
      <c r="A94" s="68">
        <v>42552</v>
      </c>
      <c r="B94" s="69">
        <v>1944.0170000000001</v>
      </c>
      <c r="C94" s="69">
        <v>1531.7</v>
      </c>
      <c r="D94" s="69">
        <v>30.007000000000001</v>
      </c>
      <c r="E94" s="69">
        <v>74.260999999999996</v>
      </c>
      <c r="F94" s="69">
        <v>97.403000000000006</v>
      </c>
      <c r="G94" s="69">
        <v>502.00299999999999</v>
      </c>
      <c r="H94" s="69">
        <v>75.805999999999997</v>
      </c>
      <c r="I94" s="69">
        <v>135.011</v>
      </c>
      <c r="J94" s="69">
        <v>26.715</v>
      </c>
      <c r="K94" s="69">
        <v>56.832000000000001</v>
      </c>
      <c r="L94" s="69">
        <v>38.018000000000001</v>
      </c>
      <c r="M94" s="69">
        <v>29.86</v>
      </c>
      <c r="N94" s="69">
        <v>241.69499999999999</v>
      </c>
      <c r="O94" s="69">
        <v>102.81399999999999</v>
      </c>
      <c r="P94" s="69">
        <v>112.31100000000001</v>
      </c>
      <c r="Q94" s="69">
        <v>106.541</v>
      </c>
      <c r="R94" s="69">
        <v>115.863</v>
      </c>
      <c r="S94" s="69">
        <v>80.272000000000006</v>
      </c>
      <c r="T94" s="69">
        <v>56.902000000000001</v>
      </c>
      <c r="U94" s="69">
        <v>59.405999999999999</v>
      </c>
      <c r="V94" s="69">
        <v>500.1</v>
      </c>
      <c r="W94" s="69">
        <v>50.003999999999998</v>
      </c>
      <c r="X94" s="69">
        <v>37.536999999999999</v>
      </c>
      <c r="Y94" s="69">
        <v>163.404</v>
      </c>
      <c r="Z94" s="75">
        <f t="shared" si="1"/>
        <v>6168.482</v>
      </c>
    </row>
    <row r="95" spans="1:26" x14ac:dyDescent="0.3">
      <c r="A95" s="68">
        <v>42583</v>
      </c>
      <c r="B95" s="69">
        <v>1944.942</v>
      </c>
      <c r="C95" s="69">
        <v>1530.2819999999999</v>
      </c>
      <c r="D95" s="69">
        <v>30.109000000000002</v>
      </c>
      <c r="E95" s="69">
        <v>74.596999999999994</v>
      </c>
      <c r="F95" s="69">
        <v>97.325999999999993</v>
      </c>
      <c r="G95" s="69">
        <v>501.983</v>
      </c>
      <c r="H95" s="69">
        <v>75.617000000000004</v>
      </c>
      <c r="I95" s="69">
        <v>135.96600000000001</v>
      </c>
      <c r="J95" s="69">
        <v>26.457000000000001</v>
      </c>
      <c r="K95" s="69">
        <v>56.872</v>
      </c>
      <c r="L95" s="69">
        <v>37.982999999999997</v>
      </c>
      <c r="M95" s="69">
        <v>30.259</v>
      </c>
      <c r="N95" s="69">
        <v>242.45599999999999</v>
      </c>
      <c r="O95" s="69">
        <v>102.813</v>
      </c>
      <c r="P95" s="69">
        <v>112.12</v>
      </c>
      <c r="Q95" s="69">
        <v>106.515</v>
      </c>
      <c r="R95" s="69">
        <v>115.10599999999999</v>
      </c>
      <c r="S95" s="69">
        <v>79.933000000000007</v>
      </c>
      <c r="T95" s="69">
        <v>56.421999999999997</v>
      </c>
      <c r="U95" s="69">
        <v>58.713000000000001</v>
      </c>
      <c r="V95" s="69">
        <v>499.54199999999997</v>
      </c>
      <c r="W95" s="69">
        <v>49.972000000000001</v>
      </c>
      <c r="X95" s="69">
        <v>37.540999999999997</v>
      </c>
      <c r="Y95" s="69">
        <v>164.83</v>
      </c>
      <c r="Z95" s="75">
        <f t="shared" si="1"/>
        <v>6168.3560000000016</v>
      </c>
    </row>
    <row r="96" spans="1:26" x14ac:dyDescent="0.3">
      <c r="A96" s="68">
        <v>42614</v>
      </c>
      <c r="B96" s="69">
        <v>1945.011</v>
      </c>
      <c r="C96" s="69">
        <v>1531.902</v>
      </c>
      <c r="D96" s="69">
        <v>30.26</v>
      </c>
      <c r="E96" s="69">
        <v>74.893000000000001</v>
      </c>
      <c r="F96" s="69">
        <v>97.204999999999998</v>
      </c>
      <c r="G96" s="69">
        <v>501.214</v>
      </c>
      <c r="H96" s="69">
        <v>75.897999999999996</v>
      </c>
      <c r="I96" s="69">
        <v>136.26</v>
      </c>
      <c r="J96" s="69">
        <v>26.536999999999999</v>
      </c>
      <c r="K96" s="69">
        <v>57.241</v>
      </c>
      <c r="L96" s="69">
        <v>38</v>
      </c>
      <c r="M96" s="69">
        <v>30.541</v>
      </c>
      <c r="N96" s="69">
        <v>243.17099999999999</v>
      </c>
      <c r="O96" s="69">
        <v>103.24</v>
      </c>
      <c r="P96" s="69">
        <v>112.035</v>
      </c>
      <c r="Q96" s="69">
        <v>106.88800000000001</v>
      </c>
      <c r="R96" s="69">
        <v>116.215</v>
      </c>
      <c r="S96" s="69">
        <v>79.953999999999994</v>
      </c>
      <c r="T96" s="69">
        <v>56.448</v>
      </c>
      <c r="U96" s="69">
        <v>58.284999999999997</v>
      </c>
      <c r="V96" s="69">
        <v>500.05399999999997</v>
      </c>
      <c r="W96" s="69">
        <v>49.871000000000002</v>
      </c>
      <c r="X96" s="69">
        <v>37.475000000000001</v>
      </c>
      <c r="Y96" s="69">
        <v>164.316</v>
      </c>
      <c r="Z96" s="75">
        <f t="shared" si="1"/>
        <v>6172.9140000000016</v>
      </c>
    </row>
    <row r="97" spans="1:26" x14ac:dyDescent="0.3">
      <c r="A97" s="68">
        <v>42644</v>
      </c>
      <c r="B97" s="69">
        <v>1944.607</v>
      </c>
      <c r="C97" s="69">
        <v>1534.058</v>
      </c>
      <c r="D97" s="69">
        <v>30.306999999999999</v>
      </c>
      <c r="E97" s="69">
        <v>75.031999999999996</v>
      </c>
      <c r="F97" s="69">
        <v>97.119</v>
      </c>
      <c r="G97" s="69">
        <v>501.00099999999998</v>
      </c>
      <c r="H97" s="69">
        <v>76.096000000000004</v>
      </c>
      <c r="I97" s="69">
        <v>138.55500000000001</v>
      </c>
      <c r="J97" s="69">
        <v>26.518000000000001</v>
      </c>
      <c r="K97" s="69">
        <v>57.704000000000001</v>
      </c>
      <c r="L97" s="69">
        <v>38.006</v>
      </c>
      <c r="M97" s="69">
        <v>30.492999999999999</v>
      </c>
      <c r="N97" s="69">
        <v>243.364</v>
      </c>
      <c r="O97" s="69">
        <v>103.804</v>
      </c>
      <c r="P97" s="69">
        <v>111.42100000000001</v>
      </c>
      <c r="Q97" s="69">
        <v>106.492</v>
      </c>
      <c r="R97" s="69">
        <v>116.459</v>
      </c>
      <c r="S97" s="69">
        <v>79.909000000000006</v>
      </c>
      <c r="T97" s="69">
        <v>56.639000000000003</v>
      </c>
      <c r="U97" s="69">
        <v>58.070999999999998</v>
      </c>
      <c r="V97" s="69">
        <v>500.70600000000002</v>
      </c>
      <c r="W97" s="69">
        <v>49.744999999999997</v>
      </c>
      <c r="X97" s="69">
        <v>36.996000000000002</v>
      </c>
      <c r="Y97" s="69">
        <v>166.995</v>
      </c>
      <c r="Z97" s="75">
        <f t="shared" si="1"/>
        <v>6180.0969999999998</v>
      </c>
    </row>
    <row r="98" spans="1:26" x14ac:dyDescent="0.3">
      <c r="A98" s="68">
        <v>42675</v>
      </c>
      <c r="B98" s="69">
        <v>1948.2470000000001</v>
      </c>
      <c r="C98" s="69">
        <v>1534.2439999999999</v>
      </c>
      <c r="D98" s="69">
        <v>30.135000000000002</v>
      </c>
      <c r="E98" s="69">
        <v>75.646000000000001</v>
      </c>
      <c r="F98" s="69">
        <v>97.34</v>
      </c>
      <c r="G98" s="69">
        <v>502.46300000000002</v>
      </c>
      <c r="H98" s="69">
        <v>76.278000000000006</v>
      </c>
      <c r="I98" s="69">
        <v>137.273</v>
      </c>
      <c r="J98" s="69">
        <v>26.497</v>
      </c>
      <c r="K98" s="69">
        <v>57.115000000000002</v>
      </c>
      <c r="L98" s="69">
        <v>38.109000000000002</v>
      </c>
      <c r="M98" s="69">
        <v>30.466999999999999</v>
      </c>
      <c r="N98" s="69">
        <v>243.08099999999999</v>
      </c>
      <c r="O98" s="69">
        <v>103.61199999999999</v>
      </c>
      <c r="P98" s="69">
        <v>111.005</v>
      </c>
      <c r="Q98" s="69">
        <v>106.212</v>
      </c>
      <c r="R98" s="69">
        <v>115.926</v>
      </c>
      <c r="S98" s="69">
        <v>79.872</v>
      </c>
      <c r="T98" s="69">
        <v>56.822000000000003</v>
      </c>
      <c r="U98" s="69">
        <v>58.027000000000001</v>
      </c>
      <c r="V98" s="69">
        <v>501.37900000000002</v>
      </c>
      <c r="W98" s="69">
        <v>49.999000000000002</v>
      </c>
      <c r="X98" s="69">
        <v>36.624000000000002</v>
      </c>
      <c r="Y98" s="69">
        <v>165.44800000000001</v>
      </c>
      <c r="Z98" s="75">
        <f t="shared" si="1"/>
        <v>6181.8210000000026</v>
      </c>
    </row>
    <row r="99" spans="1:26" x14ac:dyDescent="0.3">
      <c r="A99" s="68">
        <v>42705</v>
      </c>
      <c r="B99" s="69">
        <v>1949.35</v>
      </c>
      <c r="C99" s="69">
        <v>1535.4760000000001</v>
      </c>
      <c r="D99" s="69">
        <v>30.277000000000001</v>
      </c>
      <c r="E99" s="69">
        <v>76.046999999999997</v>
      </c>
      <c r="F99" s="69">
        <v>97.415000000000006</v>
      </c>
      <c r="G99" s="69">
        <v>503.64</v>
      </c>
      <c r="H99" s="69">
        <v>76.400999999999996</v>
      </c>
      <c r="I99" s="69">
        <v>135.96199999999999</v>
      </c>
      <c r="J99" s="69">
        <v>26.5</v>
      </c>
      <c r="K99" s="69">
        <v>58.692999999999998</v>
      </c>
      <c r="L99" s="69">
        <v>38.116999999999997</v>
      </c>
      <c r="M99" s="69">
        <v>30.867000000000001</v>
      </c>
      <c r="N99" s="69">
        <v>243.87200000000001</v>
      </c>
      <c r="O99" s="69">
        <v>103.69799999999999</v>
      </c>
      <c r="P99" s="69">
        <v>110.623</v>
      </c>
      <c r="Q99" s="69">
        <v>105.889</v>
      </c>
      <c r="R99" s="69">
        <v>116.307</v>
      </c>
      <c r="S99" s="69">
        <v>79.784000000000006</v>
      </c>
      <c r="T99" s="69">
        <v>56.767000000000003</v>
      </c>
      <c r="U99" s="69">
        <v>58.058999999999997</v>
      </c>
      <c r="V99" s="69">
        <v>501.89800000000002</v>
      </c>
      <c r="W99" s="69">
        <v>50.155000000000001</v>
      </c>
      <c r="X99" s="69">
        <v>36.042000000000002</v>
      </c>
      <c r="Y99" s="69">
        <v>165.70500000000001</v>
      </c>
      <c r="Z99" s="75">
        <f t="shared" si="1"/>
        <v>6187.5439999999999</v>
      </c>
    </row>
    <row r="100" spans="1:26" x14ac:dyDescent="0.3">
      <c r="A100" s="68">
        <v>42736</v>
      </c>
      <c r="B100" s="69">
        <v>1950.2380000000001</v>
      </c>
      <c r="C100" s="69">
        <v>1535.8430000000001</v>
      </c>
      <c r="D100" s="69">
        <v>31.047999999999998</v>
      </c>
      <c r="E100" s="69">
        <v>76.697999999999993</v>
      </c>
      <c r="F100" s="69">
        <v>97.14</v>
      </c>
      <c r="G100" s="69">
        <v>504.12599999999998</v>
      </c>
      <c r="H100" s="69">
        <v>76.460999999999999</v>
      </c>
      <c r="I100" s="69">
        <v>136.43600000000001</v>
      </c>
      <c r="J100" s="69">
        <v>26.166</v>
      </c>
      <c r="K100" s="69">
        <v>58.856000000000002</v>
      </c>
      <c r="L100" s="69">
        <v>38.008000000000003</v>
      </c>
      <c r="M100" s="69">
        <v>31.356999999999999</v>
      </c>
      <c r="N100" s="69">
        <v>243.822</v>
      </c>
      <c r="O100" s="69">
        <v>103.938</v>
      </c>
      <c r="P100" s="69">
        <v>110.04900000000001</v>
      </c>
      <c r="Q100" s="69">
        <v>105.358</v>
      </c>
      <c r="R100" s="69">
        <v>117.048</v>
      </c>
      <c r="S100" s="69">
        <v>79.783000000000001</v>
      </c>
      <c r="T100" s="69">
        <v>56.81</v>
      </c>
      <c r="U100" s="69">
        <v>58.16</v>
      </c>
      <c r="V100" s="69">
        <v>502.87</v>
      </c>
      <c r="W100" s="69">
        <v>50.366999999999997</v>
      </c>
      <c r="X100" s="69">
        <v>36.481999999999999</v>
      </c>
      <c r="Y100" s="69">
        <v>164.589</v>
      </c>
      <c r="Z100" s="75">
        <f t="shared" si="1"/>
        <v>6191.6530000000002</v>
      </c>
    </row>
    <row r="101" spans="1:26" x14ac:dyDescent="0.3">
      <c r="A101" s="68">
        <v>42767</v>
      </c>
      <c r="B101" s="69">
        <v>1949.1469999999999</v>
      </c>
      <c r="C101" s="69">
        <v>1533.896</v>
      </c>
      <c r="D101" s="69">
        <v>31.311</v>
      </c>
      <c r="E101" s="69">
        <v>76.932000000000002</v>
      </c>
      <c r="F101" s="69">
        <v>97.278000000000006</v>
      </c>
      <c r="G101" s="69">
        <v>504.37299999999999</v>
      </c>
      <c r="H101" s="69">
        <v>76.585999999999999</v>
      </c>
      <c r="I101" s="69">
        <v>135.934</v>
      </c>
      <c r="J101" s="69">
        <v>26.33</v>
      </c>
      <c r="K101" s="69">
        <v>59.113</v>
      </c>
      <c r="L101" s="69">
        <v>37.887</v>
      </c>
      <c r="M101" s="69">
        <v>33.613999999999997</v>
      </c>
      <c r="N101" s="69">
        <v>243.524</v>
      </c>
      <c r="O101" s="69">
        <v>103.681</v>
      </c>
      <c r="P101" s="69">
        <v>109.18</v>
      </c>
      <c r="Q101" s="69">
        <v>104.268</v>
      </c>
      <c r="R101" s="69">
        <v>116.849</v>
      </c>
      <c r="S101" s="69">
        <v>79.628</v>
      </c>
      <c r="T101" s="69">
        <v>56.393999999999998</v>
      </c>
      <c r="U101" s="69">
        <v>58.238</v>
      </c>
      <c r="V101" s="69">
        <v>504.09800000000001</v>
      </c>
      <c r="W101" s="69">
        <v>50.469000000000001</v>
      </c>
      <c r="X101" s="69">
        <v>36.533000000000001</v>
      </c>
      <c r="Y101" s="69">
        <v>165.12</v>
      </c>
      <c r="Z101" s="75">
        <f t="shared" si="1"/>
        <v>6190.3829999999998</v>
      </c>
    </row>
    <row r="102" spans="1:26" x14ac:dyDescent="0.3">
      <c r="A102" s="68">
        <v>42795</v>
      </c>
      <c r="B102" s="69">
        <v>1955.173</v>
      </c>
      <c r="C102" s="69">
        <v>1539.663</v>
      </c>
      <c r="D102" s="69">
        <v>31.661000000000001</v>
      </c>
      <c r="E102" s="69">
        <v>76.962000000000003</v>
      </c>
      <c r="F102" s="69">
        <v>97.412999999999997</v>
      </c>
      <c r="G102" s="69">
        <v>504.22199999999998</v>
      </c>
      <c r="H102" s="69">
        <v>76.527000000000001</v>
      </c>
      <c r="I102" s="69">
        <v>136.33500000000001</v>
      </c>
      <c r="J102" s="69">
        <v>26.341999999999999</v>
      </c>
      <c r="K102" s="69">
        <v>60.914000000000001</v>
      </c>
      <c r="L102" s="69">
        <v>37.69</v>
      </c>
      <c r="M102" s="69">
        <v>33.002000000000002</v>
      </c>
      <c r="N102" s="69">
        <v>243.047</v>
      </c>
      <c r="O102" s="69">
        <v>103.239</v>
      </c>
      <c r="P102" s="69">
        <v>108.71599999999999</v>
      </c>
      <c r="Q102" s="69">
        <v>104.569</v>
      </c>
      <c r="R102" s="69">
        <v>117.217</v>
      </c>
      <c r="S102" s="69">
        <v>79.632999999999996</v>
      </c>
      <c r="T102" s="69">
        <v>56.396999999999998</v>
      </c>
      <c r="U102" s="69">
        <v>58.273000000000003</v>
      </c>
      <c r="V102" s="69">
        <v>505.26</v>
      </c>
      <c r="W102" s="69">
        <v>50.401000000000003</v>
      </c>
      <c r="X102" s="69">
        <v>36.454000000000001</v>
      </c>
      <c r="Y102" s="69">
        <v>166.17099999999999</v>
      </c>
      <c r="Z102" s="75">
        <f t="shared" si="1"/>
        <v>6205.280999999999</v>
      </c>
    </row>
    <row r="103" spans="1:26" x14ac:dyDescent="0.3">
      <c r="A103" s="68">
        <v>42826</v>
      </c>
      <c r="B103" s="69">
        <v>1954.492</v>
      </c>
      <c r="C103" s="69">
        <v>1541.9970000000001</v>
      </c>
      <c r="D103" s="69">
        <v>34.121000000000002</v>
      </c>
      <c r="E103" s="69">
        <v>76.340999999999994</v>
      </c>
      <c r="F103" s="69">
        <v>97.46</v>
      </c>
      <c r="G103" s="69">
        <v>503.63200000000001</v>
      </c>
      <c r="H103" s="69">
        <v>76.400000000000006</v>
      </c>
      <c r="I103" s="69">
        <v>136.029</v>
      </c>
      <c r="J103" s="69">
        <v>26.096</v>
      </c>
      <c r="K103" s="69">
        <v>58.213000000000001</v>
      </c>
      <c r="L103" s="69">
        <v>37.509</v>
      </c>
      <c r="M103" s="69">
        <v>32.420999999999999</v>
      </c>
      <c r="N103" s="69">
        <v>240.33199999999999</v>
      </c>
      <c r="O103" s="69">
        <v>103.649</v>
      </c>
      <c r="P103" s="69">
        <v>108.17</v>
      </c>
      <c r="Q103" s="69">
        <v>104.536</v>
      </c>
      <c r="R103" s="69">
        <v>116.295</v>
      </c>
      <c r="S103" s="69">
        <v>79.120999999999995</v>
      </c>
      <c r="T103" s="69">
        <v>55.978000000000002</v>
      </c>
      <c r="U103" s="69">
        <v>58.002000000000002</v>
      </c>
      <c r="V103" s="69">
        <v>503.577</v>
      </c>
      <c r="W103" s="69">
        <v>51.212000000000003</v>
      </c>
      <c r="X103" s="69">
        <v>36.311</v>
      </c>
      <c r="Y103" s="69">
        <v>165.63499999999999</v>
      </c>
      <c r="Z103" s="75">
        <f t="shared" si="1"/>
        <v>6197.5290000000014</v>
      </c>
    </row>
    <row r="104" spans="1:26" x14ac:dyDescent="0.3">
      <c r="A104" s="68">
        <v>42856</v>
      </c>
      <c r="B104" s="69">
        <v>1956.4880000000001</v>
      </c>
      <c r="C104" s="69">
        <v>1541.807</v>
      </c>
      <c r="D104" s="69">
        <v>32.371000000000002</v>
      </c>
      <c r="E104" s="69">
        <v>76.796999999999997</v>
      </c>
      <c r="F104" s="69">
        <v>97.787999999999997</v>
      </c>
      <c r="G104" s="69">
        <v>506.52300000000002</v>
      </c>
      <c r="H104" s="69">
        <v>76.838999999999999</v>
      </c>
      <c r="I104" s="69">
        <v>136.41800000000001</v>
      </c>
      <c r="J104" s="69">
        <v>26.259</v>
      </c>
      <c r="K104" s="69">
        <v>58.448999999999998</v>
      </c>
      <c r="L104" s="69">
        <v>37.581000000000003</v>
      </c>
      <c r="M104" s="69">
        <v>32.47</v>
      </c>
      <c r="N104" s="69">
        <v>243.89699999999999</v>
      </c>
      <c r="O104" s="69">
        <v>105.099</v>
      </c>
      <c r="P104" s="69">
        <v>108.74</v>
      </c>
      <c r="Q104" s="69">
        <v>104.774</v>
      </c>
      <c r="R104" s="69">
        <v>115.122</v>
      </c>
      <c r="S104" s="69">
        <v>79.334000000000003</v>
      </c>
      <c r="T104" s="69">
        <v>55.917999999999999</v>
      </c>
      <c r="U104" s="69">
        <v>58.052</v>
      </c>
      <c r="V104" s="69">
        <v>506.26400000000001</v>
      </c>
      <c r="W104" s="69">
        <v>51.566000000000003</v>
      </c>
      <c r="X104" s="69">
        <v>36.337000000000003</v>
      </c>
      <c r="Y104" s="69">
        <v>166.81299999999999</v>
      </c>
      <c r="Z104" s="75">
        <f t="shared" si="1"/>
        <v>6211.7060000000001</v>
      </c>
    </row>
    <row r="105" spans="1:26" x14ac:dyDescent="0.3">
      <c r="A105" s="68">
        <v>42887</v>
      </c>
      <c r="B105" s="69">
        <v>1959.742</v>
      </c>
      <c r="C105" s="69">
        <v>1544.328</v>
      </c>
      <c r="D105" s="69">
        <v>32.298999999999999</v>
      </c>
      <c r="E105" s="69">
        <v>77.106999999999999</v>
      </c>
      <c r="F105" s="69">
        <v>97.727999999999994</v>
      </c>
      <c r="G105" s="69">
        <v>508.18599999999998</v>
      </c>
      <c r="H105" s="69">
        <v>77.13</v>
      </c>
      <c r="I105" s="69">
        <v>136.52199999999999</v>
      </c>
      <c r="J105" s="69">
        <v>26.327000000000002</v>
      </c>
      <c r="K105" s="69">
        <v>58.417000000000002</v>
      </c>
      <c r="L105" s="69">
        <v>37.579000000000001</v>
      </c>
      <c r="M105" s="69">
        <v>32.209000000000003</v>
      </c>
      <c r="N105" s="69">
        <v>244.685</v>
      </c>
      <c r="O105" s="69">
        <v>105.483</v>
      </c>
      <c r="P105" s="69">
        <v>109.557</v>
      </c>
      <c r="Q105" s="69">
        <v>105.223</v>
      </c>
      <c r="R105" s="69">
        <v>116.357</v>
      </c>
      <c r="S105" s="69">
        <v>80.488</v>
      </c>
      <c r="T105" s="69">
        <v>56.222000000000001</v>
      </c>
      <c r="U105" s="69">
        <v>57.942</v>
      </c>
      <c r="V105" s="69">
        <v>505.85</v>
      </c>
      <c r="W105" s="69">
        <v>52.176000000000002</v>
      </c>
      <c r="X105" s="69">
        <v>36.524000000000001</v>
      </c>
      <c r="Y105" s="69">
        <v>167.32400000000001</v>
      </c>
      <c r="Z105" s="75">
        <f t="shared" si="1"/>
        <v>6225.4050000000007</v>
      </c>
    </row>
    <row r="106" spans="1:26" x14ac:dyDescent="0.3">
      <c r="A106" s="68">
        <v>42917</v>
      </c>
      <c r="B106" s="69">
        <v>1961.499</v>
      </c>
      <c r="C106" s="69">
        <v>1547.8510000000001</v>
      </c>
      <c r="D106" s="69">
        <v>32.442999999999998</v>
      </c>
      <c r="E106" s="69">
        <v>77.611999999999995</v>
      </c>
      <c r="F106" s="69">
        <v>97.350999999999999</v>
      </c>
      <c r="G106" s="69">
        <v>509.68</v>
      </c>
      <c r="H106" s="69">
        <v>77.406000000000006</v>
      </c>
      <c r="I106" s="69">
        <v>136.017</v>
      </c>
      <c r="J106" s="69">
        <v>26.533999999999999</v>
      </c>
      <c r="K106" s="69">
        <v>58.151000000000003</v>
      </c>
      <c r="L106" s="69">
        <v>37.707999999999998</v>
      </c>
      <c r="M106" s="69">
        <v>32.014000000000003</v>
      </c>
      <c r="N106" s="69">
        <v>244.64699999999999</v>
      </c>
      <c r="O106" s="69">
        <v>105.733</v>
      </c>
      <c r="P106" s="69">
        <v>110.069</v>
      </c>
      <c r="Q106" s="69">
        <v>104.99299999999999</v>
      </c>
      <c r="R106" s="69">
        <v>117.92400000000001</v>
      </c>
      <c r="S106" s="69">
        <v>80.396000000000001</v>
      </c>
      <c r="T106" s="69">
        <v>56.307000000000002</v>
      </c>
      <c r="U106" s="69">
        <v>58.043999999999997</v>
      </c>
      <c r="V106" s="69">
        <v>506.8</v>
      </c>
      <c r="W106" s="69">
        <v>52.58</v>
      </c>
      <c r="X106" s="69">
        <v>36.631999999999998</v>
      </c>
      <c r="Y106" s="69">
        <v>167.04300000000001</v>
      </c>
      <c r="Z106" s="75">
        <f t="shared" si="1"/>
        <v>6235.4339999999993</v>
      </c>
    </row>
    <row r="107" spans="1:26" x14ac:dyDescent="0.3">
      <c r="A107" s="68">
        <v>42948</v>
      </c>
      <c r="B107" s="69">
        <v>1960.7719999999999</v>
      </c>
      <c r="C107" s="69">
        <v>1548.347</v>
      </c>
      <c r="D107" s="69">
        <v>32.189</v>
      </c>
      <c r="E107" s="69">
        <v>77.8</v>
      </c>
      <c r="F107" s="69">
        <v>97.228999999999999</v>
      </c>
      <c r="G107" s="69">
        <v>511.01900000000001</v>
      </c>
      <c r="H107" s="69">
        <v>77.332999999999998</v>
      </c>
      <c r="I107" s="69">
        <v>136.255</v>
      </c>
      <c r="J107" s="69">
        <v>26.623999999999999</v>
      </c>
      <c r="K107" s="69">
        <v>58.819000000000003</v>
      </c>
      <c r="L107" s="69">
        <v>37.74</v>
      </c>
      <c r="M107" s="69">
        <v>30.824000000000002</v>
      </c>
      <c r="N107" s="69">
        <v>244.72399999999999</v>
      </c>
      <c r="O107" s="69">
        <v>104.223</v>
      </c>
      <c r="P107" s="69">
        <v>110.47499999999999</v>
      </c>
      <c r="Q107" s="69">
        <v>104.94199999999999</v>
      </c>
      <c r="R107" s="69">
        <v>116.345</v>
      </c>
      <c r="S107" s="69">
        <v>80.841999999999999</v>
      </c>
      <c r="T107" s="69">
        <v>56.356000000000002</v>
      </c>
      <c r="U107" s="69">
        <v>57.851999999999997</v>
      </c>
      <c r="V107" s="69">
        <v>506.24900000000002</v>
      </c>
      <c r="W107" s="69">
        <v>52.956000000000003</v>
      </c>
      <c r="X107" s="69">
        <v>36.704999999999998</v>
      </c>
      <c r="Y107" s="69">
        <v>166.56800000000001</v>
      </c>
      <c r="Z107" s="75">
        <f t="shared" si="1"/>
        <v>6233.1879999999992</v>
      </c>
    </row>
    <row r="108" spans="1:26" x14ac:dyDescent="0.3">
      <c r="A108" s="68">
        <v>42979</v>
      </c>
      <c r="B108" s="69">
        <v>1963.7249999999999</v>
      </c>
      <c r="C108" s="69">
        <v>1548.5630000000001</v>
      </c>
      <c r="D108" s="69">
        <v>31.917999999999999</v>
      </c>
      <c r="E108" s="69">
        <v>77.912999999999997</v>
      </c>
      <c r="F108" s="69">
        <v>97.438000000000002</v>
      </c>
      <c r="G108" s="69">
        <v>513.09</v>
      </c>
      <c r="H108" s="69">
        <v>77.585999999999999</v>
      </c>
      <c r="I108" s="69">
        <v>137.79900000000001</v>
      </c>
      <c r="J108" s="69">
        <v>26.6</v>
      </c>
      <c r="K108" s="69">
        <v>59.329000000000001</v>
      </c>
      <c r="L108" s="69">
        <v>37.549999999999997</v>
      </c>
      <c r="M108" s="69">
        <v>30.917999999999999</v>
      </c>
      <c r="N108" s="69">
        <v>244.595</v>
      </c>
      <c r="O108" s="69">
        <v>103.02</v>
      </c>
      <c r="P108" s="69">
        <v>111.077</v>
      </c>
      <c r="Q108" s="69">
        <v>104.66200000000001</v>
      </c>
      <c r="R108" s="69">
        <v>116.702</v>
      </c>
      <c r="S108" s="69">
        <v>81.494</v>
      </c>
      <c r="T108" s="69">
        <v>56.070999999999998</v>
      </c>
      <c r="U108" s="69">
        <v>57.7</v>
      </c>
      <c r="V108" s="69">
        <v>507.76</v>
      </c>
      <c r="W108" s="69">
        <v>53.423999999999999</v>
      </c>
      <c r="X108" s="69">
        <v>36.847999999999999</v>
      </c>
      <c r="Y108" s="69">
        <v>169.048</v>
      </c>
      <c r="Z108" s="75">
        <f t="shared" si="1"/>
        <v>6244.8300000000008</v>
      </c>
    </row>
    <row r="109" spans="1:26" x14ac:dyDescent="0.3">
      <c r="A109" s="68">
        <v>43009</v>
      </c>
      <c r="B109" s="69">
        <v>1967.327</v>
      </c>
      <c r="C109" s="69">
        <v>1550.2470000000001</v>
      </c>
      <c r="D109" s="69">
        <v>31.663</v>
      </c>
      <c r="E109" s="69">
        <v>78</v>
      </c>
      <c r="F109" s="69">
        <v>97.447000000000003</v>
      </c>
      <c r="G109" s="69">
        <v>515.76199999999994</v>
      </c>
      <c r="H109" s="69">
        <v>77.438000000000002</v>
      </c>
      <c r="I109" s="69">
        <v>137.256</v>
      </c>
      <c r="J109" s="69">
        <v>26.396999999999998</v>
      </c>
      <c r="K109" s="69">
        <v>59.127000000000002</v>
      </c>
      <c r="L109" s="69">
        <v>37.655000000000001</v>
      </c>
      <c r="M109" s="69">
        <v>30.917999999999999</v>
      </c>
      <c r="N109" s="69">
        <v>243.96700000000001</v>
      </c>
      <c r="O109" s="69">
        <v>103.059</v>
      </c>
      <c r="P109" s="69">
        <v>111.76</v>
      </c>
      <c r="Q109" s="69">
        <v>104.494</v>
      </c>
      <c r="R109" s="69">
        <v>116.777</v>
      </c>
      <c r="S109" s="69">
        <v>81.781999999999996</v>
      </c>
      <c r="T109" s="69">
        <v>56.06</v>
      </c>
      <c r="U109" s="69">
        <v>57.445</v>
      </c>
      <c r="V109" s="69">
        <v>510.048</v>
      </c>
      <c r="W109" s="69">
        <v>53.759</v>
      </c>
      <c r="X109" s="69">
        <v>37.054000000000002</v>
      </c>
      <c r="Y109" s="69">
        <v>170.24600000000001</v>
      </c>
      <c r="Z109" s="75">
        <f t="shared" si="1"/>
        <v>6255.6880000000001</v>
      </c>
    </row>
    <row r="110" spans="1:26" x14ac:dyDescent="0.3">
      <c r="A110" s="68">
        <v>43040</v>
      </c>
      <c r="B110" s="69">
        <v>1968.298</v>
      </c>
      <c r="C110" s="69">
        <v>1555.029</v>
      </c>
      <c r="D110" s="69">
        <v>31.518999999999998</v>
      </c>
      <c r="E110" s="69">
        <v>78.364999999999995</v>
      </c>
      <c r="F110" s="69">
        <v>96.995999999999995</v>
      </c>
      <c r="G110" s="69">
        <v>517.41399999999999</v>
      </c>
      <c r="H110" s="69">
        <v>77.468999999999994</v>
      </c>
      <c r="I110" s="69">
        <v>134.90700000000001</v>
      </c>
      <c r="J110" s="69">
        <v>26.408999999999999</v>
      </c>
      <c r="K110" s="69">
        <v>59.929000000000002</v>
      </c>
      <c r="L110" s="69">
        <v>37.603000000000002</v>
      </c>
      <c r="M110" s="69">
        <v>31.172999999999998</v>
      </c>
      <c r="N110" s="69">
        <v>244.87799999999999</v>
      </c>
      <c r="O110" s="69">
        <v>104.20699999999999</v>
      </c>
      <c r="P110" s="69">
        <v>112.645</v>
      </c>
      <c r="Q110" s="69">
        <v>105.126</v>
      </c>
      <c r="R110" s="69">
        <v>116.935</v>
      </c>
      <c r="S110" s="69">
        <v>82.135000000000005</v>
      </c>
      <c r="T110" s="69">
        <v>55.899000000000001</v>
      </c>
      <c r="U110" s="69">
        <v>57.424999999999997</v>
      </c>
      <c r="V110" s="69">
        <v>511.31099999999998</v>
      </c>
      <c r="W110" s="69">
        <v>53.975999999999999</v>
      </c>
      <c r="X110" s="69">
        <v>37.256</v>
      </c>
      <c r="Y110" s="69">
        <v>170.78399999999999</v>
      </c>
      <c r="Z110" s="75">
        <f t="shared" si="1"/>
        <v>6267.688000000001</v>
      </c>
    </row>
    <row r="111" spans="1:26" x14ac:dyDescent="0.3">
      <c r="A111" s="68">
        <v>43070</v>
      </c>
      <c r="B111" s="69">
        <v>1969.5719999999999</v>
      </c>
      <c r="C111" s="69">
        <v>1557.143</v>
      </c>
      <c r="D111" s="69">
        <v>31.396999999999998</v>
      </c>
      <c r="E111" s="69">
        <v>78.298000000000002</v>
      </c>
      <c r="F111" s="69">
        <v>96.963999999999999</v>
      </c>
      <c r="G111" s="69">
        <v>519.32600000000002</v>
      </c>
      <c r="H111" s="69">
        <v>78.215000000000003</v>
      </c>
      <c r="I111" s="69">
        <v>136.548</v>
      </c>
      <c r="J111" s="69">
        <v>26.387</v>
      </c>
      <c r="K111" s="69">
        <v>60.320999999999998</v>
      </c>
      <c r="L111" s="69">
        <v>37.584000000000003</v>
      </c>
      <c r="M111" s="69">
        <v>31.489000000000001</v>
      </c>
      <c r="N111" s="69">
        <v>246.096</v>
      </c>
      <c r="O111" s="69">
        <v>104.88800000000001</v>
      </c>
      <c r="P111" s="69">
        <v>112.931</v>
      </c>
      <c r="Q111" s="69">
        <v>105.512</v>
      </c>
      <c r="R111" s="69">
        <v>118.78700000000001</v>
      </c>
      <c r="S111" s="69">
        <v>82.221999999999994</v>
      </c>
      <c r="T111" s="69">
        <v>55.878</v>
      </c>
      <c r="U111" s="69">
        <v>56.920999999999999</v>
      </c>
      <c r="V111" s="69">
        <v>511.82600000000002</v>
      </c>
      <c r="W111" s="69">
        <v>54.430999999999997</v>
      </c>
      <c r="X111" s="69">
        <v>37.494999999999997</v>
      </c>
      <c r="Y111" s="69">
        <v>171.66399999999999</v>
      </c>
      <c r="Z111" s="75">
        <f t="shared" si="1"/>
        <v>6281.8949999999968</v>
      </c>
    </row>
    <row r="112" spans="1:26" x14ac:dyDescent="0.3">
      <c r="A112" s="68">
        <v>43101</v>
      </c>
      <c r="B112" s="69">
        <v>1967.7139999999999</v>
      </c>
      <c r="C112" s="69">
        <v>1555.085</v>
      </c>
      <c r="D112" s="69">
        <v>31.253</v>
      </c>
      <c r="E112" s="69">
        <v>77.92</v>
      </c>
      <c r="F112" s="69">
        <v>96.344999999999999</v>
      </c>
      <c r="G112" s="69">
        <v>519.39499999999998</v>
      </c>
      <c r="H112" s="69">
        <v>78.584000000000003</v>
      </c>
      <c r="I112" s="69">
        <v>135.876</v>
      </c>
      <c r="J112" s="69">
        <v>27.058</v>
      </c>
      <c r="K112" s="69">
        <v>60.45</v>
      </c>
      <c r="L112" s="69">
        <v>37.722999999999999</v>
      </c>
      <c r="M112" s="69">
        <v>30.431000000000001</v>
      </c>
      <c r="N112" s="69">
        <v>244.93899999999999</v>
      </c>
      <c r="O112" s="69">
        <v>105.194</v>
      </c>
      <c r="P112" s="69">
        <v>114.167</v>
      </c>
      <c r="Q112" s="69">
        <v>104.30500000000001</v>
      </c>
      <c r="R112" s="69">
        <v>117.242</v>
      </c>
      <c r="S112" s="69">
        <v>82.16</v>
      </c>
      <c r="T112" s="69">
        <v>55.652999999999999</v>
      </c>
      <c r="U112" s="69">
        <v>56.83</v>
      </c>
      <c r="V112" s="69">
        <v>510.74799999999999</v>
      </c>
      <c r="W112" s="69">
        <v>54.201000000000001</v>
      </c>
      <c r="X112" s="69">
        <v>37.753</v>
      </c>
      <c r="Y112" s="69">
        <v>172.63800000000001</v>
      </c>
      <c r="Z112" s="75">
        <f t="shared" si="1"/>
        <v>6273.6639999999998</v>
      </c>
    </row>
    <row r="113" spans="1:26" x14ac:dyDescent="0.3">
      <c r="A113" s="68">
        <v>43132</v>
      </c>
      <c r="B113" s="69">
        <v>1965.6790000000001</v>
      </c>
      <c r="C113" s="69">
        <v>1554.375</v>
      </c>
      <c r="D113" s="69">
        <v>31.209</v>
      </c>
      <c r="E113" s="69">
        <v>77.894999999999996</v>
      </c>
      <c r="F113" s="69">
        <v>95.629000000000005</v>
      </c>
      <c r="G113" s="69">
        <v>520.24400000000003</v>
      </c>
      <c r="H113" s="69">
        <v>78.873999999999995</v>
      </c>
      <c r="I113" s="69">
        <v>137.179</v>
      </c>
      <c r="J113" s="69">
        <v>26.100999999999999</v>
      </c>
      <c r="K113" s="69">
        <v>60.417000000000002</v>
      </c>
      <c r="L113" s="69">
        <v>37.892000000000003</v>
      </c>
      <c r="M113" s="69">
        <v>29.54</v>
      </c>
      <c r="N113" s="69">
        <v>246.98699999999999</v>
      </c>
      <c r="O113" s="69">
        <v>105.126</v>
      </c>
      <c r="P113" s="69">
        <v>114.154</v>
      </c>
      <c r="Q113" s="69">
        <v>103.30800000000001</v>
      </c>
      <c r="R113" s="69">
        <v>116.822</v>
      </c>
      <c r="S113" s="69">
        <v>82.01</v>
      </c>
      <c r="T113" s="69">
        <v>55.682000000000002</v>
      </c>
      <c r="U113" s="69">
        <v>56.119</v>
      </c>
      <c r="V113" s="69">
        <v>510.19499999999999</v>
      </c>
      <c r="W113" s="69">
        <v>54.436999999999998</v>
      </c>
      <c r="X113" s="69">
        <v>38.040999999999997</v>
      </c>
      <c r="Y113" s="69">
        <v>172.45599999999999</v>
      </c>
      <c r="Z113" s="75">
        <f t="shared" si="1"/>
        <v>6270.3709999999992</v>
      </c>
    </row>
    <row r="114" spans="1:26" x14ac:dyDescent="0.3">
      <c r="A114" s="68">
        <v>43160</v>
      </c>
      <c r="B114" s="69">
        <v>1966.9159999999999</v>
      </c>
      <c r="C114" s="69">
        <v>1556.2560000000001</v>
      </c>
      <c r="D114" s="69">
        <v>30.832000000000001</v>
      </c>
      <c r="E114" s="69">
        <v>78.075999999999993</v>
      </c>
      <c r="F114" s="69">
        <v>95.760999999999996</v>
      </c>
      <c r="G114" s="69">
        <v>520.92100000000005</v>
      </c>
      <c r="H114" s="69">
        <v>79.061999999999998</v>
      </c>
      <c r="I114" s="69">
        <v>136.96700000000001</v>
      </c>
      <c r="J114" s="69">
        <v>26.248000000000001</v>
      </c>
      <c r="K114" s="69">
        <v>60.758000000000003</v>
      </c>
      <c r="L114" s="69">
        <v>38.14</v>
      </c>
      <c r="M114" s="69">
        <v>29.408000000000001</v>
      </c>
      <c r="N114" s="69">
        <v>248.471</v>
      </c>
      <c r="O114" s="69">
        <v>105.983</v>
      </c>
      <c r="P114" s="69">
        <v>114.617</v>
      </c>
      <c r="Q114" s="69">
        <v>104.014</v>
      </c>
      <c r="R114" s="69">
        <v>116.74299999999999</v>
      </c>
      <c r="S114" s="69">
        <v>82.13</v>
      </c>
      <c r="T114" s="69">
        <v>55.61</v>
      </c>
      <c r="U114" s="69">
        <v>56.097000000000001</v>
      </c>
      <c r="V114" s="69">
        <v>510.59399999999999</v>
      </c>
      <c r="W114" s="69">
        <v>54.637999999999998</v>
      </c>
      <c r="X114" s="69">
        <v>38.24</v>
      </c>
      <c r="Y114" s="69">
        <v>172.60599999999999</v>
      </c>
      <c r="Z114" s="75">
        <f t="shared" si="1"/>
        <v>6279.0879999999988</v>
      </c>
    </row>
    <row r="115" spans="1:26" x14ac:dyDescent="0.3">
      <c r="A115" s="68">
        <v>43191</v>
      </c>
      <c r="B115" s="69">
        <v>1966.6489999999999</v>
      </c>
      <c r="C115" s="69">
        <v>1555.2190000000001</v>
      </c>
      <c r="D115" s="69">
        <v>30.73</v>
      </c>
      <c r="E115" s="69">
        <v>77.945999999999998</v>
      </c>
      <c r="F115" s="69">
        <v>95.971000000000004</v>
      </c>
      <c r="G115" s="69">
        <v>521.14700000000005</v>
      </c>
      <c r="H115" s="69">
        <v>79.626999999999995</v>
      </c>
      <c r="I115" s="69">
        <v>137.399</v>
      </c>
      <c r="J115" s="69">
        <v>26.253</v>
      </c>
      <c r="K115" s="69">
        <v>60.87</v>
      </c>
      <c r="L115" s="69">
        <v>38.197000000000003</v>
      </c>
      <c r="M115" s="69">
        <v>29.497</v>
      </c>
      <c r="N115" s="69">
        <v>247.95699999999999</v>
      </c>
      <c r="O115" s="69">
        <v>106.95</v>
      </c>
      <c r="P115" s="69">
        <v>115.434</v>
      </c>
      <c r="Q115" s="69">
        <v>104.646</v>
      </c>
      <c r="R115" s="69">
        <v>116.93899999999999</v>
      </c>
      <c r="S115" s="69">
        <v>82.21</v>
      </c>
      <c r="T115" s="69">
        <v>55.595999999999997</v>
      </c>
      <c r="U115" s="69">
        <v>56.058</v>
      </c>
      <c r="V115" s="69">
        <v>510.97800000000001</v>
      </c>
      <c r="W115" s="69">
        <v>54.743000000000002</v>
      </c>
      <c r="X115" s="69">
        <v>38.082000000000001</v>
      </c>
      <c r="Y115" s="69">
        <v>172.74199999999999</v>
      </c>
      <c r="Z115" s="75">
        <f t="shared" si="1"/>
        <v>6281.840000000002</v>
      </c>
    </row>
    <row r="116" spans="1:26" x14ac:dyDescent="0.3">
      <c r="A116" s="68">
        <v>43221</v>
      </c>
      <c r="B116" s="69">
        <v>1965.424</v>
      </c>
      <c r="C116" s="69">
        <v>1555.2819999999999</v>
      </c>
      <c r="D116" s="69">
        <v>30.47</v>
      </c>
      <c r="E116" s="69">
        <v>77.551000000000002</v>
      </c>
      <c r="F116" s="69">
        <v>95.677999999999997</v>
      </c>
      <c r="G116" s="69">
        <v>519.21900000000005</v>
      </c>
      <c r="H116" s="69">
        <v>79.096999999999994</v>
      </c>
      <c r="I116" s="69">
        <v>136.077</v>
      </c>
      <c r="J116" s="69">
        <v>26.26</v>
      </c>
      <c r="K116" s="69">
        <v>61.399000000000001</v>
      </c>
      <c r="L116" s="69">
        <v>38.228999999999999</v>
      </c>
      <c r="M116" s="69">
        <v>29.253</v>
      </c>
      <c r="N116" s="69">
        <v>247.61500000000001</v>
      </c>
      <c r="O116" s="69">
        <v>106.194</v>
      </c>
      <c r="P116" s="69">
        <v>116.169</v>
      </c>
      <c r="Q116" s="69">
        <v>104.423</v>
      </c>
      <c r="R116" s="69">
        <v>116.887</v>
      </c>
      <c r="S116" s="69">
        <v>82.117999999999995</v>
      </c>
      <c r="T116" s="69">
        <v>55.186999999999998</v>
      </c>
      <c r="U116" s="69">
        <v>56.256999999999998</v>
      </c>
      <c r="V116" s="69">
        <v>510.26900000000001</v>
      </c>
      <c r="W116" s="69">
        <v>54.462000000000003</v>
      </c>
      <c r="X116" s="69">
        <v>38.116</v>
      </c>
      <c r="Y116" s="69">
        <v>172.32900000000001</v>
      </c>
      <c r="Z116" s="75">
        <f t="shared" si="1"/>
        <v>6273.9650000000001</v>
      </c>
    </row>
    <row r="117" spans="1:26" x14ac:dyDescent="0.3">
      <c r="A117" s="68">
        <v>43252</v>
      </c>
      <c r="B117" s="69">
        <v>1957.0630000000001</v>
      </c>
      <c r="C117" s="69">
        <v>1553.2719999999999</v>
      </c>
      <c r="D117" s="69">
        <v>30.518000000000001</v>
      </c>
      <c r="E117" s="69">
        <v>77.033000000000001</v>
      </c>
      <c r="F117" s="69">
        <v>95.435000000000002</v>
      </c>
      <c r="G117" s="69">
        <v>518.12300000000005</v>
      </c>
      <c r="H117" s="69">
        <v>78.896000000000001</v>
      </c>
      <c r="I117" s="69">
        <v>135.56200000000001</v>
      </c>
      <c r="J117" s="69">
        <v>26.030999999999999</v>
      </c>
      <c r="K117" s="69">
        <v>61.189</v>
      </c>
      <c r="L117" s="69">
        <v>38.058</v>
      </c>
      <c r="M117" s="69">
        <v>29.27</v>
      </c>
      <c r="N117" s="69">
        <v>246.62799999999999</v>
      </c>
      <c r="O117" s="69">
        <v>105.16</v>
      </c>
      <c r="P117" s="69">
        <v>116.108</v>
      </c>
      <c r="Q117" s="69">
        <v>104.083</v>
      </c>
      <c r="R117" s="69">
        <v>115.935</v>
      </c>
      <c r="S117" s="69">
        <v>81.763000000000005</v>
      </c>
      <c r="T117" s="69">
        <v>54.750999999999998</v>
      </c>
      <c r="U117" s="69">
        <v>55.853000000000002</v>
      </c>
      <c r="V117" s="69">
        <v>508.971</v>
      </c>
      <c r="W117" s="69">
        <v>54.154000000000003</v>
      </c>
      <c r="X117" s="69">
        <v>37.209000000000003</v>
      </c>
      <c r="Y117" s="69">
        <v>171.71799999999999</v>
      </c>
      <c r="Z117" s="75">
        <f t="shared" si="1"/>
        <v>6252.7829999999994</v>
      </c>
    </row>
    <row r="118" spans="1:26" x14ac:dyDescent="0.3">
      <c r="A118" s="68">
        <v>43282</v>
      </c>
      <c r="B118" s="69">
        <v>1953.4259999999999</v>
      </c>
      <c r="C118" s="69">
        <v>1548.52</v>
      </c>
      <c r="D118" s="69">
        <v>30.443999999999999</v>
      </c>
      <c r="E118" s="69">
        <v>76.277000000000001</v>
      </c>
      <c r="F118" s="69">
        <v>95.287999999999997</v>
      </c>
      <c r="G118" s="69">
        <v>517.46799999999996</v>
      </c>
      <c r="H118" s="69">
        <v>78.313000000000002</v>
      </c>
      <c r="I118" s="69">
        <v>135.887</v>
      </c>
      <c r="J118" s="69">
        <v>25.802</v>
      </c>
      <c r="K118" s="69">
        <v>60.866</v>
      </c>
      <c r="L118" s="69">
        <v>37.887999999999998</v>
      </c>
      <c r="M118" s="69">
        <v>29.677</v>
      </c>
      <c r="N118" s="69">
        <v>247.31200000000001</v>
      </c>
      <c r="O118" s="69">
        <v>104.762</v>
      </c>
      <c r="P118" s="69">
        <v>116.122</v>
      </c>
      <c r="Q118" s="69">
        <v>104.19199999999999</v>
      </c>
      <c r="R118" s="69">
        <v>116.235</v>
      </c>
      <c r="S118" s="69">
        <v>81.665999999999997</v>
      </c>
      <c r="T118" s="69">
        <v>54.213000000000001</v>
      </c>
      <c r="U118" s="69">
        <v>55.918999999999997</v>
      </c>
      <c r="V118" s="69">
        <v>508.31400000000002</v>
      </c>
      <c r="W118" s="69">
        <v>54.094000000000001</v>
      </c>
      <c r="X118" s="69">
        <v>36.968000000000004</v>
      </c>
      <c r="Y118" s="69">
        <v>173.102</v>
      </c>
      <c r="Z118" s="75">
        <f t="shared" si="1"/>
        <v>6242.7549999999983</v>
      </c>
    </row>
    <row r="119" spans="1:26" x14ac:dyDescent="0.3">
      <c r="A119" s="68">
        <v>43313</v>
      </c>
      <c r="B119" s="69">
        <v>1949.6310000000001</v>
      </c>
      <c r="C119" s="69">
        <v>1545.433</v>
      </c>
      <c r="D119" s="69">
        <v>30.053999999999998</v>
      </c>
      <c r="E119" s="69">
        <v>75.274000000000001</v>
      </c>
      <c r="F119" s="69">
        <v>95.557000000000002</v>
      </c>
      <c r="G119" s="69">
        <v>515.125</v>
      </c>
      <c r="H119" s="69">
        <v>78.084000000000003</v>
      </c>
      <c r="I119" s="69">
        <v>135.114</v>
      </c>
      <c r="J119" s="69">
        <v>25.542999999999999</v>
      </c>
      <c r="K119" s="69">
        <v>60.8</v>
      </c>
      <c r="L119" s="69">
        <v>38.012999999999998</v>
      </c>
      <c r="M119" s="69">
        <v>29.86</v>
      </c>
      <c r="N119" s="69">
        <v>247.078</v>
      </c>
      <c r="O119" s="69">
        <v>104.54900000000001</v>
      </c>
      <c r="P119" s="69">
        <v>116.68</v>
      </c>
      <c r="Q119" s="69">
        <v>103.825</v>
      </c>
      <c r="R119" s="69">
        <v>116.274</v>
      </c>
      <c r="S119" s="69">
        <v>81.680000000000007</v>
      </c>
      <c r="T119" s="69">
        <v>53.75</v>
      </c>
      <c r="U119" s="69">
        <v>56.055</v>
      </c>
      <c r="V119" s="69">
        <v>510.17700000000002</v>
      </c>
      <c r="W119" s="69">
        <v>53.872999999999998</v>
      </c>
      <c r="X119" s="69">
        <v>36.588000000000001</v>
      </c>
      <c r="Y119" s="69">
        <v>174.32400000000001</v>
      </c>
      <c r="Z119" s="75">
        <f t="shared" si="1"/>
        <v>6233.3409999999994</v>
      </c>
    </row>
    <row r="120" spans="1:26" x14ac:dyDescent="0.3">
      <c r="A120" s="68">
        <v>43344</v>
      </c>
      <c r="B120" s="69">
        <v>1942.566</v>
      </c>
      <c r="C120" s="69">
        <v>1542.3240000000001</v>
      </c>
      <c r="D120" s="69">
        <v>29.727</v>
      </c>
      <c r="E120" s="69">
        <v>74.566000000000003</v>
      </c>
      <c r="F120" s="69">
        <v>96.144999999999996</v>
      </c>
      <c r="G120" s="69">
        <v>512.69299999999998</v>
      </c>
      <c r="H120" s="69">
        <v>77.951999999999998</v>
      </c>
      <c r="I120" s="69">
        <v>133.22200000000001</v>
      </c>
      <c r="J120" s="69">
        <v>25.164999999999999</v>
      </c>
      <c r="K120" s="69">
        <v>60.994999999999997</v>
      </c>
      <c r="L120" s="69">
        <v>37.69</v>
      </c>
      <c r="M120" s="69">
        <v>30.135000000000002</v>
      </c>
      <c r="N120" s="69">
        <v>246.39</v>
      </c>
      <c r="O120" s="69">
        <v>103.453</v>
      </c>
      <c r="P120" s="69">
        <v>116.613</v>
      </c>
      <c r="Q120" s="69">
        <v>103.483</v>
      </c>
      <c r="R120" s="69">
        <v>115.81399999999999</v>
      </c>
      <c r="S120" s="69">
        <v>81.441999999999993</v>
      </c>
      <c r="T120" s="69">
        <v>53.536999999999999</v>
      </c>
      <c r="U120" s="69">
        <v>55.545000000000002</v>
      </c>
      <c r="V120" s="69">
        <v>507.90800000000002</v>
      </c>
      <c r="W120" s="69">
        <v>53.637</v>
      </c>
      <c r="X120" s="69">
        <v>36.165999999999997</v>
      </c>
      <c r="Y120" s="69">
        <v>172.49700000000001</v>
      </c>
      <c r="Z120" s="75">
        <f t="shared" si="1"/>
        <v>6209.6650000000018</v>
      </c>
    </row>
    <row r="121" spans="1:26" x14ac:dyDescent="0.3">
      <c r="A121" s="68">
        <v>43374</v>
      </c>
      <c r="B121" s="69">
        <v>1935.626</v>
      </c>
      <c r="C121" s="69">
        <v>1537.9269999999999</v>
      </c>
      <c r="D121" s="69">
        <v>29.361999999999998</v>
      </c>
      <c r="E121" s="69">
        <v>74.102000000000004</v>
      </c>
      <c r="F121" s="69">
        <v>95.984999999999999</v>
      </c>
      <c r="G121" s="69">
        <v>510.31700000000001</v>
      </c>
      <c r="H121" s="69">
        <v>78.293000000000006</v>
      </c>
      <c r="I121" s="69">
        <v>137.04599999999999</v>
      </c>
      <c r="J121" s="69">
        <v>24.791</v>
      </c>
      <c r="K121" s="69">
        <v>61.61</v>
      </c>
      <c r="L121" s="69">
        <v>37.442</v>
      </c>
      <c r="M121" s="69">
        <v>29.963999999999999</v>
      </c>
      <c r="N121" s="69">
        <v>246.38900000000001</v>
      </c>
      <c r="O121" s="69">
        <v>102.512</v>
      </c>
      <c r="P121" s="69">
        <v>117.21599999999999</v>
      </c>
      <c r="Q121" s="69">
        <v>103.11799999999999</v>
      </c>
      <c r="R121" s="69">
        <v>116.733</v>
      </c>
      <c r="S121" s="69">
        <v>81.426000000000002</v>
      </c>
      <c r="T121" s="69">
        <v>53.155000000000001</v>
      </c>
      <c r="U121" s="69">
        <v>55.737000000000002</v>
      </c>
      <c r="V121" s="69">
        <v>506.05200000000002</v>
      </c>
      <c r="W121" s="69">
        <v>53.189</v>
      </c>
      <c r="X121" s="69">
        <v>35.636000000000003</v>
      </c>
      <c r="Y121" s="69">
        <v>172.083</v>
      </c>
      <c r="Z121" s="75">
        <f t="shared" si="1"/>
        <v>6195.7110000000002</v>
      </c>
    </row>
    <row r="122" spans="1:26" x14ac:dyDescent="0.3">
      <c r="A122" s="68">
        <v>43405</v>
      </c>
      <c r="B122" s="69">
        <v>1922.5450000000001</v>
      </c>
      <c r="C122" s="69">
        <v>1531.6</v>
      </c>
      <c r="D122" s="69">
        <v>28.99</v>
      </c>
      <c r="E122" s="69">
        <v>73.484999999999999</v>
      </c>
      <c r="F122" s="69">
        <v>94.013000000000005</v>
      </c>
      <c r="G122" s="69">
        <v>508.435</v>
      </c>
      <c r="H122" s="69">
        <v>77.789000000000001</v>
      </c>
      <c r="I122" s="69">
        <v>136.27699999999999</v>
      </c>
      <c r="J122" s="69">
        <v>24.798999999999999</v>
      </c>
      <c r="K122" s="69">
        <v>62.347000000000001</v>
      </c>
      <c r="L122" s="69">
        <v>37.18</v>
      </c>
      <c r="M122" s="69">
        <v>29.568000000000001</v>
      </c>
      <c r="N122" s="69">
        <v>245.40799999999999</v>
      </c>
      <c r="O122" s="69">
        <v>102.066</v>
      </c>
      <c r="P122" s="69">
        <v>117.86499999999999</v>
      </c>
      <c r="Q122" s="69">
        <v>102.786</v>
      </c>
      <c r="R122" s="69">
        <v>117.09099999999999</v>
      </c>
      <c r="S122" s="69">
        <v>80.832999999999998</v>
      </c>
      <c r="T122" s="69">
        <v>52.969000000000001</v>
      </c>
      <c r="U122" s="69">
        <v>55.868000000000002</v>
      </c>
      <c r="V122" s="69">
        <v>503.33699999999999</v>
      </c>
      <c r="W122" s="69">
        <v>52.88</v>
      </c>
      <c r="X122" s="69">
        <v>35.295000000000002</v>
      </c>
      <c r="Y122" s="69">
        <v>171.654</v>
      </c>
      <c r="Z122" s="75">
        <f t="shared" si="1"/>
        <v>6165.08</v>
      </c>
    </row>
    <row r="123" spans="1:26" x14ac:dyDescent="0.3">
      <c r="A123" s="68">
        <v>43435</v>
      </c>
      <c r="B123" s="69">
        <v>1919.53</v>
      </c>
      <c r="C123" s="69">
        <v>1529.3489999999999</v>
      </c>
      <c r="D123" s="69">
        <v>28.957000000000001</v>
      </c>
      <c r="E123" s="69">
        <v>73.616</v>
      </c>
      <c r="F123" s="69">
        <v>94.408000000000001</v>
      </c>
      <c r="G123" s="69">
        <v>506.85500000000002</v>
      </c>
      <c r="H123" s="69">
        <v>77.171999999999997</v>
      </c>
      <c r="I123" s="69">
        <v>133.62100000000001</v>
      </c>
      <c r="J123" s="69">
        <v>24.71</v>
      </c>
      <c r="K123" s="69">
        <v>62.076000000000001</v>
      </c>
      <c r="L123" s="69">
        <v>37.11</v>
      </c>
      <c r="M123" s="69">
        <v>29.824000000000002</v>
      </c>
      <c r="N123" s="69">
        <v>244.68799999999999</v>
      </c>
      <c r="O123" s="69">
        <v>102.94199999999999</v>
      </c>
      <c r="P123" s="69">
        <v>118.712</v>
      </c>
      <c r="Q123" s="69">
        <v>102.99299999999999</v>
      </c>
      <c r="R123" s="69">
        <v>117.45399999999999</v>
      </c>
      <c r="S123" s="69">
        <v>80.39</v>
      </c>
      <c r="T123" s="69">
        <v>52.48</v>
      </c>
      <c r="U123" s="69">
        <v>56.354999999999997</v>
      </c>
      <c r="V123" s="69">
        <v>502.25900000000001</v>
      </c>
      <c r="W123" s="69">
        <v>52.354999999999997</v>
      </c>
      <c r="X123" s="69">
        <v>34.950000000000003</v>
      </c>
      <c r="Y123" s="69">
        <v>170.83600000000001</v>
      </c>
      <c r="Z123" s="75">
        <f t="shared" si="1"/>
        <v>6153.6419999999989</v>
      </c>
    </row>
    <row r="124" spans="1:26" x14ac:dyDescent="0.3">
      <c r="A124" s="68">
        <v>43466</v>
      </c>
      <c r="B124" s="69">
        <v>1916.4179999999999</v>
      </c>
      <c r="C124" s="69">
        <v>1525.51</v>
      </c>
      <c r="D124" s="69">
        <v>29.061</v>
      </c>
      <c r="E124" s="69">
        <v>73.295000000000002</v>
      </c>
      <c r="F124" s="69">
        <v>94.745000000000005</v>
      </c>
      <c r="G124" s="69">
        <v>506.28</v>
      </c>
      <c r="H124" s="69">
        <v>76.283000000000001</v>
      </c>
      <c r="I124" s="69">
        <v>133.59</v>
      </c>
      <c r="J124" s="69">
        <v>24.617999999999999</v>
      </c>
      <c r="K124" s="69">
        <v>61.405000000000001</v>
      </c>
      <c r="L124" s="69">
        <v>37.048999999999999</v>
      </c>
      <c r="M124" s="69">
        <v>29.373000000000001</v>
      </c>
      <c r="N124" s="69">
        <v>244.16900000000001</v>
      </c>
      <c r="O124" s="69">
        <v>102.732</v>
      </c>
      <c r="P124" s="69">
        <v>118.711</v>
      </c>
      <c r="Q124" s="69">
        <v>102.90300000000001</v>
      </c>
      <c r="R124" s="69">
        <v>116.598</v>
      </c>
      <c r="S124" s="69">
        <v>80.281000000000006</v>
      </c>
      <c r="T124" s="69">
        <v>52.920999999999999</v>
      </c>
      <c r="U124" s="69">
        <v>56.859000000000002</v>
      </c>
      <c r="V124" s="69">
        <v>501.47800000000001</v>
      </c>
      <c r="W124" s="69">
        <v>52.207999999999998</v>
      </c>
      <c r="X124" s="69">
        <v>35.081000000000003</v>
      </c>
      <c r="Y124" s="69">
        <v>170.66200000000001</v>
      </c>
      <c r="Z124" s="75">
        <f t="shared" si="1"/>
        <v>6142.2300000000014</v>
      </c>
    </row>
    <row r="125" spans="1:26" x14ac:dyDescent="0.3">
      <c r="A125" s="68">
        <v>43497</v>
      </c>
      <c r="B125" s="69">
        <v>1917.634</v>
      </c>
      <c r="C125" s="69">
        <v>1525.962</v>
      </c>
      <c r="D125" s="69">
        <v>29.305</v>
      </c>
      <c r="E125" s="69">
        <v>73.444999999999993</v>
      </c>
      <c r="F125" s="69">
        <v>94.968999999999994</v>
      </c>
      <c r="G125" s="69">
        <v>506.24299999999999</v>
      </c>
      <c r="H125" s="69">
        <v>76.652000000000001</v>
      </c>
      <c r="I125" s="69">
        <v>133.53399999999999</v>
      </c>
      <c r="J125" s="69">
        <v>24.722000000000001</v>
      </c>
      <c r="K125" s="69">
        <v>60.32</v>
      </c>
      <c r="L125" s="69">
        <v>36.993000000000002</v>
      </c>
      <c r="M125" s="69">
        <v>30.257999999999999</v>
      </c>
      <c r="N125" s="69">
        <v>245.42099999999999</v>
      </c>
      <c r="O125" s="69">
        <v>103.556</v>
      </c>
      <c r="P125" s="69">
        <v>119.96899999999999</v>
      </c>
      <c r="Q125" s="69">
        <v>102.81100000000001</v>
      </c>
      <c r="R125" s="69">
        <v>116.622</v>
      </c>
      <c r="S125" s="69">
        <v>80.662999999999997</v>
      </c>
      <c r="T125" s="69">
        <v>53.052</v>
      </c>
      <c r="U125" s="69">
        <v>57.210999999999999</v>
      </c>
      <c r="V125" s="69">
        <v>502.11799999999999</v>
      </c>
      <c r="W125" s="69">
        <v>52.066000000000003</v>
      </c>
      <c r="X125" s="69">
        <v>34.759</v>
      </c>
      <c r="Y125" s="69">
        <v>169.92599999999999</v>
      </c>
      <c r="Z125" s="75">
        <f t="shared" si="1"/>
        <v>6148.2109999999993</v>
      </c>
    </row>
    <row r="126" spans="1:26" x14ac:dyDescent="0.3">
      <c r="A126" s="68">
        <v>43525</v>
      </c>
      <c r="B126" s="69">
        <v>1921.413</v>
      </c>
      <c r="C126" s="69">
        <v>1521.8810000000001</v>
      </c>
      <c r="D126" s="69">
        <v>28.678999999999998</v>
      </c>
      <c r="E126" s="69">
        <v>72.846000000000004</v>
      </c>
      <c r="F126" s="69">
        <v>95.034999999999997</v>
      </c>
      <c r="G126" s="69">
        <v>501.57299999999998</v>
      </c>
      <c r="H126" s="69">
        <v>76.971000000000004</v>
      </c>
      <c r="I126" s="69">
        <v>133.55799999999999</v>
      </c>
      <c r="J126" s="69">
        <v>24.574000000000002</v>
      </c>
      <c r="K126" s="69">
        <v>60.052</v>
      </c>
      <c r="L126" s="69">
        <v>36.515000000000001</v>
      </c>
      <c r="M126" s="69">
        <v>28.891999999999999</v>
      </c>
      <c r="N126" s="69">
        <v>244.619</v>
      </c>
      <c r="O126" s="69">
        <v>103.776</v>
      </c>
      <c r="P126" s="69">
        <v>120.348</v>
      </c>
      <c r="Q126" s="69">
        <v>103.29</v>
      </c>
      <c r="R126" s="69">
        <v>115.38500000000001</v>
      </c>
      <c r="S126" s="69">
        <v>80.137</v>
      </c>
      <c r="T126" s="69">
        <v>52.430999999999997</v>
      </c>
      <c r="U126" s="69">
        <v>56.865000000000002</v>
      </c>
      <c r="V126" s="69">
        <v>500.36</v>
      </c>
      <c r="W126" s="69">
        <v>52.027999999999999</v>
      </c>
      <c r="X126" s="69">
        <v>34.243000000000002</v>
      </c>
      <c r="Y126" s="69">
        <v>168.96199999999999</v>
      </c>
      <c r="Z126" s="75">
        <f t="shared" si="1"/>
        <v>6134.4329999999973</v>
      </c>
    </row>
    <row r="127" spans="1:26" x14ac:dyDescent="0.3">
      <c r="A127" s="68">
        <v>43556</v>
      </c>
      <c r="B127" s="69">
        <v>1912.7619999999999</v>
      </c>
      <c r="C127" s="69">
        <v>1518.7059999999999</v>
      </c>
      <c r="D127" s="69">
        <v>28.183</v>
      </c>
      <c r="E127" s="69">
        <v>72.728999999999999</v>
      </c>
      <c r="F127" s="69">
        <v>95.381</v>
      </c>
      <c r="G127" s="69">
        <v>499.71899999999999</v>
      </c>
      <c r="H127" s="69">
        <v>77.504999999999995</v>
      </c>
      <c r="I127" s="69">
        <v>132.697</v>
      </c>
      <c r="J127" s="69">
        <v>24.62</v>
      </c>
      <c r="K127" s="69">
        <v>59.908999999999999</v>
      </c>
      <c r="L127" s="69">
        <v>36.588999999999999</v>
      </c>
      <c r="M127" s="69">
        <v>28.902999999999999</v>
      </c>
      <c r="N127" s="69">
        <v>247.79400000000001</v>
      </c>
      <c r="O127" s="69">
        <v>103.753</v>
      </c>
      <c r="P127" s="69">
        <v>120.64400000000001</v>
      </c>
      <c r="Q127" s="69">
        <v>103.212</v>
      </c>
      <c r="R127" s="69">
        <v>115.801</v>
      </c>
      <c r="S127" s="69">
        <v>80.236999999999995</v>
      </c>
      <c r="T127" s="69">
        <v>52.951999999999998</v>
      </c>
      <c r="U127" s="69">
        <v>56.478999999999999</v>
      </c>
      <c r="V127" s="69">
        <v>500.62200000000001</v>
      </c>
      <c r="W127" s="69">
        <v>51.526000000000003</v>
      </c>
      <c r="X127" s="69">
        <v>33.863</v>
      </c>
      <c r="Y127" s="69">
        <v>169.03899999999999</v>
      </c>
      <c r="Z127" s="75">
        <f t="shared" si="1"/>
        <v>6123.6250000000009</v>
      </c>
    </row>
    <row r="128" spans="1:26" x14ac:dyDescent="0.3">
      <c r="A128" s="68">
        <v>43586</v>
      </c>
      <c r="B128" s="69">
        <v>1904.847</v>
      </c>
      <c r="C128" s="69">
        <v>1521.278</v>
      </c>
      <c r="D128" s="69">
        <v>28.036999999999999</v>
      </c>
      <c r="E128" s="69">
        <v>72.512</v>
      </c>
      <c r="F128" s="69">
        <v>94.614000000000004</v>
      </c>
      <c r="G128" s="69">
        <v>499.95699999999999</v>
      </c>
      <c r="H128" s="69">
        <v>77.192999999999998</v>
      </c>
      <c r="I128" s="69">
        <v>132.68899999999999</v>
      </c>
      <c r="J128" s="69">
        <v>24.562999999999999</v>
      </c>
      <c r="K128" s="69">
        <v>60.595999999999997</v>
      </c>
      <c r="L128" s="69">
        <v>36.213999999999999</v>
      </c>
      <c r="M128" s="69">
        <v>29.298999999999999</v>
      </c>
      <c r="N128" s="69">
        <v>247.15600000000001</v>
      </c>
      <c r="O128" s="69">
        <v>103.42700000000001</v>
      </c>
      <c r="P128" s="69">
        <v>121.367</v>
      </c>
      <c r="Q128" s="69">
        <v>103.166</v>
      </c>
      <c r="R128" s="69">
        <v>116.36499999999999</v>
      </c>
      <c r="S128" s="69">
        <v>80.103999999999999</v>
      </c>
      <c r="T128" s="69">
        <v>53.296999999999997</v>
      </c>
      <c r="U128" s="69">
        <v>55.938000000000002</v>
      </c>
      <c r="V128" s="69">
        <v>500.745</v>
      </c>
      <c r="W128" s="69">
        <v>51.338999999999999</v>
      </c>
      <c r="X128" s="69">
        <v>33.628999999999998</v>
      </c>
      <c r="Y128" s="69">
        <v>171.03899999999999</v>
      </c>
      <c r="Z128" s="75">
        <f t="shared" si="1"/>
        <v>6119.3709999999992</v>
      </c>
    </row>
    <row r="129" spans="1:26" x14ac:dyDescent="0.3">
      <c r="A129" s="68">
        <v>43617</v>
      </c>
      <c r="B129" s="69">
        <v>1901.9090000000001</v>
      </c>
      <c r="C129" s="69">
        <v>1518.7660000000001</v>
      </c>
      <c r="D129" s="69">
        <v>27.817</v>
      </c>
      <c r="E129" s="69">
        <v>72.397999999999996</v>
      </c>
      <c r="F129" s="69">
        <v>95.134</v>
      </c>
      <c r="G129" s="69">
        <v>498.38900000000001</v>
      </c>
      <c r="H129" s="69">
        <v>76.971000000000004</v>
      </c>
      <c r="I129" s="69">
        <v>132.55699999999999</v>
      </c>
      <c r="J129" s="69">
        <v>24.457999999999998</v>
      </c>
      <c r="K129" s="69">
        <v>60.433999999999997</v>
      </c>
      <c r="L129" s="69">
        <v>36.667000000000002</v>
      </c>
      <c r="M129" s="69">
        <v>28.832000000000001</v>
      </c>
      <c r="N129" s="69">
        <v>246.167</v>
      </c>
      <c r="O129" s="69">
        <v>103.39</v>
      </c>
      <c r="P129" s="69">
        <v>121.81699999999999</v>
      </c>
      <c r="Q129" s="69">
        <v>103.086</v>
      </c>
      <c r="R129" s="69">
        <v>116.798</v>
      </c>
      <c r="S129" s="69">
        <v>79.475999999999999</v>
      </c>
      <c r="T129" s="69">
        <v>53.405999999999999</v>
      </c>
      <c r="U129" s="69">
        <v>56.725000000000001</v>
      </c>
      <c r="V129" s="69">
        <v>501.50900000000001</v>
      </c>
      <c r="W129" s="69">
        <v>51.33</v>
      </c>
      <c r="X129" s="69">
        <v>33.521000000000001</v>
      </c>
      <c r="Y129" s="69">
        <v>171.078</v>
      </c>
      <c r="Z129" s="75">
        <f t="shared" si="1"/>
        <v>6112.6350000000011</v>
      </c>
    </row>
    <row r="130" spans="1:26" x14ac:dyDescent="0.3">
      <c r="A130" s="68">
        <v>43647</v>
      </c>
      <c r="B130" s="69">
        <v>1901.2760000000001</v>
      </c>
      <c r="C130" s="69">
        <v>1515.221</v>
      </c>
      <c r="D130" s="69">
        <v>27.9</v>
      </c>
      <c r="E130" s="69">
        <v>72.495000000000005</v>
      </c>
      <c r="F130" s="69">
        <v>95.617999999999995</v>
      </c>
      <c r="G130" s="69">
        <v>496.69299999999998</v>
      </c>
      <c r="H130" s="69">
        <v>78.710999999999999</v>
      </c>
      <c r="I130" s="69">
        <v>132.238</v>
      </c>
      <c r="J130" s="69">
        <v>24.346</v>
      </c>
      <c r="K130" s="69">
        <v>60.487000000000002</v>
      </c>
      <c r="L130" s="69">
        <v>36.668999999999997</v>
      </c>
      <c r="M130" s="69">
        <v>28.542000000000002</v>
      </c>
      <c r="N130" s="69">
        <v>246.22800000000001</v>
      </c>
      <c r="O130" s="69">
        <v>102.896</v>
      </c>
      <c r="P130" s="69">
        <v>122.595</v>
      </c>
      <c r="Q130" s="69">
        <v>103.05500000000001</v>
      </c>
      <c r="R130" s="69">
        <v>117.265</v>
      </c>
      <c r="S130" s="69">
        <v>78.744</v>
      </c>
      <c r="T130" s="69">
        <v>53.143999999999998</v>
      </c>
      <c r="U130" s="69">
        <v>56.878999999999998</v>
      </c>
      <c r="V130" s="69">
        <v>499.166</v>
      </c>
      <c r="W130" s="69">
        <v>51.420999999999999</v>
      </c>
      <c r="X130" s="69">
        <v>33.225000000000001</v>
      </c>
      <c r="Y130" s="69">
        <v>170.90199999999999</v>
      </c>
      <c r="Z130" s="75">
        <f t="shared" si="1"/>
        <v>6105.7160000000022</v>
      </c>
    </row>
    <row r="131" spans="1:26" x14ac:dyDescent="0.3">
      <c r="A131" s="68">
        <v>43678</v>
      </c>
      <c r="B131" s="69">
        <v>1896.384</v>
      </c>
      <c r="C131" s="69">
        <v>1513.018</v>
      </c>
      <c r="D131" s="69">
        <v>27.867999999999999</v>
      </c>
      <c r="E131" s="69">
        <v>72.376999999999995</v>
      </c>
      <c r="F131" s="69">
        <v>95.751000000000005</v>
      </c>
      <c r="G131" s="69">
        <v>495.69099999999997</v>
      </c>
      <c r="H131" s="69">
        <v>78.545000000000002</v>
      </c>
      <c r="I131" s="69">
        <v>131.93100000000001</v>
      </c>
      <c r="J131" s="69">
        <v>24.361000000000001</v>
      </c>
      <c r="K131" s="69">
        <v>60.798000000000002</v>
      </c>
      <c r="L131" s="69">
        <v>36.662999999999997</v>
      </c>
      <c r="M131" s="69">
        <v>28.407</v>
      </c>
      <c r="N131" s="69">
        <v>245.72900000000001</v>
      </c>
      <c r="O131" s="69">
        <v>101.699</v>
      </c>
      <c r="P131" s="69">
        <v>122.651</v>
      </c>
      <c r="Q131" s="69">
        <v>102.803</v>
      </c>
      <c r="R131" s="69">
        <v>117.602</v>
      </c>
      <c r="S131" s="69">
        <v>78.194999999999993</v>
      </c>
      <c r="T131" s="69">
        <v>52.94</v>
      </c>
      <c r="U131" s="69">
        <v>56.832999999999998</v>
      </c>
      <c r="V131" s="69">
        <v>499.29599999999999</v>
      </c>
      <c r="W131" s="69">
        <v>51.17</v>
      </c>
      <c r="X131" s="69">
        <v>32.951000000000001</v>
      </c>
      <c r="Y131" s="69">
        <v>169.00800000000001</v>
      </c>
      <c r="Z131" s="75">
        <f t="shared" si="1"/>
        <v>6092.6709999999975</v>
      </c>
    </row>
    <row r="132" spans="1:26" x14ac:dyDescent="0.3">
      <c r="A132" s="68">
        <v>43709</v>
      </c>
      <c r="B132" s="69">
        <v>1889.54</v>
      </c>
      <c r="C132" s="69">
        <v>1505.277</v>
      </c>
      <c r="D132" s="69">
        <v>27.751999999999999</v>
      </c>
      <c r="E132" s="69">
        <v>72.162999999999997</v>
      </c>
      <c r="F132" s="69">
        <v>95.44</v>
      </c>
      <c r="G132" s="69">
        <v>493.65699999999998</v>
      </c>
      <c r="H132" s="69">
        <v>77.716999999999999</v>
      </c>
      <c r="I132" s="69">
        <v>131.31399999999999</v>
      </c>
      <c r="J132" s="69">
        <v>24.324999999999999</v>
      </c>
      <c r="K132" s="69">
        <v>60.38</v>
      </c>
      <c r="L132" s="69">
        <v>36.749000000000002</v>
      </c>
      <c r="M132" s="69">
        <v>28.198</v>
      </c>
      <c r="N132" s="69">
        <v>243.06899999999999</v>
      </c>
      <c r="O132" s="69">
        <v>100.807</v>
      </c>
      <c r="P132" s="69">
        <v>123.006</v>
      </c>
      <c r="Q132" s="69">
        <v>102.01900000000001</v>
      </c>
      <c r="R132" s="69">
        <v>117.36199999999999</v>
      </c>
      <c r="S132" s="69">
        <v>76.567999999999998</v>
      </c>
      <c r="T132" s="69">
        <v>52.746000000000002</v>
      </c>
      <c r="U132" s="69">
        <v>56.805</v>
      </c>
      <c r="V132" s="69">
        <v>497.09899999999999</v>
      </c>
      <c r="W132" s="69">
        <v>50.948</v>
      </c>
      <c r="X132" s="69">
        <v>32.412999999999997</v>
      </c>
      <c r="Y132" s="69">
        <v>169.881</v>
      </c>
      <c r="Z132" s="75">
        <f t="shared" si="1"/>
        <v>6065.2350000000024</v>
      </c>
    </row>
    <row r="133" spans="1:26" x14ac:dyDescent="0.3">
      <c r="A133" s="68">
        <v>43739</v>
      </c>
      <c r="B133" s="69">
        <v>1884.7349999999999</v>
      </c>
      <c r="C133" s="69">
        <v>1498.4480000000001</v>
      </c>
      <c r="D133" s="69">
        <v>27.614999999999998</v>
      </c>
      <c r="E133" s="69">
        <v>72.632000000000005</v>
      </c>
      <c r="F133" s="69">
        <v>95.435000000000002</v>
      </c>
      <c r="G133" s="69">
        <v>491.29500000000002</v>
      </c>
      <c r="H133" s="69">
        <v>76.212999999999994</v>
      </c>
      <c r="I133" s="69">
        <v>132.28</v>
      </c>
      <c r="J133" s="69">
        <v>24.364000000000001</v>
      </c>
      <c r="K133" s="69">
        <v>59.826999999999998</v>
      </c>
      <c r="L133" s="69">
        <v>36.499000000000002</v>
      </c>
      <c r="M133" s="69">
        <v>28.02</v>
      </c>
      <c r="N133" s="69">
        <v>243.221</v>
      </c>
      <c r="O133" s="69">
        <v>100.67100000000001</v>
      </c>
      <c r="P133" s="69">
        <v>122.102</v>
      </c>
      <c r="Q133" s="69">
        <v>101.527</v>
      </c>
      <c r="R133" s="69">
        <v>116.423</v>
      </c>
      <c r="S133" s="69">
        <v>76.283000000000001</v>
      </c>
      <c r="T133" s="69">
        <v>52.264000000000003</v>
      </c>
      <c r="U133" s="69">
        <v>56.771000000000001</v>
      </c>
      <c r="V133" s="69">
        <v>493.89699999999999</v>
      </c>
      <c r="W133" s="69">
        <v>50.622</v>
      </c>
      <c r="X133" s="69">
        <v>32.048000000000002</v>
      </c>
      <c r="Y133" s="69">
        <v>169.81299999999999</v>
      </c>
      <c r="Z133" s="75">
        <f t="shared" ref="Z133:Z196" si="2">SUM(B133:Y133)</f>
        <v>6043.0049999999992</v>
      </c>
    </row>
    <row r="134" spans="1:26" x14ac:dyDescent="0.3">
      <c r="A134" s="68">
        <v>43770</v>
      </c>
      <c r="B134" s="70">
        <v>1882.6790000000001</v>
      </c>
      <c r="C134" s="70">
        <v>1485.7729999999999</v>
      </c>
      <c r="D134" s="70">
        <v>27.606000000000002</v>
      </c>
      <c r="E134" s="70">
        <v>72.001999999999995</v>
      </c>
      <c r="F134" s="70">
        <v>94.843000000000004</v>
      </c>
      <c r="G134" s="70">
        <v>490.01100000000002</v>
      </c>
      <c r="H134" s="70">
        <v>76.513000000000005</v>
      </c>
      <c r="I134" s="70">
        <v>133.60400000000001</v>
      </c>
      <c r="J134" s="70">
        <v>24.059000000000001</v>
      </c>
      <c r="K134" s="70">
        <v>59.795000000000002</v>
      </c>
      <c r="L134" s="70">
        <v>36.399000000000001</v>
      </c>
      <c r="M134" s="70">
        <v>27.96</v>
      </c>
      <c r="N134" s="70">
        <v>242.869</v>
      </c>
      <c r="O134" s="70">
        <v>100.253</v>
      </c>
      <c r="P134" s="70">
        <v>121.57599999999999</v>
      </c>
      <c r="Q134" s="70">
        <v>101.193</v>
      </c>
      <c r="R134" s="70">
        <v>116.167</v>
      </c>
      <c r="S134" s="70">
        <v>76.037000000000006</v>
      </c>
      <c r="T134" s="70">
        <v>51.677999999999997</v>
      </c>
      <c r="U134" s="70">
        <v>56.682000000000002</v>
      </c>
      <c r="V134" s="70">
        <v>491.74</v>
      </c>
      <c r="W134" s="70">
        <v>50.301000000000002</v>
      </c>
      <c r="X134" s="70">
        <v>31.975999999999999</v>
      </c>
      <c r="Y134" s="70">
        <v>168.38300000000001</v>
      </c>
      <c r="Z134" s="75">
        <f t="shared" si="2"/>
        <v>6020.0990000000011</v>
      </c>
    </row>
    <row r="135" spans="1:26" x14ac:dyDescent="0.3">
      <c r="A135" s="68">
        <v>43800</v>
      </c>
      <c r="B135" s="70">
        <v>1880.1510000000001</v>
      </c>
      <c r="C135" s="70">
        <v>1481.14</v>
      </c>
      <c r="D135" s="70">
        <v>27.71</v>
      </c>
      <c r="E135" s="70">
        <v>71.488</v>
      </c>
      <c r="F135" s="70">
        <v>94.432000000000002</v>
      </c>
      <c r="G135" s="70">
        <v>487.661</v>
      </c>
      <c r="H135" s="70">
        <v>76.272999999999996</v>
      </c>
      <c r="I135" s="70">
        <v>131.86500000000001</v>
      </c>
      <c r="J135" s="70">
        <v>23.969000000000001</v>
      </c>
      <c r="K135" s="70">
        <v>59.237000000000002</v>
      </c>
      <c r="L135" s="70">
        <v>36.377000000000002</v>
      </c>
      <c r="M135" s="70">
        <v>27.882000000000001</v>
      </c>
      <c r="N135" s="70">
        <v>240.90199999999999</v>
      </c>
      <c r="O135" s="70">
        <v>100.621</v>
      </c>
      <c r="P135" s="70">
        <v>121.35599999999999</v>
      </c>
      <c r="Q135" s="70">
        <v>100.884</v>
      </c>
      <c r="R135" s="70">
        <v>115.50700000000001</v>
      </c>
      <c r="S135" s="70">
        <v>75.954999999999998</v>
      </c>
      <c r="T135" s="70">
        <v>51.308</v>
      </c>
      <c r="U135" s="70">
        <v>56.372</v>
      </c>
      <c r="V135" s="70">
        <v>490.68200000000002</v>
      </c>
      <c r="W135" s="70">
        <v>50.264000000000003</v>
      </c>
      <c r="X135" s="70">
        <v>32.155000000000001</v>
      </c>
      <c r="Y135" s="70">
        <v>167.76499999999999</v>
      </c>
      <c r="Z135" s="75">
        <f t="shared" si="2"/>
        <v>6001.9559999999992</v>
      </c>
    </row>
    <row r="136" spans="1:26" x14ac:dyDescent="0.3">
      <c r="A136" s="68">
        <v>43831</v>
      </c>
      <c r="B136" s="70">
        <v>1875.527</v>
      </c>
      <c r="C136" s="70">
        <v>1476.309</v>
      </c>
      <c r="D136" s="70">
        <v>27.826000000000001</v>
      </c>
      <c r="E136" s="70">
        <v>71.248999999999995</v>
      </c>
      <c r="F136" s="70">
        <v>95.311000000000007</v>
      </c>
      <c r="G136" s="70">
        <v>487.22500000000002</v>
      </c>
      <c r="H136" s="70">
        <v>75.683000000000007</v>
      </c>
      <c r="I136" s="70">
        <v>131.01499999999999</v>
      </c>
      <c r="J136" s="70">
        <v>23.908999999999999</v>
      </c>
      <c r="K136" s="70">
        <v>59.424999999999997</v>
      </c>
      <c r="L136" s="70">
        <v>36.103000000000002</v>
      </c>
      <c r="M136" s="70">
        <v>27.672999999999998</v>
      </c>
      <c r="N136" s="70">
        <v>238.887</v>
      </c>
      <c r="O136" s="70">
        <v>100.66500000000001</v>
      </c>
      <c r="P136" s="70">
        <v>121.307</v>
      </c>
      <c r="Q136" s="70">
        <v>100.58499999999999</v>
      </c>
      <c r="R136" s="70">
        <v>115.31699999999999</v>
      </c>
      <c r="S136" s="70">
        <v>75.558999999999997</v>
      </c>
      <c r="T136" s="70">
        <v>50.84</v>
      </c>
      <c r="U136" s="70">
        <v>56.33</v>
      </c>
      <c r="V136" s="70">
        <v>488.13299999999998</v>
      </c>
      <c r="W136" s="70">
        <v>50.231000000000002</v>
      </c>
      <c r="X136" s="70">
        <v>32.24</v>
      </c>
      <c r="Y136" s="70">
        <v>167.125</v>
      </c>
      <c r="Z136" s="75">
        <f t="shared" si="2"/>
        <v>5984.4739999999993</v>
      </c>
    </row>
    <row r="137" spans="1:26" x14ac:dyDescent="0.3">
      <c r="A137" s="68">
        <v>43862</v>
      </c>
      <c r="B137" s="70">
        <v>1874.623</v>
      </c>
      <c r="C137" s="70">
        <v>1476.789</v>
      </c>
      <c r="D137" s="70">
        <v>28.335000000000001</v>
      </c>
      <c r="E137" s="70">
        <v>71.176000000000002</v>
      </c>
      <c r="F137" s="70">
        <v>95.393000000000001</v>
      </c>
      <c r="G137" s="70">
        <v>488.29399999999998</v>
      </c>
      <c r="H137" s="70">
        <v>75.504000000000005</v>
      </c>
      <c r="I137" s="70">
        <v>130.66999999999999</v>
      </c>
      <c r="J137" s="70">
        <v>23.826000000000001</v>
      </c>
      <c r="K137" s="70">
        <v>59.53</v>
      </c>
      <c r="L137" s="70">
        <v>35.932000000000002</v>
      </c>
      <c r="M137" s="70">
        <v>28.077999999999999</v>
      </c>
      <c r="N137" s="70">
        <v>240.006</v>
      </c>
      <c r="O137" s="70">
        <v>97.542000000000002</v>
      </c>
      <c r="P137" s="70">
        <v>121.092</v>
      </c>
      <c r="Q137" s="70">
        <v>100.79900000000001</v>
      </c>
      <c r="R137" s="70">
        <v>115.05200000000001</v>
      </c>
      <c r="S137" s="70">
        <v>76.003</v>
      </c>
      <c r="T137" s="70">
        <v>50.795999999999999</v>
      </c>
      <c r="U137" s="70">
        <v>56.835000000000001</v>
      </c>
      <c r="V137" s="70">
        <v>487.77</v>
      </c>
      <c r="W137" s="70">
        <v>50.26</v>
      </c>
      <c r="X137" s="70">
        <v>32.683999999999997</v>
      </c>
      <c r="Y137" s="70">
        <v>166.87100000000001</v>
      </c>
      <c r="Z137" s="75">
        <f t="shared" si="2"/>
        <v>5983.8600000000006</v>
      </c>
    </row>
    <row r="138" spans="1:26" x14ac:dyDescent="0.3">
      <c r="A138" s="68">
        <v>43891</v>
      </c>
      <c r="B138" s="70">
        <v>1862.3689999999999</v>
      </c>
      <c r="C138" s="70">
        <v>1465.9929999999999</v>
      </c>
      <c r="D138" s="70">
        <v>28.087</v>
      </c>
      <c r="E138" s="70">
        <v>70.674000000000007</v>
      </c>
      <c r="F138" s="70">
        <v>94.822000000000003</v>
      </c>
      <c r="G138" s="70">
        <v>483.52600000000001</v>
      </c>
      <c r="H138" s="70">
        <v>75.394000000000005</v>
      </c>
      <c r="I138" s="70">
        <v>130.09299999999999</v>
      </c>
      <c r="J138" s="70">
        <v>23.841999999999999</v>
      </c>
      <c r="K138" s="70">
        <v>58.768000000000001</v>
      </c>
      <c r="L138" s="70">
        <v>35.848999999999997</v>
      </c>
      <c r="M138" s="70">
        <v>28.815999999999999</v>
      </c>
      <c r="N138" s="70">
        <v>237.81399999999999</v>
      </c>
      <c r="O138" s="70">
        <v>100.422</v>
      </c>
      <c r="P138" s="70">
        <v>120.07899999999999</v>
      </c>
      <c r="Q138" s="70">
        <v>100.846</v>
      </c>
      <c r="R138" s="70">
        <v>114.218</v>
      </c>
      <c r="S138" s="70">
        <v>75.097999999999999</v>
      </c>
      <c r="T138" s="70">
        <v>50.148000000000003</v>
      </c>
      <c r="U138" s="70">
        <v>56.45</v>
      </c>
      <c r="V138" s="70">
        <v>486.41300000000001</v>
      </c>
      <c r="W138" s="70">
        <v>49.579000000000001</v>
      </c>
      <c r="X138" s="70">
        <v>32.469000000000001</v>
      </c>
      <c r="Y138" s="70">
        <v>166.489</v>
      </c>
      <c r="Z138" s="75">
        <f t="shared" si="2"/>
        <v>5948.2579999999971</v>
      </c>
    </row>
    <row r="139" spans="1:26" x14ac:dyDescent="0.3">
      <c r="A139" s="68">
        <v>43922</v>
      </c>
      <c r="B139" s="70">
        <v>1835.393</v>
      </c>
      <c r="C139" s="70">
        <v>1437.3219999999999</v>
      </c>
      <c r="D139" s="70">
        <v>26.439</v>
      </c>
      <c r="E139" s="70">
        <v>69.117999999999995</v>
      </c>
      <c r="F139" s="70">
        <v>93.518000000000001</v>
      </c>
      <c r="G139" s="70">
        <v>476.108</v>
      </c>
      <c r="H139" s="70">
        <v>74.355000000000004</v>
      </c>
      <c r="I139" s="70">
        <v>129.30000000000001</v>
      </c>
      <c r="J139" s="70">
        <v>23.347000000000001</v>
      </c>
      <c r="K139" s="70">
        <v>57.600999999999999</v>
      </c>
      <c r="L139" s="70">
        <v>35.447000000000003</v>
      </c>
      <c r="M139" s="70">
        <v>26.869</v>
      </c>
      <c r="N139" s="70">
        <v>228.67</v>
      </c>
      <c r="O139" s="70">
        <v>97.878</v>
      </c>
      <c r="P139" s="70">
        <v>116.562</v>
      </c>
      <c r="Q139" s="70">
        <v>99.007999999999996</v>
      </c>
      <c r="R139" s="70">
        <v>111.976</v>
      </c>
      <c r="S139" s="70">
        <v>72.072999999999993</v>
      </c>
      <c r="T139" s="70">
        <v>49.805999999999997</v>
      </c>
      <c r="U139" s="70">
        <v>55.018999999999998</v>
      </c>
      <c r="V139" s="70">
        <v>477.67399999999998</v>
      </c>
      <c r="W139" s="70">
        <v>48.767000000000003</v>
      </c>
      <c r="X139" s="70">
        <v>31.03</v>
      </c>
      <c r="Y139" s="70">
        <v>167.536</v>
      </c>
      <c r="Z139" s="75">
        <f t="shared" si="2"/>
        <v>5840.815999999998</v>
      </c>
    </row>
    <row r="140" spans="1:26" x14ac:dyDescent="0.3">
      <c r="A140" s="68">
        <v>43952</v>
      </c>
      <c r="B140" s="70">
        <v>1833.6610000000001</v>
      </c>
      <c r="C140" s="70">
        <v>1426.8309999999999</v>
      </c>
      <c r="D140" s="70">
        <v>26.204999999999998</v>
      </c>
      <c r="E140" s="70">
        <v>68.683000000000007</v>
      </c>
      <c r="F140" s="70">
        <v>93.512</v>
      </c>
      <c r="G140" s="70">
        <v>472.36500000000001</v>
      </c>
      <c r="H140" s="70">
        <v>74.003</v>
      </c>
      <c r="I140" s="70">
        <v>129.017</v>
      </c>
      <c r="J140" s="70">
        <v>23.222000000000001</v>
      </c>
      <c r="K140" s="70">
        <v>57.375</v>
      </c>
      <c r="L140" s="70">
        <v>35.433999999999997</v>
      </c>
      <c r="M140" s="70">
        <v>26.748999999999999</v>
      </c>
      <c r="N140" s="70">
        <v>228.98099999999999</v>
      </c>
      <c r="O140" s="70">
        <v>97.25</v>
      </c>
      <c r="P140" s="70">
        <v>115.152</v>
      </c>
      <c r="Q140" s="70">
        <v>98.909000000000006</v>
      </c>
      <c r="R140" s="70">
        <v>110.73399999999999</v>
      </c>
      <c r="S140" s="70">
        <v>70.725999999999999</v>
      </c>
      <c r="T140" s="70">
        <v>49.860999999999997</v>
      </c>
      <c r="U140" s="70">
        <v>55.500999999999998</v>
      </c>
      <c r="V140" s="70">
        <v>475.18</v>
      </c>
      <c r="W140" s="70">
        <v>49.045000000000002</v>
      </c>
      <c r="X140" s="70">
        <v>31.875</v>
      </c>
      <c r="Y140" s="70">
        <v>164.477</v>
      </c>
      <c r="Z140" s="75">
        <f t="shared" si="2"/>
        <v>5814.7480000000005</v>
      </c>
    </row>
    <row r="141" spans="1:26" x14ac:dyDescent="0.3">
      <c r="A141" s="68">
        <v>43983</v>
      </c>
      <c r="B141" s="70">
        <v>1834.91</v>
      </c>
      <c r="C141" s="70">
        <v>1421.8979999999999</v>
      </c>
      <c r="D141" s="70">
        <v>26.523</v>
      </c>
      <c r="E141" s="70">
        <v>69.010000000000005</v>
      </c>
      <c r="F141" s="70">
        <v>92.509</v>
      </c>
      <c r="G141" s="70">
        <v>474.43799999999999</v>
      </c>
      <c r="H141" s="70">
        <v>74.087999999999994</v>
      </c>
      <c r="I141" s="70">
        <v>128.53100000000001</v>
      </c>
      <c r="J141" s="70">
        <v>23.103999999999999</v>
      </c>
      <c r="K141" s="70">
        <v>57.088999999999999</v>
      </c>
      <c r="L141" s="70">
        <v>35.353000000000002</v>
      </c>
      <c r="M141" s="70">
        <v>26.640999999999998</v>
      </c>
      <c r="N141" s="70">
        <v>228.84800000000001</v>
      </c>
      <c r="O141" s="70">
        <v>97.465999999999994</v>
      </c>
      <c r="P141" s="70">
        <v>113.339</v>
      </c>
      <c r="Q141" s="70">
        <v>98.971999999999994</v>
      </c>
      <c r="R141" s="70">
        <v>109.839</v>
      </c>
      <c r="S141" s="70">
        <v>70.899000000000001</v>
      </c>
      <c r="T141" s="70">
        <v>49.906999999999996</v>
      </c>
      <c r="U141" s="70">
        <v>55.484000000000002</v>
      </c>
      <c r="V141" s="70">
        <v>475.58100000000002</v>
      </c>
      <c r="W141" s="70">
        <v>48.664000000000001</v>
      </c>
      <c r="X141" s="70">
        <v>32.436</v>
      </c>
      <c r="Y141" s="70">
        <v>163.69399999999999</v>
      </c>
      <c r="Z141" s="75">
        <f t="shared" si="2"/>
        <v>5809.2230000000018</v>
      </c>
    </row>
    <row r="142" spans="1:26" x14ac:dyDescent="0.3">
      <c r="A142" s="68">
        <v>44013</v>
      </c>
      <c r="B142" s="70">
        <v>1834.3050000000001</v>
      </c>
      <c r="C142" s="70">
        <v>1417.1849999999999</v>
      </c>
      <c r="D142" s="70">
        <v>26.530999999999999</v>
      </c>
      <c r="E142" s="70">
        <v>69.209999999999994</v>
      </c>
      <c r="F142" s="70">
        <v>92.016000000000005</v>
      </c>
      <c r="G142" s="70">
        <v>472.94400000000002</v>
      </c>
      <c r="H142" s="70">
        <v>74.06</v>
      </c>
      <c r="I142" s="70">
        <v>128.38200000000001</v>
      </c>
      <c r="J142" s="70">
        <v>22.995999999999999</v>
      </c>
      <c r="K142" s="70">
        <v>57.018999999999998</v>
      </c>
      <c r="L142" s="70">
        <v>35.378999999999998</v>
      </c>
      <c r="M142" s="70">
        <v>26.623000000000001</v>
      </c>
      <c r="N142" s="70">
        <v>227.12899999999999</v>
      </c>
      <c r="O142" s="70">
        <v>97.293000000000006</v>
      </c>
      <c r="P142" s="70">
        <v>110.476</v>
      </c>
      <c r="Q142" s="70">
        <v>98.332999999999998</v>
      </c>
      <c r="R142" s="70">
        <v>108.79300000000001</v>
      </c>
      <c r="S142" s="70">
        <v>71.188000000000002</v>
      </c>
      <c r="T142" s="70">
        <v>50.345999999999997</v>
      </c>
      <c r="U142" s="70">
        <v>55.33</v>
      </c>
      <c r="V142" s="70">
        <v>476.36700000000002</v>
      </c>
      <c r="W142" s="70">
        <v>47.997999999999998</v>
      </c>
      <c r="X142" s="70">
        <v>32.777999999999999</v>
      </c>
      <c r="Y142" s="70">
        <v>162.977</v>
      </c>
      <c r="Z142" s="75">
        <f t="shared" si="2"/>
        <v>5795.6579999999976</v>
      </c>
    </row>
    <row r="143" spans="1:26" x14ac:dyDescent="0.3">
      <c r="A143" s="68">
        <v>44044</v>
      </c>
      <c r="B143" s="70">
        <v>1835.886</v>
      </c>
      <c r="C143" s="70">
        <v>1416.2660000000001</v>
      </c>
      <c r="D143" s="70">
        <v>26.574000000000002</v>
      </c>
      <c r="E143" s="70">
        <v>69.606999999999999</v>
      </c>
      <c r="F143" s="70">
        <v>91.927000000000007</v>
      </c>
      <c r="G143" s="70">
        <v>473.69900000000001</v>
      </c>
      <c r="H143" s="70">
        <v>74.311000000000007</v>
      </c>
      <c r="I143" s="70">
        <v>128.614</v>
      </c>
      <c r="J143" s="70">
        <v>22.916</v>
      </c>
      <c r="K143" s="70">
        <v>56.465000000000003</v>
      </c>
      <c r="L143" s="70">
        <v>35.438000000000002</v>
      </c>
      <c r="M143" s="70">
        <v>26.805</v>
      </c>
      <c r="N143" s="70">
        <v>226.684</v>
      </c>
      <c r="O143" s="70">
        <v>97.582999999999998</v>
      </c>
      <c r="P143" s="70">
        <v>109.96</v>
      </c>
      <c r="Q143" s="70">
        <v>98.525999999999996</v>
      </c>
      <c r="R143" s="70">
        <v>108.139</v>
      </c>
      <c r="S143" s="70">
        <v>71.403999999999996</v>
      </c>
      <c r="T143" s="70">
        <v>50.512999999999998</v>
      </c>
      <c r="U143" s="70">
        <v>55.874000000000002</v>
      </c>
      <c r="V143" s="70">
        <v>476.613</v>
      </c>
      <c r="W143" s="70">
        <v>47.491</v>
      </c>
      <c r="X143" s="70">
        <v>32.466999999999999</v>
      </c>
      <c r="Y143" s="70">
        <v>162.94800000000001</v>
      </c>
      <c r="Z143" s="75">
        <f t="shared" si="2"/>
        <v>5796.71</v>
      </c>
    </row>
    <row r="144" spans="1:26" x14ac:dyDescent="0.3">
      <c r="A144" s="68">
        <v>44075</v>
      </c>
      <c r="B144" s="70">
        <v>1838.425</v>
      </c>
      <c r="C144" s="70">
        <v>1413.4949999999999</v>
      </c>
      <c r="D144" s="70">
        <v>26.518999999999998</v>
      </c>
      <c r="E144" s="70">
        <v>69.724999999999994</v>
      </c>
      <c r="F144" s="70">
        <v>92.546999999999997</v>
      </c>
      <c r="G144" s="70">
        <v>474.98599999999999</v>
      </c>
      <c r="H144" s="70">
        <v>74.471999999999994</v>
      </c>
      <c r="I144" s="70">
        <v>128.58500000000001</v>
      </c>
      <c r="J144" s="70">
        <v>22.922000000000001</v>
      </c>
      <c r="K144" s="70">
        <v>55.805999999999997</v>
      </c>
      <c r="L144" s="70">
        <v>35.655999999999999</v>
      </c>
      <c r="M144" s="70">
        <v>26.835999999999999</v>
      </c>
      <c r="N144" s="70">
        <v>227.059</v>
      </c>
      <c r="O144" s="70">
        <v>97.977999999999994</v>
      </c>
      <c r="P144" s="70">
        <v>110.26600000000001</v>
      </c>
      <c r="Q144" s="70">
        <v>99.036000000000001</v>
      </c>
      <c r="R144" s="70">
        <v>107.79</v>
      </c>
      <c r="S144" s="70">
        <v>71.075999999999993</v>
      </c>
      <c r="T144" s="70">
        <v>50.749000000000002</v>
      </c>
      <c r="U144" s="70">
        <v>55.576999999999998</v>
      </c>
      <c r="V144" s="70">
        <v>477.363</v>
      </c>
      <c r="W144" s="70">
        <v>47.825000000000003</v>
      </c>
      <c r="X144" s="70">
        <v>33.68</v>
      </c>
      <c r="Y144" s="70">
        <v>162.72200000000001</v>
      </c>
      <c r="Z144" s="75">
        <f t="shared" si="2"/>
        <v>5801.0949999999993</v>
      </c>
    </row>
    <row r="145" spans="1:26" x14ac:dyDescent="0.3">
      <c r="A145" s="68">
        <v>44105</v>
      </c>
      <c r="B145" s="70">
        <v>1838.0039999999999</v>
      </c>
      <c r="C145" s="70">
        <v>1408.626</v>
      </c>
      <c r="D145" s="70">
        <v>26.786000000000001</v>
      </c>
      <c r="E145" s="70">
        <v>69.927999999999997</v>
      </c>
      <c r="F145" s="70">
        <v>92.656999999999996</v>
      </c>
      <c r="G145" s="70">
        <v>475.19099999999997</v>
      </c>
      <c r="H145" s="70">
        <v>74.647999999999996</v>
      </c>
      <c r="I145" s="70">
        <v>128.011</v>
      </c>
      <c r="J145" s="70">
        <v>23.073</v>
      </c>
      <c r="K145" s="70">
        <v>55.923000000000002</v>
      </c>
      <c r="L145" s="70">
        <v>35.914000000000001</v>
      </c>
      <c r="M145" s="70">
        <v>26.826000000000001</v>
      </c>
      <c r="N145" s="70">
        <v>227.41300000000001</v>
      </c>
      <c r="O145" s="70">
        <v>97.876000000000005</v>
      </c>
      <c r="P145" s="70">
        <v>110.217</v>
      </c>
      <c r="Q145" s="70">
        <v>99.766000000000005</v>
      </c>
      <c r="R145" s="70">
        <v>107.783</v>
      </c>
      <c r="S145" s="70">
        <v>71.92</v>
      </c>
      <c r="T145" s="70">
        <v>51.127000000000002</v>
      </c>
      <c r="U145" s="70">
        <v>55.164000000000001</v>
      </c>
      <c r="V145" s="70">
        <v>478.18799999999999</v>
      </c>
      <c r="W145" s="70">
        <v>48.447000000000003</v>
      </c>
      <c r="X145" s="70">
        <v>34.511000000000003</v>
      </c>
      <c r="Y145" s="70">
        <v>163.02600000000001</v>
      </c>
      <c r="Z145" s="75">
        <f t="shared" si="2"/>
        <v>5801.0250000000005</v>
      </c>
    </row>
    <row r="146" spans="1:26" x14ac:dyDescent="0.3">
      <c r="A146" s="68">
        <v>44136</v>
      </c>
      <c r="B146" s="70">
        <v>1838.384</v>
      </c>
      <c r="C146" s="70">
        <v>1409.3510000000001</v>
      </c>
      <c r="D146" s="70">
        <v>26.577999999999999</v>
      </c>
      <c r="E146" s="70">
        <v>70.337000000000003</v>
      </c>
      <c r="F146" s="70">
        <v>92.727999999999994</v>
      </c>
      <c r="G146" s="70">
        <v>475.18599999999998</v>
      </c>
      <c r="H146" s="70">
        <v>74.55</v>
      </c>
      <c r="I146" s="70">
        <v>127.572</v>
      </c>
      <c r="J146" s="70">
        <v>23.285</v>
      </c>
      <c r="K146" s="70">
        <v>56.134</v>
      </c>
      <c r="L146" s="70">
        <v>35.709000000000003</v>
      </c>
      <c r="M146" s="70">
        <v>26.927</v>
      </c>
      <c r="N146" s="70">
        <v>227.369</v>
      </c>
      <c r="O146" s="70">
        <v>97.971999999999994</v>
      </c>
      <c r="P146" s="70">
        <v>110.157</v>
      </c>
      <c r="Q146" s="70">
        <v>100.503</v>
      </c>
      <c r="R146" s="70">
        <v>107.93600000000001</v>
      </c>
      <c r="S146" s="70">
        <v>72.376000000000005</v>
      </c>
      <c r="T146" s="70">
        <v>51.404000000000003</v>
      </c>
      <c r="U146" s="70">
        <v>54.969000000000001</v>
      </c>
      <c r="V146" s="70">
        <v>479.45800000000003</v>
      </c>
      <c r="W146" s="70">
        <v>48.606999999999999</v>
      </c>
      <c r="X146" s="70">
        <v>34.933999999999997</v>
      </c>
      <c r="Y146" s="70">
        <v>163.41200000000001</v>
      </c>
      <c r="Z146" s="75">
        <f t="shared" si="2"/>
        <v>5805.8379999999997</v>
      </c>
    </row>
    <row r="147" spans="1:26" x14ac:dyDescent="0.3">
      <c r="A147" s="68">
        <v>44166</v>
      </c>
      <c r="B147" s="70">
        <v>1836.575</v>
      </c>
      <c r="C147" s="70">
        <v>1408.922</v>
      </c>
      <c r="D147" s="70">
        <v>26.745999999999999</v>
      </c>
      <c r="E147" s="70">
        <v>70.507000000000005</v>
      </c>
      <c r="F147" s="70">
        <v>92.33</v>
      </c>
      <c r="G147" s="70">
        <v>475.18400000000003</v>
      </c>
      <c r="H147" s="70">
        <v>74.835999999999999</v>
      </c>
      <c r="I147" s="70">
        <v>128.779</v>
      </c>
      <c r="J147" s="70">
        <v>23.582999999999998</v>
      </c>
      <c r="K147" s="70">
        <v>55.915999999999997</v>
      </c>
      <c r="L147" s="70">
        <v>35.677</v>
      </c>
      <c r="M147" s="70">
        <v>27.023</v>
      </c>
      <c r="N147" s="70">
        <v>227.815</v>
      </c>
      <c r="O147" s="70">
        <v>97.53</v>
      </c>
      <c r="P147" s="70">
        <v>110.209</v>
      </c>
      <c r="Q147" s="70">
        <v>99.950999999999993</v>
      </c>
      <c r="R147" s="70">
        <v>108.45399999999999</v>
      </c>
      <c r="S147" s="70">
        <v>72.534999999999997</v>
      </c>
      <c r="T147" s="70">
        <v>51.530999999999999</v>
      </c>
      <c r="U147" s="70">
        <v>54.530999999999999</v>
      </c>
      <c r="V147" s="70">
        <v>480.24400000000003</v>
      </c>
      <c r="W147" s="70">
        <v>48.805</v>
      </c>
      <c r="X147" s="70">
        <v>35.064</v>
      </c>
      <c r="Y147" s="70">
        <v>163.751</v>
      </c>
      <c r="Z147" s="75">
        <f t="shared" si="2"/>
        <v>5806.4979999999996</v>
      </c>
    </row>
    <row r="148" spans="1:26" x14ac:dyDescent="0.3">
      <c r="A148" s="68">
        <v>44197</v>
      </c>
      <c r="B148" s="70">
        <v>1836.069</v>
      </c>
      <c r="C148" s="70">
        <v>1411.4780000000001</v>
      </c>
      <c r="D148" s="70">
        <v>27.373999999999999</v>
      </c>
      <c r="E148" s="70">
        <v>71.087000000000003</v>
      </c>
      <c r="F148" s="70">
        <v>92.480999999999995</v>
      </c>
      <c r="G148" s="70">
        <v>474.31400000000002</v>
      </c>
      <c r="H148" s="70">
        <v>75.150000000000006</v>
      </c>
      <c r="I148" s="70">
        <v>129.458</v>
      </c>
      <c r="J148" s="70">
        <v>23.86</v>
      </c>
      <c r="K148" s="70">
        <v>56.13</v>
      </c>
      <c r="L148" s="70">
        <v>35.744999999999997</v>
      </c>
      <c r="M148" s="70">
        <v>27.648</v>
      </c>
      <c r="N148" s="70">
        <v>228.14400000000001</v>
      </c>
      <c r="O148" s="70">
        <v>98.100999999999999</v>
      </c>
      <c r="P148" s="70">
        <v>110.36799999999999</v>
      </c>
      <c r="Q148" s="70">
        <v>99.921000000000006</v>
      </c>
      <c r="R148" s="70">
        <v>109.378</v>
      </c>
      <c r="S148" s="70">
        <v>72.835999999999999</v>
      </c>
      <c r="T148" s="70">
        <v>51.753</v>
      </c>
      <c r="U148" s="70">
        <v>54.537999999999997</v>
      </c>
      <c r="V148" s="70">
        <v>483.56799999999998</v>
      </c>
      <c r="W148" s="70">
        <v>48.768000000000001</v>
      </c>
      <c r="X148" s="70">
        <v>34.725000000000001</v>
      </c>
      <c r="Y148" s="70">
        <v>163.548</v>
      </c>
      <c r="Z148" s="75">
        <f t="shared" si="2"/>
        <v>5816.4419999999991</v>
      </c>
    </row>
    <row r="149" spans="1:26" x14ac:dyDescent="0.3">
      <c r="A149" s="68">
        <v>44228</v>
      </c>
      <c r="B149" s="70">
        <v>1845.1790000000001</v>
      </c>
      <c r="C149" s="70">
        <v>1410.6849999999999</v>
      </c>
      <c r="D149" s="70">
        <v>27.443999999999999</v>
      </c>
      <c r="E149" s="70">
        <v>71.391999999999996</v>
      </c>
      <c r="F149" s="70">
        <v>92.772999999999996</v>
      </c>
      <c r="G149" s="70">
        <v>476.28100000000001</v>
      </c>
      <c r="H149" s="70">
        <v>75.302999999999997</v>
      </c>
      <c r="I149" s="70">
        <v>129.43700000000001</v>
      </c>
      <c r="J149" s="70">
        <v>23.988</v>
      </c>
      <c r="K149" s="70">
        <v>56.055</v>
      </c>
      <c r="L149" s="70">
        <v>35.837000000000003</v>
      </c>
      <c r="M149" s="70">
        <v>27.289000000000001</v>
      </c>
      <c r="N149" s="70">
        <v>228.26</v>
      </c>
      <c r="O149" s="70">
        <v>99.290999999999997</v>
      </c>
      <c r="P149" s="70">
        <v>110.792</v>
      </c>
      <c r="Q149" s="70">
        <v>100.336</v>
      </c>
      <c r="R149" s="70">
        <v>110.41800000000001</v>
      </c>
      <c r="S149" s="70">
        <v>73.459999999999994</v>
      </c>
      <c r="T149" s="70">
        <v>51.720999999999997</v>
      </c>
      <c r="U149" s="70">
        <v>54.784999999999997</v>
      </c>
      <c r="V149" s="70">
        <v>485.1</v>
      </c>
      <c r="W149" s="70">
        <v>49.37</v>
      </c>
      <c r="X149" s="70">
        <v>34.801000000000002</v>
      </c>
      <c r="Y149" s="70">
        <v>164.053</v>
      </c>
      <c r="Z149" s="75">
        <f t="shared" si="2"/>
        <v>5834.0500000000011</v>
      </c>
    </row>
    <row r="150" spans="1:26" x14ac:dyDescent="0.3">
      <c r="A150" s="68">
        <v>44256</v>
      </c>
      <c r="B150" s="70">
        <v>1856.1010000000001</v>
      </c>
      <c r="C150" s="70">
        <v>1411.9449999999999</v>
      </c>
      <c r="D150" s="70">
        <v>27.631</v>
      </c>
      <c r="E150" s="70">
        <v>71.334999999999994</v>
      </c>
      <c r="F150" s="70">
        <v>92.513999999999996</v>
      </c>
      <c r="G150" s="70">
        <v>482.14299999999997</v>
      </c>
      <c r="H150" s="70">
        <v>75.775000000000006</v>
      </c>
      <c r="I150" s="70">
        <v>130.02099999999999</v>
      </c>
      <c r="J150" s="70">
        <v>24.186</v>
      </c>
      <c r="K150" s="70">
        <v>56.49</v>
      </c>
      <c r="L150" s="70">
        <v>35.948999999999998</v>
      </c>
      <c r="M150" s="70">
        <v>27.411000000000001</v>
      </c>
      <c r="N150" s="70">
        <v>228.691</v>
      </c>
      <c r="O150" s="70">
        <v>100.953</v>
      </c>
      <c r="P150" s="70">
        <v>112.021</v>
      </c>
      <c r="Q150" s="70">
        <v>100.99299999999999</v>
      </c>
      <c r="R150" s="70">
        <v>111.44799999999999</v>
      </c>
      <c r="S150" s="70">
        <v>74.180999999999997</v>
      </c>
      <c r="T150" s="70">
        <v>51.805</v>
      </c>
      <c r="U150" s="70">
        <v>55.468000000000004</v>
      </c>
      <c r="V150" s="70">
        <v>487.25200000000001</v>
      </c>
      <c r="W150" s="70">
        <v>48.920999999999999</v>
      </c>
      <c r="X150" s="70">
        <v>34.890999999999998</v>
      </c>
      <c r="Y150" s="70">
        <v>163.82</v>
      </c>
      <c r="Z150" s="75">
        <f t="shared" si="2"/>
        <v>5861.9449999999997</v>
      </c>
    </row>
    <row r="151" spans="1:26" x14ac:dyDescent="0.3">
      <c r="A151" s="68">
        <v>44287</v>
      </c>
      <c r="B151" s="70">
        <v>1863.181</v>
      </c>
      <c r="C151" s="70">
        <v>1419.3109999999999</v>
      </c>
      <c r="D151" s="70">
        <v>27.689</v>
      </c>
      <c r="E151" s="70">
        <v>71.713999999999999</v>
      </c>
      <c r="F151" s="70">
        <v>92.903000000000006</v>
      </c>
      <c r="G151" s="70">
        <v>486.36500000000001</v>
      </c>
      <c r="H151" s="70">
        <v>76.245000000000005</v>
      </c>
      <c r="I151" s="70">
        <v>130.923</v>
      </c>
      <c r="J151" s="70">
        <v>24.201000000000001</v>
      </c>
      <c r="K151" s="70">
        <v>57.66</v>
      </c>
      <c r="L151" s="70">
        <v>36.171999999999997</v>
      </c>
      <c r="M151" s="70">
        <v>27.713000000000001</v>
      </c>
      <c r="N151" s="70">
        <v>229.887</v>
      </c>
      <c r="O151" s="70">
        <v>101.238</v>
      </c>
      <c r="P151" s="70">
        <v>112.886</v>
      </c>
      <c r="Q151" s="70">
        <v>101.432</v>
      </c>
      <c r="R151" s="70">
        <v>112.393</v>
      </c>
      <c r="S151" s="70">
        <v>75.224999999999994</v>
      </c>
      <c r="T151" s="70">
        <v>51.850999999999999</v>
      </c>
      <c r="U151" s="70">
        <v>56.752000000000002</v>
      </c>
      <c r="V151" s="70">
        <v>490.24700000000001</v>
      </c>
      <c r="W151" s="70">
        <v>49.183</v>
      </c>
      <c r="X151" s="70">
        <v>35.133000000000003</v>
      </c>
      <c r="Y151" s="70">
        <v>163.86500000000001</v>
      </c>
      <c r="Z151" s="75">
        <f t="shared" si="2"/>
        <v>5894.168999999999</v>
      </c>
    </row>
    <row r="152" spans="1:26" x14ac:dyDescent="0.3">
      <c r="A152" s="68">
        <v>44317</v>
      </c>
      <c r="B152" s="70">
        <v>1864.549</v>
      </c>
      <c r="C152" s="70">
        <v>1418.181</v>
      </c>
      <c r="D152" s="70">
        <v>27.92</v>
      </c>
      <c r="E152" s="70">
        <v>71.866</v>
      </c>
      <c r="F152" s="70">
        <v>92.888999999999996</v>
      </c>
      <c r="G152" s="70">
        <v>486.62</v>
      </c>
      <c r="H152" s="70">
        <v>76.096999999999994</v>
      </c>
      <c r="I152" s="70">
        <v>131.12100000000001</v>
      </c>
      <c r="J152" s="70">
        <v>24.032</v>
      </c>
      <c r="K152" s="70">
        <v>58.311</v>
      </c>
      <c r="L152" s="70">
        <v>36.238999999999997</v>
      </c>
      <c r="M152" s="70">
        <v>27.901</v>
      </c>
      <c r="N152" s="70">
        <v>230.17699999999999</v>
      </c>
      <c r="O152" s="70">
        <v>101.986</v>
      </c>
      <c r="P152" s="70">
        <v>113.666</v>
      </c>
      <c r="Q152" s="70">
        <v>101.815</v>
      </c>
      <c r="R152" s="70">
        <v>111.861</v>
      </c>
      <c r="S152" s="70">
        <v>75.44</v>
      </c>
      <c r="T152" s="70">
        <v>51.84</v>
      </c>
      <c r="U152" s="70">
        <v>57.155000000000001</v>
      </c>
      <c r="V152" s="70">
        <v>490.80500000000001</v>
      </c>
      <c r="W152" s="70">
        <v>49.133000000000003</v>
      </c>
      <c r="X152" s="70">
        <v>34.747999999999998</v>
      </c>
      <c r="Y152" s="70">
        <v>163.809</v>
      </c>
      <c r="Z152" s="75">
        <f t="shared" si="2"/>
        <v>5898.1609999999982</v>
      </c>
    </row>
    <row r="153" spans="1:26" x14ac:dyDescent="0.3">
      <c r="A153" s="68">
        <v>44348</v>
      </c>
      <c r="B153" s="70">
        <v>1867.076</v>
      </c>
      <c r="C153" s="70">
        <v>1418.874</v>
      </c>
      <c r="D153" s="70">
        <v>28.155000000000001</v>
      </c>
      <c r="E153" s="70">
        <v>72.096999999999994</v>
      </c>
      <c r="F153" s="70">
        <v>94.429000000000002</v>
      </c>
      <c r="G153" s="70">
        <v>486.73599999999999</v>
      </c>
      <c r="H153" s="70">
        <v>76.03</v>
      </c>
      <c r="I153" s="70">
        <v>130.90799999999999</v>
      </c>
      <c r="J153" s="70">
        <v>23.945</v>
      </c>
      <c r="K153" s="70">
        <v>57.886000000000003</v>
      </c>
      <c r="L153" s="70">
        <v>36.241</v>
      </c>
      <c r="M153" s="70">
        <v>28.46</v>
      </c>
      <c r="N153" s="70">
        <v>230.00700000000001</v>
      </c>
      <c r="O153" s="70">
        <v>101.075</v>
      </c>
      <c r="P153" s="70">
        <v>114.328</v>
      </c>
      <c r="Q153" s="70">
        <v>101.605</v>
      </c>
      <c r="R153" s="70">
        <v>112.206</v>
      </c>
      <c r="S153" s="70">
        <v>75.748000000000005</v>
      </c>
      <c r="T153" s="70">
        <v>51.680999999999997</v>
      </c>
      <c r="U153" s="70">
        <v>57.597999999999999</v>
      </c>
      <c r="V153" s="70">
        <v>490.64</v>
      </c>
      <c r="W153" s="70">
        <v>49.317</v>
      </c>
      <c r="X153" s="70">
        <v>34.450000000000003</v>
      </c>
      <c r="Y153" s="70">
        <v>164.072</v>
      </c>
      <c r="Z153" s="75">
        <f t="shared" si="2"/>
        <v>5903.5639999999994</v>
      </c>
    </row>
    <row r="154" spans="1:26" x14ac:dyDescent="0.3">
      <c r="A154" s="68">
        <v>44378</v>
      </c>
      <c r="B154" s="70">
        <v>1862.4469999999999</v>
      </c>
      <c r="C154" s="70">
        <v>1420.798</v>
      </c>
      <c r="D154" s="70">
        <v>28.02</v>
      </c>
      <c r="E154" s="70">
        <v>71.936000000000007</v>
      </c>
      <c r="F154" s="70">
        <v>94.182000000000002</v>
      </c>
      <c r="G154" s="70">
        <v>487.358</v>
      </c>
      <c r="H154" s="70">
        <v>76.137</v>
      </c>
      <c r="I154" s="70">
        <v>131.44999999999999</v>
      </c>
      <c r="J154" s="70">
        <v>24.119</v>
      </c>
      <c r="K154" s="70">
        <v>57.963999999999999</v>
      </c>
      <c r="L154" s="70">
        <v>35.951000000000001</v>
      </c>
      <c r="M154" s="70">
        <v>27.873999999999999</v>
      </c>
      <c r="N154" s="70">
        <v>230</v>
      </c>
      <c r="O154" s="70">
        <v>101.06</v>
      </c>
      <c r="P154" s="70">
        <v>114.684</v>
      </c>
      <c r="Q154" s="70">
        <v>100.654</v>
      </c>
      <c r="R154" s="70">
        <v>112.446</v>
      </c>
      <c r="S154" s="70">
        <v>76.046000000000006</v>
      </c>
      <c r="T154" s="70">
        <v>51.411999999999999</v>
      </c>
      <c r="U154" s="70">
        <v>57.847999999999999</v>
      </c>
      <c r="V154" s="70">
        <v>491.40800000000002</v>
      </c>
      <c r="W154" s="70">
        <v>49.534999999999997</v>
      </c>
      <c r="X154" s="70">
        <v>34.308</v>
      </c>
      <c r="Y154" s="70">
        <v>164.70599999999999</v>
      </c>
      <c r="Z154" s="75">
        <f t="shared" si="2"/>
        <v>5902.3430000000008</v>
      </c>
    </row>
    <row r="155" spans="1:26" x14ac:dyDescent="0.3">
      <c r="A155" s="68">
        <v>44409</v>
      </c>
      <c r="B155" s="70">
        <v>1866.671</v>
      </c>
      <c r="C155" s="70">
        <v>1421.4549999999999</v>
      </c>
      <c r="D155" s="70">
        <v>28.577999999999999</v>
      </c>
      <c r="E155" s="70">
        <v>72.016000000000005</v>
      </c>
      <c r="F155" s="70">
        <v>94.192999999999998</v>
      </c>
      <c r="G155" s="70">
        <v>489.33</v>
      </c>
      <c r="H155" s="70">
        <v>76.241</v>
      </c>
      <c r="I155" s="70">
        <v>132.072</v>
      </c>
      <c r="J155" s="70">
        <v>24.309000000000001</v>
      </c>
      <c r="K155" s="70">
        <v>58.06</v>
      </c>
      <c r="L155" s="70">
        <v>35.975999999999999</v>
      </c>
      <c r="M155" s="70">
        <v>27.686</v>
      </c>
      <c r="N155" s="70">
        <v>230.328</v>
      </c>
      <c r="O155" s="70">
        <v>100.97499999999999</v>
      </c>
      <c r="P155" s="70">
        <v>115.541</v>
      </c>
      <c r="Q155" s="70">
        <v>101.081</v>
      </c>
      <c r="R155" s="70">
        <v>112.877</v>
      </c>
      <c r="S155" s="70">
        <v>76.290000000000006</v>
      </c>
      <c r="T155" s="70">
        <v>51.781999999999996</v>
      </c>
      <c r="U155" s="70">
        <v>57.802</v>
      </c>
      <c r="V155" s="70">
        <v>492.685</v>
      </c>
      <c r="W155" s="70">
        <v>49.555999999999997</v>
      </c>
      <c r="X155" s="70">
        <v>34.414000000000001</v>
      </c>
      <c r="Y155" s="70">
        <v>165.19800000000001</v>
      </c>
      <c r="Z155" s="75">
        <f t="shared" si="2"/>
        <v>5915.1160000000018</v>
      </c>
    </row>
    <row r="156" spans="1:26" x14ac:dyDescent="0.3">
      <c r="A156" s="68">
        <v>44440</v>
      </c>
      <c r="B156" s="70">
        <v>1875.663</v>
      </c>
      <c r="C156" s="70">
        <v>1425.7239999999999</v>
      </c>
      <c r="D156" s="70">
        <v>28.986000000000001</v>
      </c>
      <c r="E156" s="70">
        <v>72.221000000000004</v>
      </c>
      <c r="F156" s="70">
        <v>94.200999999999993</v>
      </c>
      <c r="G156" s="70">
        <v>490.24799999999999</v>
      </c>
      <c r="H156" s="70">
        <v>76.605999999999995</v>
      </c>
      <c r="I156" s="70">
        <v>132.72300000000001</v>
      </c>
      <c r="J156" s="70">
        <v>24.401</v>
      </c>
      <c r="K156" s="70">
        <v>58.652999999999999</v>
      </c>
      <c r="L156" s="70">
        <v>35.987000000000002</v>
      </c>
      <c r="M156" s="70">
        <v>28.048999999999999</v>
      </c>
      <c r="N156" s="70">
        <v>230.12899999999999</v>
      </c>
      <c r="O156" s="70">
        <v>101.554</v>
      </c>
      <c r="P156" s="70">
        <v>116.11499999999999</v>
      </c>
      <c r="Q156" s="70">
        <v>102.47199999999999</v>
      </c>
      <c r="R156" s="70">
        <v>112.845</v>
      </c>
      <c r="S156" s="70">
        <v>76.754999999999995</v>
      </c>
      <c r="T156" s="70">
        <v>51.694000000000003</v>
      </c>
      <c r="U156" s="70">
        <v>57.953000000000003</v>
      </c>
      <c r="V156" s="70">
        <v>494.33699999999999</v>
      </c>
      <c r="W156" s="70">
        <v>49.776000000000003</v>
      </c>
      <c r="X156" s="70">
        <v>34.722999999999999</v>
      </c>
      <c r="Y156" s="70">
        <v>165.31100000000001</v>
      </c>
      <c r="Z156" s="75">
        <f t="shared" si="2"/>
        <v>5937.1260000000002</v>
      </c>
    </row>
    <row r="157" spans="1:26" x14ac:dyDescent="0.3">
      <c r="A157" s="68">
        <v>44470</v>
      </c>
      <c r="B157" s="70">
        <v>1880.38</v>
      </c>
      <c r="C157" s="70">
        <v>1431.287</v>
      </c>
      <c r="D157" s="70">
        <v>29.483000000000001</v>
      </c>
      <c r="E157" s="70">
        <v>72.400999999999996</v>
      </c>
      <c r="F157" s="70">
        <v>92.888999999999996</v>
      </c>
      <c r="G157" s="70">
        <v>491.65300000000002</v>
      </c>
      <c r="H157" s="70">
        <v>76.944000000000003</v>
      </c>
      <c r="I157" s="70">
        <v>131.56299999999999</v>
      </c>
      <c r="J157" s="70">
        <v>24.477</v>
      </c>
      <c r="K157" s="70">
        <v>58.74</v>
      </c>
      <c r="L157" s="70">
        <v>36.103999999999999</v>
      </c>
      <c r="M157" s="70">
        <v>28.202999999999999</v>
      </c>
      <c r="N157" s="70">
        <v>231.15600000000001</v>
      </c>
      <c r="O157" s="70">
        <v>101.599</v>
      </c>
      <c r="P157" s="70">
        <v>116.88800000000001</v>
      </c>
      <c r="Q157" s="70">
        <v>102.56699999999999</v>
      </c>
      <c r="R157" s="70">
        <v>112.90300000000001</v>
      </c>
      <c r="S157" s="70">
        <v>76.927000000000007</v>
      </c>
      <c r="T157" s="70">
        <v>52.061999999999998</v>
      </c>
      <c r="U157" s="70">
        <v>57.603000000000002</v>
      </c>
      <c r="V157" s="70">
        <v>495.69200000000001</v>
      </c>
      <c r="W157" s="70">
        <v>50.08</v>
      </c>
      <c r="X157" s="70">
        <v>33.929000000000002</v>
      </c>
      <c r="Y157" s="70">
        <v>164.084</v>
      </c>
      <c r="Z157" s="75">
        <f t="shared" si="2"/>
        <v>5949.6140000000005</v>
      </c>
    </row>
    <row r="158" spans="1:26" x14ac:dyDescent="0.3">
      <c r="A158" s="68">
        <v>44501</v>
      </c>
      <c r="B158" s="70">
        <v>1884.1780000000001</v>
      </c>
      <c r="C158" s="70">
        <v>1435.4580000000001</v>
      </c>
      <c r="D158" s="70">
        <v>29.702000000000002</v>
      </c>
      <c r="E158" s="70">
        <v>72.879000000000005</v>
      </c>
      <c r="F158" s="70">
        <v>94.19</v>
      </c>
      <c r="G158" s="70">
        <v>494.21100000000001</v>
      </c>
      <c r="H158" s="70">
        <v>76.504000000000005</v>
      </c>
      <c r="I158" s="70">
        <v>131.95599999999999</v>
      </c>
      <c r="J158" s="70">
        <v>24.972000000000001</v>
      </c>
      <c r="K158" s="70">
        <v>58.863999999999997</v>
      </c>
      <c r="L158" s="70">
        <v>36.633000000000003</v>
      </c>
      <c r="M158" s="70">
        <v>28.405000000000001</v>
      </c>
      <c r="N158" s="70">
        <v>232.66499999999999</v>
      </c>
      <c r="O158" s="70">
        <v>102.149</v>
      </c>
      <c r="P158" s="70">
        <v>117.54900000000001</v>
      </c>
      <c r="Q158" s="70">
        <v>103.565</v>
      </c>
      <c r="R158" s="70">
        <v>113.43</v>
      </c>
      <c r="S158" s="70">
        <v>77.159000000000006</v>
      </c>
      <c r="T158" s="70">
        <v>52.335999999999999</v>
      </c>
      <c r="U158" s="70">
        <v>57.35</v>
      </c>
      <c r="V158" s="70">
        <v>497.66500000000002</v>
      </c>
      <c r="W158" s="70">
        <v>50.448</v>
      </c>
      <c r="X158" s="70">
        <v>34.598999999999997</v>
      </c>
      <c r="Y158" s="70">
        <v>164.31700000000001</v>
      </c>
      <c r="Z158" s="75">
        <f t="shared" si="2"/>
        <v>5971.1840000000002</v>
      </c>
    </row>
    <row r="159" spans="1:26" x14ac:dyDescent="0.3">
      <c r="A159" s="68">
        <v>44531</v>
      </c>
      <c r="B159" s="70">
        <v>1896.5550000000001</v>
      </c>
      <c r="C159" s="70">
        <v>1443.184</v>
      </c>
      <c r="D159" s="70">
        <v>30.247</v>
      </c>
      <c r="E159" s="70">
        <v>73.427000000000007</v>
      </c>
      <c r="F159" s="70">
        <v>94.5</v>
      </c>
      <c r="G159" s="70">
        <v>497.25299999999999</v>
      </c>
      <c r="H159" s="70">
        <v>76.427000000000007</v>
      </c>
      <c r="I159" s="70">
        <v>133.34100000000001</v>
      </c>
      <c r="J159" s="70">
        <v>25.190999999999999</v>
      </c>
      <c r="K159" s="70">
        <v>58.671999999999997</v>
      </c>
      <c r="L159" s="70">
        <v>36.932000000000002</v>
      </c>
      <c r="M159" s="70">
        <v>28.6</v>
      </c>
      <c r="N159" s="70">
        <v>233.828</v>
      </c>
      <c r="O159" s="70">
        <v>102.71299999999999</v>
      </c>
      <c r="P159" s="70">
        <v>118.71</v>
      </c>
      <c r="Q159" s="70">
        <v>105.133</v>
      </c>
      <c r="R159" s="70">
        <v>114.31100000000001</v>
      </c>
      <c r="S159" s="70">
        <v>78.174000000000007</v>
      </c>
      <c r="T159" s="70">
        <v>52.691000000000003</v>
      </c>
      <c r="U159" s="70">
        <v>57.725999999999999</v>
      </c>
      <c r="V159" s="70">
        <v>500.11099999999999</v>
      </c>
      <c r="W159" s="70">
        <v>50.808999999999997</v>
      </c>
      <c r="X159" s="70">
        <v>35.237000000000002</v>
      </c>
      <c r="Y159" s="70">
        <v>164.72300000000001</v>
      </c>
      <c r="Z159" s="75">
        <f t="shared" si="2"/>
        <v>6008.494999999999</v>
      </c>
    </row>
    <row r="160" spans="1:26" x14ac:dyDescent="0.3">
      <c r="A160" s="68">
        <v>44562</v>
      </c>
      <c r="B160" s="70">
        <v>1910.0830000000001</v>
      </c>
      <c r="C160" s="70">
        <v>1447.673</v>
      </c>
      <c r="D160" s="70">
        <v>30.236000000000001</v>
      </c>
      <c r="E160" s="70">
        <v>73.724999999999994</v>
      </c>
      <c r="F160" s="70">
        <v>94.864000000000004</v>
      </c>
      <c r="G160" s="70">
        <v>498.85300000000001</v>
      </c>
      <c r="H160" s="70">
        <v>76.52</v>
      </c>
      <c r="I160" s="70">
        <v>133.709</v>
      </c>
      <c r="J160" s="70">
        <v>25.420999999999999</v>
      </c>
      <c r="K160" s="70">
        <v>59.524999999999999</v>
      </c>
      <c r="L160" s="70">
        <v>37.183999999999997</v>
      </c>
      <c r="M160" s="70">
        <v>28.994</v>
      </c>
      <c r="N160" s="70">
        <v>235.34100000000001</v>
      </c>
      <c r="O160" s="70">
        <v>103.452</v>
      </c>
      <c r="P160" s="70">
        <v>119.916</v>
      </c>
      <c r="Q160" s="70">
        <v>105.164</v>
      </c>
      <c r="R160" s="70">
        <v>113.837</v>
      </c>
      <c r="S160" s="70">
        <v>78.805000000000007</v>
      </c>
      <c r="T160" s="70">
        <v>53.167000000000002</v>
      </c>
      <c r="U160" s="70">
        <v>58.055</v>
      </c>
      <c r="V160" s="70">
        <v>502.053</v>
      </c>
      <c r="W160" s="70">
        <v>51.51</v>
      </c>
      <c r="X160" s="70">
        <v>35.715000000000003</v>
      </c>
      <c r="Y160" s="70">
        <v>165.166</v>
      </c>
      <c r="Z160" s="75">
        <f t="shared" si="2"/>
        <v>6038.9680000000026</v>
      </c>
    </row>
    <row r="161" spans="1:26" x14ac:dyDescent="0.3">
      <c r="A161" s="68">
        <v>44593</v>
      </c>
      <c r="B161" s="70">
        <v>1917.4970000000001</v>
      </c>
      <c r="C161" s="70">
        <v>1452.116</v>
      </c>
      <c r="D161" s="70">
        <v>30.443999999999999</v>
      </c>
      <c r="E161" s="70">
        <v>73.905000000000001</v>
      </c>
      <c r="F161" s="70">
        <v>95.042000000000002</v>
      </c>
      <c r="G161" s="70">
        <v>500.36900000000003</v>
      </c>
      <c r="H161" s="70">
        <v>76.599999999999994</v>
      </c>
      <c r="I161" s="70">
        <v>134.685</v>
      </c>
      <c r="J161" s="70">
        <v>25.488</v>
      </c>
      <c r="K161" s="70">
        <v>60.905000000000001</v>
      </c>
      <c r="L161" s="70">
        <v>37.299999999999997</v>
      </c>
      <c r="M161" s="70">
        <v>29.667000000000002</v>
      </c>
      <c r="N161" s="70">
        <v>235.453</v>
      </c>
      <c r="O161" s="70">
        <v>103.607</v>
      </c>
      <c r="P161" s="70">
        <v>120.279</v>
      </c>
      <c r="Q161" s="70">
        <v>105.235</v>
      </c>
      <c r="R161" s="70">
        <v>113.77500000000001</v>
      </c>
      <c r="S161" s="70">
        <v>79.400999999999996</v>
      </c>
      <c r="T161" s="70">
        <v>53.529000000000003</v>
      </c>
      <c r="U161" s="70">
        <v>58.835999999999999</v>
      </c>
      <c r="V161" s="70">
        <v>502.95299999999997</v>
      </c>
      <c r="W161" s="70">
        <v>51.942</v>
      </c>
      <c r="X161" s="70">
        <v>35.883000000000003</v>
      </c>
      <c r="Y161" s="70">
        <v>165.66</v>
      </c>
      <c r="Z161" s="75">
        <f t="shared" si="2"/>
        <v>6060.5710000000008</v>
      </c>
    </row>
    <row r="162" spans="1:26" x14ac:dyDescent="0.3">
      <c r="A162" s="68">
        <v>44621</v>
      </c>
      <c r="B162" s="70">
        <v>1924.7809999999999</v>
      </c>
      <c r="C162" s="70">
        <v>1456.66</v>
      </c>
      <c r="D162" s="70">
        <v>31.332000000000001</v>
      </c>
      <c r="E162" s="70">
        <v>74.453999999999994</v>
      </c>
      <c r="F162" s="70">
        <v>96.001999999999995</v>
      </c>
      <c r="G162" s="70">
        <v>503.18799999999999</v>
      </c>
      <c r="H162" s="70">
        <v>76.781999999999996</v>
      </c>
      <c r="I162" s="70">
        <v>134.90100000000001</v>
      </c>
      <c r="J162" s="70">
        <v>25.879000000000001</v>
      </c>
      <c r="K162" s="70">
        <v>62.475000000000001</v>
      </c>
      <c r="L162" s="70">
        <v>37.584000000000003</v>
      </c>
      <c r="M162" s="70">
        <v>30.547000000000001</v>
      </c>
      <c r="N162" s="70">
        <v>237.441</v>
      </c>
      <c r="O162" s="70">
        <v>103.03400000000001</v>
      </c>
      <c r="P162" s="70">
        <v>120.905</v>
      </c>
      <c r="Q162" s="70">
        <v>105.83199999999999</v>
      </c>
      <c r="R162" s="70">
        <v>114.38</v>
      </c>
      <c r="S162" s="70">
        <v>80.090999999999994</v>
      </c>
      <c r="T162" s="70">
        <v>53.915999999999997</v>
      </c>
      <c r="U162" s="70">
        <v>59.377000000000002</v>
      </c>
      <c r="V162" s="70">
        <v>505.36500000000001</v>
      </c>
      <c r="W162" s="70">
        <v>52.274999999999999</v>
      </c>
      <c r="X162" s="70">
        <v>36.203000000000003</v>
      </c>
      <c r="Y162" s="70">
        <v>165.042</v>
      </c>
      <c r="Z162" s="75">
        <f t="shared" si="2"/>
        <v>6088.4459999999999</v>
      </c>
    </row>
    <row r="163" spans="1:26" x14ac:dyDescent="0.3">
      <c r="A163" s="68">
        <v>44652</v>
      </c>
      <c r="B163" s="70">
        <v>1935.837</v>
      </c>
      <c r="C163" s="70">
        <v>1461.979</v>
      </c>
      <c r="D163" s="70">
        <v>31.832999999999998</v>
      </c>
      <c r="E163" s="70">
        <v>74.703999999999994</v>
      </c>
      <c r="F163" s="70">
        <v>96.454999999999998</v>
      </c>
      <c r="G163" s="70">
        <v>505.81900000000002</v>
      </c>
      <c r="H163" s="70">
        <v>76.831000000000003</v>
      </c>
      <c r="I163" s="70">
        <v>135.09200000000001</v>
      </c>
      <c r="J163" s="70">
        <v>26.045000000000002</v>
      </c>
      <c r="K163" s="70">
        <v>61.911000000000001</v>
      </c>
      <c r="L163" s="70">
        <v>37.86</v>
      </c>
      <c r="M163" s="70">
        <v>30.669</v>
      </c>
      <c r="N163" s="70">
        <v>237.57900000000001</v>
      </c>
      <c r="O163" s="70">
        <v>102.01300000000001</v>
      </c>
      <c r="P163" s="70">
        <v>121.703</v>
      </c>
      <c r="Q163" s="70">
        <v>105.91800000000001</v>
      </c>
      <c r="R163" s="70">
        <v>115.52500000000001</v>
      </c>
      <c r="S163" s="70">
        <v>81.076999999999998</v>
      </c>
      <c r="T163" s="70">
        <v>53.991</v>
      </c>
      <c r="U163" s="70">
        <v>59.445999999999998</v>
      </c>
      <c r="V163" s="70">
        <v>507.63799999999998</v>
      </c>
      <c r="W163" s="70">
        <v>53.256999999999998</v>
      </c>
      <c r="X163" s="70">
        <v>37.286000000000001</v>
      </c>
      <c r="Y163" s="70">
        <v>165.44399999999999</v>
      </c>
      <c r="Z163" s="75">
        <f t="shared" si="2"/>
        <v>6115.9119999999994</v>
      </c>
    </row>
    <row r="164" spans="1:26" x14ac:dyDescent="0.3">
      <c r="A164" s="68">
        <v>44682</v>
      </c>
      <c r="B164" s="70">
        <v>1945.5830000000001</v>
      </c>
      <c r="C164" s="70">
        <v>1469.653</v>
      </c>
      <c r="D164" s="70">
        <v>32.304000000000002</v>
      </c>
      <c r="E164" s="70">
        <v>75.221000000000004</v>
      </c>
      <c r="F164" s="70">
        <v>96.837999999999994</v>
      </c>
      <c r="G164" s="70">
        <v>507.267</v>
      </c>
      <c r="H164" s="70">
        <v>77.629000000000005</v>
      </c>
      <c r="I164" s="70">
        <v>135.48500000000001</v>
      </c>
      <c r="J164" s="70">
        <v>26.428000000000001</v>
      </c>
      <c r="K164" s="70">
        <v>61.552999999999997</v>
      </c>
      <c r="L164" s="70">
        <v>38.11</v>
      </c>
      <c r="M164" s="70">
        <v>29.997</v>
      </c>
      <c r="N164" s="70">
        <v>238.84700000000001</v>
      </c>
      <c r="O164" s="70">
        <v>103.289</v>
      </c>
      <c r="P164" s="70">
        <v>122.699</v>
      </c>
      <c r="Q164" s="70">
        <v>106.52800000000001</v>
      </c>
      <c r="R164" s="70">
        <v>115.947</v>
      </c>
      <c r="S164" s="70">
        <v>81.525999999999996</v>
      </c>
      <c r="T164" s="70">
        <v>53.84</v>
      </c>
      <c r="U164" s="70">
        <v>59.459000000000003</v>
      </c>
      <c r="V164" s="70">
        <v>509.34</v>
      </c>
      <c r="W164" s="70">
        <v>53.273000000000003</v>
      </c>
      <c r="X164" s="70">
        <v>37.985999999999997</v>
      </c>
      <c r="Y164" s="70">
        <v>163.15899999999999</v>
      </c>
      <c r="Z164" s="75">
        <f t="shared" si="2"/>
        <v>6141.9609999999984</v>
      </c>
    </row>
    <row r="165" spans="1:26" x14ac:dyDescent="0.3">
      <c r="A165" s="68">
        <v>44713</v>
      </c>
      <c r="B165" s="70">
        <v>1949.288</v>
      </c>
      <c r="C165" s="70">
        <v>1478.6079999999999</v>
      </c>
      <c r="D165" s="70">
        <v>32.819000000000003</v>
      </c>
      <c r="E165" s="70">
        <v>75.893000000000001</v>
      </c>
      <c r="F165" s="70">
        <v>97.63</v>
      </c>
      <c r="G165" s="70">
        <v>510.714</v>
      </c>
      <c r="H165" s="70">
        <v>77.876000000000005</v>
      </c>
      <c r="I165" s="70">
        <v>136.178</v>
      </c>
      <c r="J165" s="70">
        <v>26.751999999999999</v>
      </c>
      <c r="K165" s="70">
        <v>61.853000000000002</v>
      </c>
      <c r="L165" s="70">
        <v>38.362000000000002</v>
      </c>
      <c r="M165" s="70">
        <v>30.643000000000001</v>
      </c>
      <c r="N165" s="70">
        <v>240.56899999999999</v>
      </c>
      <c r="O165" s="70">
        <v>105.505</v>
      </c>
      <c r="P165" s="70">
        <v>123.815</v>
      </c>
      <c r="Q165" s="70">
        <v>107.479</v>
      </c>
      <c r="R165" s="70">
        <v>117.315</v>
      </c>
      <c r="S165" s="70">
        <v>82.421000000000006</v>
      </c>
      <c r="T165" s="70">
        <v>54.027000000000001</v>
      </c>
      <c r="U165" s="70">
        <v>59.387999999999998</v>
      </c>
      <c r="V165" s="70">
        <v>511.57400000000001</v>
      </c>
      <c r="W165" s="70">
        <v>53.64</v>
      </c>
      <c r="X165" s="70">
        <v>38.472999999999999</v>
      </c>
      <c r="Y165" s="70">
        <v>161.33099999999999</v>
      </c>
      <c r="Z165" s="75">
        <f t="shared" si="2"/>
        <v>6172.1530000000012</v>
      </c>
    </row>
    <row r="166" spans="1:26" x14ac:dyDescent="0.3">
      <c r="A166" s="68">
        <v>44743</v>
      </c>
      <c r="B166" s="70">
        <v>1956.6420000000001</v>
      </c>
      <c r="C166" s="70">
        <v>1482.9169999999999</v>
      </c>
      <c r="D166" s="70">
        <v>33.659999999999997</v>
      </c>
      <c r="E166" s="70">
        <v>76.953999999999994</v>
      </c>
      <c r="F166" s="70">
        <v>97.465999999999994</v>
      </c>
      <c r="G166" s="70">
        <v>514.47699999999998</v>
      </c>
      <c r="H166" s="70">
        <v>78.135000000000005</v>
      </c>
      <c r="I166" s="70">
        <v>136.93899999999999</v>
      </c>
      <c r="J166" s="70">
        <v>27.201000000000001</v>
      </c>
      <c r="K166" s="70">
        <v>61.960999999999999</v>
      </c>
      <c r="L166" s="70">
        <v>38.863999999999997</v>
      </c>
      <c r="M166" s="70">
        <v>30.946999999999999</v>
      </c>
      <c r="N166" s="70">
        <v>241.477</v>
      </c>
      <c r="O166" s="70">
        <v>106.84099999999999</v>
      </c>
      <c r="P166" s="70">
        <v>124.57299999999999</v>
      </c>
      <c r="Q166" s="70">
        <v>108.276</v>
      </c>
      <c r="R166" s="70">
        <v>118.721</v>
      </c>
      <c r="S166" s="70">
        <v>82.492999999999995</v>
      </c>
      <c r="T166" s="70">
        <v>54.134999999999998</v>
      </c>
      <c r="U166" s="70">
        <v>59.494999999999997</v>
      </c>
      <c r="V166" s="70">
        <v>513.61</v>
      </c>
      <c r="W166" s="70">
        <v>54.378999999999998</v>
      </c>
      <c r="X166" s="70">
        <v>38.579000000000001</v>
      </c>
      <c r="Y166" s="70">
        <v>161.541</v>
      </c>
      <c r="Z166" s="75">
        <f t="shared" si="2"/>
        <v>6200.2830000000013</v>
      </c>
    </row>
    <row r="167" spans="1:26" x14ac:dyDescent="0.3">
      <c r="A167" s="68">
        <v>44774</v>
      </c>
      <c r="B167" s="70">
        <v>1960.0889999999999</v>
      </c>
      <c r="C167" s="70">
        <v>1484.57</v>
      </c>
      <c r="D167" s="70">
        <v>33.707000000000001</v>
      </c>
      <c r="E167" s="70">
        <v>76.923000000000002</v>
      </c>
      <c r="F167" s="70">
        <v>97.664000000000001</v>
      </c>
      <c r="G167" s="70">
        <v>515.70000000000005</v>
      </c>
      <c r="H167" s="70">
        <v>78.335999999999999</v>
      </c>
      <c r="I167" s="70">
        <v>136.471</v>
      </c>
      <c r="J167" s="70">
        <v>27.268999999999998</v>
      </c>
      <c r="K167" s="70">
        <v>62.048999999999999</v>
      </c>
      <c r="L167" s="70">
        <v>38.993000000000002</v>
      </c>
      <c r="M167" s="70">
        <v>31.157</v>
      </c>
      <c r="N167" s="70">
        <v>241.929</v>
      </c>
      <c r="O167" s="70">
        <v>107.529</v>
      </c>
      <c r="P167" s="70">
        <v>125.273</v>
      </c>
      <c r="Q167" s="70">
        <v>108.953</v>
      </c>
      <c r="R167" s="70">
        <v>118.527</v>
      </c>
      <c r="S167" s="70">
        <v>82.387</v>
      </c>
      <c r="T167" s="70">
        <v>54.460999999999999</v>
      </c>
      <c r="U167" s="70">
        <v>59.453000000000003</v>
      </c>
      <c r="V167" s="70">
        <v>512.44200000000001</v>
      </c>
      <c r="W167" s="70">
        <v>54.347999999999999</v>
      </c>
      <c r="X167" s="70">
        <v>37.631</v>
      </c>
      <c r="Y167" s="70">
        <v>161.255</v>
      </c>
      <c r="Z167" s="75">
        <f t="shared" si="2"/>
        <v>6207.1160000000036</v>
      </c>
    </row>
    <row r="168" spans="1:26" x14ac:dyDescent="0.3">
      <c r="A168" s="68">
        <v>44805</v>
      </c>
      <c r="B168" s="70">
        <v>1963.0940000000001</v>
      </c>
      <c r="C168" s="70">
        <v>1493.354</v>
      </c>
      <c r="D168" s="70">
        <v>34.103000000000002</v>
      </c>
      <c r="E168" s="70">
        <v>77.766999999999996</v>
      </c>
      <c r="F168" s="70">
        <v>97.552999999999997</v>
      </c>
      <c r="G168" s="70">
        <v>518.08000000000004</v>
      </c>
      <c r="H168" s="70">
        <v>79.009</v>
      </c>
      <c r="I168" s="70">
        <v>136.697</v>
      </c>
      <c r="J168" s="70">
        <v>27.713999999999999</v>
      </c>
      <c r="K168" s="70">
        <v>62.216999999999999</v>
      </c>
      <c r="L168" s="70">
        <v>39.131999999999998</v>
      </c>
      <c r="M168" s="70">
        <v>31.231000000000002</v>
      </c>
      <c r="N168" s="70">
        <v>242.958</v>
      </c>
      <c r="O168" s="70">
        <v>107.86</v>
      </c>
      <c r="P168" s="70">
        <v>126.514</v>
      </c>
      <c r="Q168" s="70">
        <v>109.17</v>
      </c>
      <c r="R168" s="70">
        <v>119.446</v>
      </c>
      <c r="S168" s="70">
        <v>82.483999999999995</v>
      </c>
      <c r="T168" s="70">
        <v>54.698</v>
      </c>
      <c r="U168" s="70">
        <v>59.523000000000003</v>
      </c>
      <c r="V168" s="70">
        <v>513.72500000000002</v>
      </c>
      <c r="W168" s="70">
        <v>54.55</v>
      </c>
      <c r="X168" s="70">
        <v>37.838000000000001</v>
      </c>
      <c r="Y168" s="70">
        <v>160.55600000000001</v>
      </c>
      <c r="Z168" s="75">
        <f t="shared" si="2"/>
        <v>6229.2729999999992</v>
      </c>
    </row>
    <row r="169" spans="1:26" x14ac:dyDescent="0.3">
      <c r="A169" s="68">
        <v>44835</v>
      </c>
      <c r="B169" s="70">
        <v>1970.232</v>
      </c>
      <c r="C169" s="70">
        <v>1496.9949999999999</v>
      </c>
      <c r="D169" s="70">
        <v>34.594000000000001</v>
      </c>
      <c r="E169" s="70">
        <v>78.146000000000001</v>
      </c>
      <c r="F169" s="70">
        <v>97.201999999999998</v>
      </c>
      <c r="G169" s="70">
        <v>520.55899999999997</v>
      </c>
      <c r="H169" s="70">
        <v>79.385000000000005</v>
      </c>
      <c r="I169" s="70">
        <v>135.61199999999999</v>
      </c>
      <c r="J169" s="70">
        <v>27.881</v>
      </c>
      <c r="K169" s="70">
        <v>61.878</v>
      </c>
      <c r="L169" s="70">
        <v>39.253</v>
      </c>
      <c r="M169" s="70">
        <v>31.751000000000001</v>
      </c>
      <c r="N169" s="70">
        <v>243.04300000000001</v>
      </c>
      <c r="O169" s="70">
        <v>108.747</v>
      </c>
      <c r="P169" s="70">
        <v>128.15700000000001</v>
      </c>
      <c r="Q169" s="70">
        <v>109.935</v>
      </c>
      <c r="R169" s="70">
        <v>120.459</v>
      </c>
      <c r="S169" s="70">
        <v>83.197000000000003</v>
      </c>
      <c r="T169" s="70">
        <v>54.906999999999996</v>
      </c>
      <c r="U169" s="70">
        <v>59.552999999999997</v>
      </c>
      <c r="V169" s="70">
        <v>515.78200000000004</v>
      </c>
      <c r="W169" s="70">
        <v>54.720999999999997</v>
      </c>
      <c r="X169" s="70">
        <v>38.104999999999997</v>
      </c>
      <c r="Y169" s="70">
        <v>159.86199999999999</v>
      </c>
      <c r="Z169" s="75">
        <f t="shared" si="2"/>
        <v>6249.9560000000001</v>
      </c>
    </row>
    <row r="170" spans="1:26" x14ac:dyDescent="0.3">
      <c r="A170" s="68">
        <v>44866</v>
      </c>
      <c r="B170" s="70">
        <v>1973.3430000000001</v>
      </c>
      <c r="C170" s="70">
        <v>1500.0309999999999</v>
      </c>
      <c r="D170" s="70">
        <v>35.392000000000003</v>
      </c>
      <c r="E170" s="70">
        <v>78.555999999999997</v>
      </c>
      <c r="F170" s="70">
        <v>97.221000000000004</v>
      </c>
      <c r="G170" s="70">
        <v>521.93399999999997</v>
      </c>
      <c r="H170" s="70">
        <v>79.825000000000003</v>
      </c>
      <c r="I170" s="70">
        <v>136.90199999999999</v>
      </c>
      <c r="J170" s="70">
        <v>27.783999999999999</v>
      </c>
      <c r="K170" s="70">
        <v>61.76</v>
      </c>
      <c r="L170" s="70">
        <v>39.475000000000001</v>
      </c>
      <c r="M170" s="70">
        <v>31.797999999999998</v>
      </c>
      <c r="N170" s="70">
        <v>242.172</v>
      </c>
      <c r="O170" s="70">
        <v>108.497</v>
      </c>
      <c r="P170" s="70">
        <v>130.18299999999999</v>
      </c>
      <c r="Q170" s="70">
        <v>109.73</v>
      </c>
      <c r="R170" s="70">
        <v>120.77500000000001</v>
      </c>
      <c r="S170" s="70">
        <v>83.573999999999998</v>
      </c>
      <c r="T170" s="70">
        <v>55.183</v>
      </c>
      <c r="U170" s="70">
        <v>59.618000000000002</v>
      </c>
      <c r="V170" s="70">
        <v>516.99599999999998</v>
      </c>
      <c r="W170" s="70">
        <v>54.793999999999997</v>
      </c>
      <c r="X170" s="70">
        <v>38.408999999999999</v>
      </c>
      <c r="Y170" s="70">
        <v>161.49700000000001</v>
      </c>
      <c r="Z170" s="75">
        <f t="shared" si="2"/>
        <v>6265.4489999999987</v>
      </c>
    </row>
    <row r="171" spans="1:26" x14ac:dyDescent="0.3">
      <c r="A171" s="68">
        <v>44896</v>
      </c>
      <c r="B171" s="70">
        <v>1981.154</v>
      </c>
      <c r="C171" s="70">
        <v>1499.567</v>
      </c>
      <c r="D171" s="70">
        <v>35.709000000000003</v>
      </c>
      <c r="E171" s="70">
        <v>79.057000000000002</v>
      </c>
      <c r="F171" s="70">
        <v>97.731999999999999</v>
      </c>
      <c r="G171" s="70">
        <v>523.31399999999996</v>
      </c>
      <c r="H171" s="70">
        <v>79.972999999999999</v>
      </c>
      <c r="I171" s="70">
        <v>138.47399999999999</v>
      </c>
      <c r="J171" s="70">
        <v>27.632000000000001</v>
      </c>
      <c r="K171" s="70">
        <v>61.113999999999997</v>
      </c>
      <c r="L171" s="70">
        <v>39.700000000000003</v>
      </c>
      <c r="M171" s="70">
        <v>31.986999999999998</v>
      </c>
      <c r="N171" s="70">
        <v>241.89099999999999</v>
      </c>
      <c r="O171" s="70">
        <v>108.95399999999999</v>
      </c>
      <c r="P171" s="70">
        <v>131.4</v>
      </c>
      <c r="Q171" s="70">
        <v>109.994</v>
      </c>
      <c r="R171" s="70">
        <v>121.06100000000001</v>
      </c>
      <c r="S171" s="70">
        <v>82.873999999999995</v>
      </c>
      <c r="T171" s="70">
        <v>55.588000000000001</v>
      </c>
      <c r="U171" s="70">
        <v>60.107999999999997</v>
      </c>
      <c r="V171" s="70">
        <v>517.06399999999996</v>
      </c>
      <c r="W171" s="70">
        <v>54.991999999999997</v>
      </c>
      <c r="X171" s="70">
        <v>38.325000000000003</v>
      </c>
      <c r="Y171" s="70">
        <v>161.465</v>
      </c>
      <c r="Z171" s="75">
        <f t="shared" si="2"/>
        <v>6279.1289999999972</v>
      </c>
    </row>
    <row r="172" spans="1:26" x14ac:dyDescent="0.3">
      <c r="A172" s="68">
        <v>44927</v>
      </c>
      <c r="B172" s="70">
        <v>1986.347</v>
      </c>
      <c r="C172" s="70">
        <v>1505.059</v>
      </c>
      <c r="D172" s="70">
        <v>35.883000000000003</v>
      </c>
      <c r="E172" s="70">
        <v>79.512</v>
      </c>
      <c r="F172" s="70">
        <v>97.915000000000006</v>
      </c>
      <c r="G172" s="70">
        <v>526.41099999999994</v>
      </c>
      <c r="H172" s="70">
        <v>80.602000000000004</v>
      </c>
      <c r="I172" s="70">
        <v>139.34200000000001</v>
      </c>
      <c r="J172" s="70">
        <v>27.501000000000001</v>
      </c>
      <c r="K172" s="70">
        <v>61.284999999999997</v>
      </c>
      <c r="L172" s="70">
        <v>39.920999999999999</v>
      </c>
      <c r="M172" s="70">
        <v>32.536999999999999</v>
      </c>
      <c r="N172" s="70">
        <v>242.779</v>
      </c>
      <c r="O172" s="70">
        <v>108.563</v>
      </c>
      <c r="P172" s="70">
        <v>133.26300000000001</v>
      </c>
      <c r="Q172" s="70">
        <v>109.83</v>
      </c>
      <c r="R172" s="70">
        <v>122.28</v>
      </c>
      <c r="S172" s="70">
        <v>83.191999999999993</v>
      </c>
      <c r="T172" s="70">
        <v>55.671999999999997</v>
      </c>
      <c r="U172" s="70">
        <v>60.264000000000003</v>
      </c>
      <c r="V172" s="70">
        <v>517.678</v>
      </c>
      <c r="W172" s="70">
        <v>55.366</v>
      </c>
      <c r="X172" s="70">
        <v>38.128</v>
      </c>
      <c r="Y172" s="70">
        <v>161.93100000000001</v>
      </c>
      <c r="Z172" s="75">
        <f t="shared" si="2"/>
        <v>6301.2609999999977</v>
      </c>
    </row>
    <row r="173" spans="1:26" x14ac:dyDescent="0.3">
      <c r="A173" s="68">
        <v>44958</v>
      </c>
      <c r="B173" s="70">
        <v>1990.1389999999999</v>
      </c>
      <c r="C173" s="70">
        <v>1507.2719999999999</v>
      </c>
      <c r="D173" s="70">
        <v>36.585000000000001</v>
      </c>
      <c r="E173" s="70">
        <v>80.051000000000002</v>
      </c>
      <c r="F173" s="70">
        <v>98.066000000000003</v>
      </c>
      <c r="G173" s="70">
        <v>528.63199999999995</v>
      </c>
      <c r="H173" s="70">
        <v>80.807000000000002</v>
      </c>
      <c r="I173" s="70">
        <v>139.49199999999999</v>
      </c>
      <c r="J173" s="70">
        <v>27.623000000000001</v>
      </c>
      <c r="K173" s="70">
        <v>62.203000000000003</v>
      </c>
      <c r="L173" s="70">
        <v>40.244</v>
      </c>
      <c r="M173" s="70">
        <v>32.543999999999997</v>
      </c>
      <c r="N173" s="70">
        <v>242.98699999999999</v>
      </c>
      <c r="O173" s="70">
        <v>108.846</v>
      </c>
      <c r="P173" s="70">
        <v>134.83199999999999</v>
      </c>
      <c r="Q173" s="70">
        <v>109.97199999999999</v>
      </c>
      <c r="R173" s="70">
        <v>122.852</v>
      </c>
      <c r="S173" s="70">
        <v>82.84</v>
      </c>
      <c r="T173" s="70">
        <v>55.51</v>
      </c>
      <c r="U173" s="70">
        <v>60.225000000000001</v>
      </c>
      <c r="V173" s="70">
        <v>518.70600000000002</v>
      </c>
      <c r="W173" s="70">
        <v>55.585999999999999</v>
      </c>
      <c r="X173" s="70">
        <v>39.066000000000003</v>
      </c>
      <c r="Y173" s="70">
        <v>162.51</v>
      </c>
      <c r="Z173" s="75">
        <f t="shared" si="2"/>
        <v>6317.5900000000011</v>
      </c>
    </row>
    <row r="174" spans="1:26" x14ac:dyDescent="0.3">
      <c r="A174" s="68">
        <v>44986</v>
      </c>
      <c r="B174" s="70">
        <v>1998.3620000000001</v>
      </c>
      <c r="C174" s="70">
        <v>1515.539</v>
      </c>
      <c r="D174" s="70">
        <v>36.904000000000003</v>
      </c>
      <c r="E174" s="70">
        <v>80.599000000000004</v>
      </c>
      <c r="F174" s="70">
        <v>98.001000000000005</v>
      </c>
      <c r="G174" s="70">
        <v>528.98400000000004</v>
      </c>
      <c r="H174" s="70">
        <v>81.007000000000005</v>
      </c>
      <c r="I174" s="70">
        <v>139.85900000000001</v>
      </c>
      <c r="J174" s="70">
        <v>27.561</v>
      </c>
      <c r="K174" s="70">
        <v>63.601999999999997</v>
      </c>
      <c r="L174" s="70">
        <v>40.625999999999998</v>
      </c>
      <c r="M174" s="70">
        <v>32.905000000000001</v>
      </c>
      <c r="N174" s="70">
        <v>242.96600000000001</v>
      </c>
      <c r="O174" s="70">
        <v>108.86</v>
      </c>
      <c r="P174" s="70">
        <v>136.655</v>
      </c>
      <c r="Q174" s="70">
        <v>110.06399999999999</v>
      </c>
      <c r="R174" s="70">
        <v>124.22799999999999</v>
      </c>
      <c r="S174" s="70">
        <v>82.200999999999993</v>
      </c>
      <c r="T174" s="70">
        <v>55.65</v>
      </c>
      <c r="U174" s="70">
        <v>60.271999999999998</v>
      </c>
      <c r="V174" s="70">
        <v>520.83100000000002</v>
      </c>
      <c r="W174" s="70">
        <v>56.055999999999997</v>
      </c>
      <c r="X174" s="70">
        <v>39.328000000000003</v>
      </c>
      <c r="Y174" s="70">
        <v>160.60400000000001</v>
      </c>
      <c r="Z174" s="75">
        <f t="shared" si="2"/>
        <v>6341.6639999999998</v>
      </c>
    </row>
    <row r="175" spans="1:26" x14ac:dyDescent="0.3">
      <c r="A175" s="68">
        <v>45017</v>
      </c>
      <c r="B175" s="70">
        <v>2003.546</v>
      </c>
      <c r="C175" s="70">
        <v>1519.2139999999999</v>
      </c>
      <c r="D175" s="70">
        <v>37.65</v>
      </c>
      <c r="E175" s="70">
        <v>80.843999999999994</v>
      </c>
      <c r="F175" s="70">
        <v>98.085999999999999</v>
      </c>
      <c r="G175" s="70">
        <v>531.447</v>
      </c>
      <c r="H175" s="70">
        <v>80.730999999999995</v>
      </c>
      <c r="I175" s="70">
        <v>140.09200000000001</v>
      </c>
      <c r="J175" s="70">
        <v>27.4</v>
      </c>
      <c r="K175" s="70">
        <v>62.494</v>
      </c>
      <c r="L175" s="70">
        <v>40.732999999999997</v>
      </c>
      <c r="M175" s="70">
        <v>32.869999999999997</v>
      </c>
      <c r="N175" s="70">
        <v>241.93600000000001</v>
      </c>
      <c r="O175" s="70">
        <v>107.931</v>
      </c>
      <c r="P175" s="70">
        <v>138.55600000000001</v>
      </c>
      <c r="Q175" s="70">
        <v>110.7</v>
      </c>
      <c r="R175" s="70">
        <v>125.92700000000001</v>
      </c>
      <c r="S175" s="70">
        <v>82.697000000000003</v>
      </c>
      <c r="T175" s="70">
        <v>55.743000000000002</v>
      </c>
      <c r="U175" s="70">
        <v>60.902000000000001</v>
      </c>
      <c r="V175" s="70">
        <v>521.79399999999998</v>
      </c>
      <c r="W175" s="70">
        <v>56.036000000000001</v>
      </c>
      <c r="X175" s="70">
        <v>39.003</v>
      </c>
      <c r="Y175" s="70">
        <v>158.25399999999999</v>
      </c>
      <c r="Z175" s="75">
        <f t="shared" si="2"/>
        <v>6354.5859999999975</v>
      </c>
    </row>
    <row r="176" spans="1:26" x14ac:dyDescent="0.3">
      <c r="A176" s="68">
        <v>45047</v>
      </c>
      <c r="B176" s="70">
        <v>2009.547</v>
      </c>
      <c r="C176" s="70">
        <v>1521.269</v>
      </c>
      <c r="D176" s="70">
        <v>38.39</v>
      </c>
      <c r="E176" s="70">
        <v>81.037000000000006</v>
      </c>
      <c r="F176" s="70">
        <v>98.364000000000004</v>
      </c>
      <c r="G176" s="70">
        <v>531.94000000000005</v>
      </c>
      <c r="H176" s="70">
        <v>81.210999999999999</v>
      </c>
      <c r="I176" s="70">
        <v>140.21</v>
      </c>
      <c r="J176" s="70">
        <v>26.972999999999999</v>
      </c>
      <c r="K176" s="70">
        <v>62.146999999999998</v>
      </c>
      <c r="L176" s="70">
        <v>40.83</v>
      </c>
      <c r="M176" s="70">
        <v>33.177999999999997</v>
      </c>
      <c r="N176" s="70">
        <v>244.34100000000001</v>
      </c>
      <c r="O176" s="70">
        <v>108.949</v>
      </c>
      <c r="P176" s="70">
        <v>139.131</v>
      </c>
      <c r="Q176" s="70">
        <v>110.879</v>
      </c>
      <c r="R176" s="70">
        <v>125.726</v>
      </c>
      <c r="S176" s="70">
        <v>83.459000000000003</v>
      </c>
      <c r="T176" s="70">
        <v>55.808</v>
      </c>
      <c r="U176" s="70">
        <v>60.951000000000001</v>
      </c>
      <c r="V176" s="70">
        <v>522.63900000000001</v>
      </c>
      <c r="W176" s="70">
        <v>56.151000000000003</v>
      </c>
      <c r="X176" s="70">
        <v>39.287999999999997</v>
      </c>
      <c r="Y176" s="70">
        <v>159.131</v>
      </c>
      <c r="Z176" s="75">
        <f t="shared" si="2"/>
        <v>6371.5489999999991</v>
      </c>
    </row>
    <row r="177" spans="1:28" x14ac:dyDescent="0.3">
      <c r="A177" s="68">
        <v>45078</v>
      </c>
      <c r="B177" s="70">
        <v>2014.6210000000001</v>
      </c>
      <c r="C177" s="70">
        <v>1525.81</v>
      </c>
      <c r="D177" s="70">
        <v>38.575000000000003</v>
      </c>
      <c r="E177" s="70">
        <v>80.861999999999995</v>
      </c>
      <c r="F177" s="70">
        <v>98.816000000000003</v>
      </c>
      <c r="G177" s="70">
        <v>533.06500000000005</v>
      </c>
      <c r="H177" s="70">
        <v>81.454999999999998</v>
      </c>
      <c r="I177" s="70">
        <v>140.74299999999999</v>
      </c>
      <c r="J177" s="70">
        <v>27.16</v>
      </c>
      <c r="K177" s="70">
        <v>62.091999999999999</v>
      </c>
      <c r="L177" s="70">
        <v>40.933999999999997</v>
      </c>
      <c r="M177" s="70">
        <v>33.835999999999999</v>
      </c>
      <c r="N177" s="70">
        <v>244.96899999999999</v>
      </c>
      <c r="O177" s="70">
        <v>109.544</v>
      </c>
      <c r="P177" s="70">
        <v>139.94200000000001</v>
      </c>
      <c r="Q177" s="70">
        <v>110.51</v>
      </c>
      <c r="R177" s="70">
        <v>126.119</v>
      </c>
      <c r="S177" s="70">
        <v>83.378</v>
      </c>
      <c r="T177" s="70">
        <v>56.088999999999999</v>
      </c>
      <c r="U177" s="70">
        <v>61.405000000000001</v>
      </c>
      <c r="V177" s="70">
        <v>522.65200000000004</v>
      </c>
      <c r="W177" s="70">
        <v>56.098999999999997</v>
      </c>
      <c r="X177" s="70">
        <v>39.183</v>
      </c>
      <c r="Y177" s="70">
        <v>159.51900000000001</v>
      </c>
      <c r="Z177" s="75">
        <f t="shared" si="2"/>
        <v>6387.3779999999997</v>
      </c>
    </row>
    <row r="178" spans="1:28" x14ac:dyDescent="0.3">
      <c r="A178" s="68">
        <v>45108</v>
      </c>
      <c r="B178" s="70">
        <v>2022.45</v>
      </c>
      <c r="C178" s="70">
        <v>1531.5640000000001</v>
      </c>
      <c r="D178" s="70">
        <v>38.677999999999997</v>
      </c>
      <c r="E178" s="70">
        <v>80.382000000000005</v>
      </c>
      <c r="F178" s="70">
        <v>99.18</v>
      </c>
      <c r="G178" s="70">
        <v>532.85</v>
      </c>
      <c r="H178" s="70">
        <v>81.728999999999999</v>
      </c>
      <c r="I178" s="70">
        <v>141.203</v>
      </c>
      <c r="J178" s="70">
        <v>26.771999999999998</v>
      </c>
      <c r="K178" s="70">
        <v>61.789000000000001</v>
      </c>
      <c r="L178" s="70">
        <v>41.23</v>
      </c>
      <c r="M178" s="70">
        <v>33.982999999999997</v>
      </c>
      <c r="N178" s="70">
        <v>246.81</v>
      </c>
      <c r="O178" s="70">
        <v>109.97199999999999</v>
      </c>
      <c r="P178" s="70">
        <v>141.01300000000001</v>
      </c>
      <c r="Q178" s="70">
        <v>111.505</v>
      </c>
      <c r="R178" s="70">
        <v>126.667</v>
      </c>
      <c r="S178" s="70">
        <v>84.018000000000001</v>
      </c>
      <c r="T178" s="70">
        <v>56.264000000000003</v>
      </c>
      <c r="U178" s="70">
        <v>61.491999999999997</v>
      </c>
      <c r="V178" s="70">
        <v>523.28700000000003</v>
      </c>
      <c r="W178" s="70">
        <v>55.777999999999999</v>
      </c>
      <c r="X178" s="70">
        <v>39.107999999999997</v>
      </c>
      <c r="Y178" s="70">
        <v>159.048</v>
      </c>
      <c r="Z178" s="75">
        <f t="shared" si="2"/>
        <v>6406.7720000000018</v>
      </c>
    </row>
    <row r="179" spans="1:28" x14ac:dyDescent="0.3">
      <c r="A179" s="68">
        <v>45139</v>
      </c>
      <c r="B179" s="70">
        <v>2026.1479999999999</v>
      </c>
      <c r="C179" s="70">
        <v>1532.037</v>
      </c>
      <c r="D179" s="70">
        <v>38.905000000000001</v>
      </c>
      <c r="E179" s="70">
        <v>80.227999999999994</v>
      </c>
      <c r="F179" s="70">
        <v>98.733000000000004</v>
      </c>
      <c r="G179" s="70">
        <v>532.31899999999996</v>
      </c>
      <c r="H179" s="70">
        <v>81.391999999999996</v>
      </c>
      <c r="I179" s="70">
        <v>141.46100000000001</v>
      </c>
      <c r="J179" s="70">
        <v>26.568999999999999</v>
      </c>
      <c r="K179" s="70">
        <v>61.491</v>
      </c>
      <c r="L179" s="70">
        <v>41.033999999999999</v>
      </c>
      <c r="M179" s="70">
        <v>33.579000000000001</v>
      </c>
      <c r="N179" s="70">
        <v>246.51300000000001</v>
      </c>
      <c r="O179" s="70">
        <v>110.254</v>
      </c>
      <c r="P179" s="70">
        <v>142.13900000000001</v>
      </c>
      <c r="Q179" s="70">
        <v>111.09399999999999</v>
      </c>
      <c r="R179" s="70">
        <v>127.02200000000001</v>
      </c>
      <c r="S179" s="70">
        <v>83.31</v>
      </c>
      <c r="T179" s="70">
        <v>56.276000000000003</v>
      </c>
      <c r="U179" s="70">
        <v>61.348999999999997</v>
      </c>
      <c r="V179" s="70">
        <v>523.76199999999994</v>
      </c>
      <c r="W179" s="70">
        <v>55.634999999999998</v>
      </c>
      <c r="X179" s="70">
        <v>39.253</v>
      </c>
      <c r="Y179" s="70">
        <v>159.45699999999999</v>
      </c>
      <c r="Z179" s="75">
        <f t="shared" si="2"/>
        <v>6409.9600000000009</v>
      </c>
    </row>
    <row r="180" spans="1:28" x14ac:dyDescent="0.3">
      <c r="A180" s="68">
        <v>45170</v>
      </c>
      <c r="B180" s="70">
        <v>2022.326</v>
      </c>
      <c r="C180" s="70">
        <v>1528.011</v>
      </c>
      <c r="D180" s="70">
        <v>39.085000000000001</v>
      </c>
      <c r="E180" s="70">
        <v>79.748999999999995</v>
      </c>
      <c r="F180" s="70">
        <v>98.179000000000002</v>
      </c>
      <c r="G180" s="70">
        <v>531.66499999999996</v>
      </c>
      <c r="H180" s="70">
        <v>80.682000000000002</v>
      </c>
      <c r="I180" s="70">
        <v>140.41499999999999</v>
      </c>
      <c r="J180" s="70">
        <v>25.809000000000001</v>
      </c>
      <c r="K180" s="70">
        <v>60.956000000000003</v>
      </c>
      <c r="L180" s="70">
        <v>40.98</v>
      </c>
      <c r="M180" s="70">
        <v>33.314999999999998</v>
      </c>
      <c r="N180" s="70">
        <v>245.96600000000001</v>
      </c>
      <c r="O180" s="70">
        <v>110.244</v>
      </c>
      <c r="P180" s="70">
        <v>142.84100000000001</v>
      </c>
      <c r="Q180" s="70">
        <v>111.217</v>
      </c>
      <c r="R180" s="70">
        <v>126.67400000000001</v>
      </c>
      <c r="S180" s="70">
        <v>82.653000000000006</v>
      </c>
      <c r="T180" s="70">
        <v>56.023000000000003</v>
      </c>
      <c r="U180" s="70">
        <v>60.945999999999998</v>
      </c>
      <c r="V180" s="70">
        <v>523.23699999999997</v>
      </c>
      <c r="W180" s="70">
        <v>55.204000000000001</v>
      </c>
      <c r="X180" s="70">
        <v>38.645000000000003</v>
      </c>
      <c r="Y180" s="70">
        <v>159.00200000000001</v>
      </c>
      <c r="Z180" s="75">
        <f t="shared" si="2"/>
        <v>6393.8239999999996</v>
      </c>
    </row>
    <row r="181" spans="1:28" x14ac:dyDescent="0.3">
      <c r="A181" s="68">
        <v>45200</v>
      </c>
      <c r="B181" s="70">
        <v>2020.6780000000001</v>
      </c>
      <c r="C181" s="70">
        <v>1528.146</v>
      </c>
      <c r="D181" s="70">
        <v>39.03</v>
      </c>
      <c r="E181" s="70">
        <v>78.19</v>
      </c>
      <c r="F181" s="70">
        <v>98.462000000000003</v>
      </c>
      <c r="G181" s="70">
        <v>531.46199999999999</v>
      </c>
      <c r="H181" s="70">
        <v>80.224999999999994</v>
      </c>
      <c r="I181" s="70">
        <v>138.63200000000001</v>
      </c>
      <c r="J181" s="70">
        <v>25.128</v>
      </c>
      <c r="K181" s="70">
        <v>60.773000000000003</v>
      </c>
      <c r="L181" s="70">
        <v>41.030999999999999</v>
      </c>
      <c r="M181" s="70">
        <v>33.033999999999999</v>
      </c>
      <c r="N181" s="70">
        <v>244.77199999999999</v>
      </c>
      <c r="O181" s="70">
        <v>109.164</v>
      </c>
      <c r="P181" s="70">
        <v>143.36799999999999</v>
      </c>
      <c r="Q181" s="70">
        <v>110.496</v>
      </c>
      <c r="R181" s="70">
        <v>126.931</v>
      </c>
      <c r="S181" s="70">
        <v>81.811999999999998</v>
      </c>
      <c r="T181" s="70">
        <v>55.368000000000002</v>
      </c>
      <c r="U181" s="70">
        <v>60.844999999999999</v>
      </c>
      <c r="V181" s="70">
        <v>522.36199999999997</v>
      </c>
      <c r="W181" s="70">
        <v>54.463999999999999</v>
      </c>
      <c r="X181" s="70">
        <v>38.286999999999999</v>
      </c>
      <c r="Y181" s="70">
        <v>159.815</v>
      </c>
      <c r="Z181" s="75">
        <f t="shared" si="2"/>
        <v>6382.4750000000004</v>
      </c>
      <c r="AA181" s="99">
        <f>'A.2.2'!Q181</f>
        <v>6380.8309999999992</v>
      </c>
      <c r="AB181" s="100">
        <f>Z181-AA181</f>
        <v>1.6440000000011423</v>
      </c>
    </row>
    <row r="182" spans="1:28" x14ac:dyDescent="0.3">
      <c r="A182" s="68">
        <v>45231</v>
      </c>
      <c r="B182" s="70">
        <v>2019.7249999999999</v>
      </c>
      <c r="C182" s="70">
        <v>1529.952</v>
      </c>
      <c r="D182" s="70">
        <v>39.204999999999998</v>
      </c>
      <c r="E182" s="70">
        <v>77.653000000000006</v>
      </c>
      <c r="F182" s="70">
        <v>95.744</v>
      </c>
      <c r="G182" s="70">
        <v>530.93899999999996</v>
      </c>
      <c r="H182" s="70">
        <v>80.138000000000005</v>
      </c>
      <c r="I182" s="70">
        <v>139.18100000000001</v>
      </c>
      <c r="J182" s="70">
        <v>24.736000000000001</v>
      </c>
      <c r="K182" s="70">
        <v>59.984000000000002</v>
      </c>
      <c r="L182" s="70">
        <v>40.911999999999999</v>
      </c>
      <c r="M182" s="70">
        <v>32.802</v>
      </c>
      <c r="N182" s="70">
        <v>243.08</v>
      </c>
      <c r="O182" s="70">
        <v>108.867</v>
      </c>
      <c r="P182" s="70">
        <v>143.53299999999999</v>
      </c>
      <c r="Q182" s="70">
        <v>110.795</v>
      </c>
      <c r="R182" s="70">
        <v>127.64100000000001</v>
      </c>
      <c r="S182" s="70">
        <v>81.293000000000006</v>
      </c>
      <c r="T182" s="70">
        <v>55.215000000000003</v>
      </c>
      <c r="U182" s="70">
        <v>60.844000000000001</v>
      </c>
      <c r="V182" s="70">
        <v>521.39700000000005</v>
      </c>
      <c r="W182" s="70">
        <v>54.104999999999997</v>
      </c>
      <c r="X182" s="70">
        <v>37.947000000000003</v>
      </c>
      <c r="Y182" s="70">
        <v>160.88399999999999</v>
      </c>
      <c r="Z182" s="75">
        <f t="shared" si="2"/>
        <v>6376.5719999999992</v>
      </c>
      <c r="AA182" s="99">
        <f>'A.2.2'!Q182</f>
        <v>6372.697000000001</v>
      </c>
      <c r="AB182" s="100">
        <f t="shared" ref="AB182:AB190" si="3">Z182-AA182</f>
        <v>3.874999999998181</v>
      </c>
    </row>
    <row r="183" spans="1:28" x14ac:dyDescent="0.3">
      <c r="A183" s="68">
        <v>45261</v>
      </c>
      <c r="B183" s="70">
        <v>2015.588</v>
      </c>
      <c r="C183" s="70">
        <v>1527.509</v>
      </c>
      <c r="D183" s="70">
        <v>38.902000000000001</v>
      </c>
      <c r="E183" s="70">
        <v>76.805000000000007</v>
      </c>
      <c r="F183" s="70">
        <v>98.277000000000001</v>
      </c>
      <c r="G183" s="70">
        <v>530.85500000000002</v>
      </c>
      <c r="H183" s="70">
        <v>79.665999999999997</v>
      </c>
      <c r="I183" s="70">
        <v>139.435</v>
      </c>
      <c r="J183" s="70">
        <v>24.163</v>
      </c>
      <c r="K183" s="70">
        <v>59.316000000000003</v>
      </c>
      <c r="L183" s="70">
        <v>40.704000000000001</v>
      </c>
      <c r="M183" s="70">
        <v>32.460999999999999</v>
      </c>
      <c r="N183" s="70">
        <v>243.90199999999999</v>
      </c>
      <c r="O183" s="70">
        <v>107.947</v>
      </c>
      <c r="P183" s="70">
        <v>143.56299999999999</v>
      </c>
      <c r="Q183" s="70">
        <v>111.533</v>
      </c>
      <c r="R183" s="70">
        <v>128.095</v>
      </c>
      <c r="S183" s="70">
        <v>80.650999999999996</v>
      </c>
      <c r="T183" s="70">
        <v>54.521000000000001</v>
      </c>
      <c r="U183" s="70">
        <v>60.689</v>
      </c>
      <c r="V183" s="70">
        <v>521.38199999999995</v>
      </c>
      <c r="W183" s="70">
        <v>53.66</v>
      </c>
      <c r="X183" s="70">
        <v>36.484999999999999</v>
      </c>
      <c r="Y183" s="70">
        <v>159.47300000000001</v>
      </c>
      <c r="Z183" s="75">
        <f t="shared" si="2"/>
        <v>6365.5819999999994</v>
      </c>
      <c r="AA183" s="99">
        <f>'A.2.2'!Q183</f>
        <v>6361.3180000000002</v>
      </c>
      <c r="AB183" s="100">
        <f t="shared" si="3"/>
        <v>4.2639999999992142</v>
      </c>
    </row>
    <row r="184" spans="1:28" x14ac:dyDescent="0.3">
      <c r="A184" s="68">
        <v>45292</v>
      </c>
      <c r="B184" s="70">
        <v>2002.0840000000001</v>
      </c>
      <c r="C184" s="70">
        <v>1525.508</v>
      </c>
      <c r="D184" s="70">
        <v>37.816000000000003</v>
      </c>
      <c r="E184" s="70">
        <v>75.700999999999993</v>
      </c>
      <c r="F184" s="70">
        <v>98.201999999999998</v>
      </c>
      <c r="G184" s="70">
        <v>528.37400000000002</v>
      </c>
      <c r="H184" s="70">
        <v>78.870999999999995</v>
      </c>
      <c r="I184" s="70">
        <v>138.499</v>
      </c>
      <c r="J184" s="70">
        <v>23.379000000000001</v>
      </c>
      <c r="K184" s="70">
        <v>58.786999999999999</v>
      </c>
      <c r="L184" s="70">
        <v>40.523000000000003</v>
      </c>
      <c r="M184" s="70">
        <v>32.716000000000001</v>
      </c>
      <c r="N184" s="70">
        <v>244.13</v>
      </c>
      <c r="O184" s="70">
        <v>106.90600000000001</v>
      </c>
      <c r="P184" s="70">
        <v>142.63300000000001</v>
      </c>
      <c r="Q184" s="70">
        <v>110.21899999999999</v>
      </c>
      <c r="R184" s="70">
        <v>128.238</v>
      </c>
      <c r="S184" s="70">
        <v>79.414000000000001</v>
      </c>
      <c r="T184" s="70">
        <v>53.942999999999998</v>
      </c>
      <c r="U184" s="70">
        <v>60.232999999999997</v>
      </c>
      <c r="V184" s="70">
        <v>518.57100000000003</v>
      </c>
      <c r="W184" s="70">
        <v>52.317</v>
      </c>
      <c r="X184" s="70">
        <v>35.451999999999998</v>
      </c>
      <c r="Y184" s="70">
        <v>160.20699999999999</v>
      </c>
      <c r="Z184" s="75">
        <f t="shared" si="2"/>
        <v>6332.7230000000009</v>
      </c>
      <c r="AA184" s="99">
        <f>'A.2.2'!Q184</f>
        <v>6326.652</v>
      </c>
      <c r="AB184" s="100">
        <f t="shared" si="3"/>
        <v>6.0710000000008222</v>
      </c>
    </row>
    <row r="185" spans="1:28" x14ac:dyDescent="0.3">
      <c r="A185" s="68">
        <v>45323</v>
      </c>
      <c r="B185" s="70">
        <v>1988.5239999999999</v>
      </c>
      <c r="C185" s="70">
        <v>1520.885</v>
      </c>
      <c r="D185" s="70">
        <v>37.433999999999997</v>
      </c>
      <c r="E185" s="70">
        <v>75.018000000000001</v>
      </c>
      <c r="F185" s="70">
        <v>97.352999999999994</v>
      </c>
      <c r="G185" s="70">
        <v>526.54899999999998</v>
      </c>
      <c r="H185" s="70">
        <v>78.412000000000006</v>
      </c>
      <c r="I185" s="70">
        <v>137.905</v>
      </c>
      <c r="J185" s="70">
        <v>23.097000000000001</v>
      </c>
      <c r="K185" s="70">
        <v>58.494999999999997</v>
      </c>
      <c r="L185" s="70">
        <v>40.158999999999999</v>
      </c>
      <c r="M185" s="70">
        <v>30.878</v>
      </c>
      <c r="N185" s="70">
        <v>245.119</v>
      </c>
      <c r="O185" s="70">
        <v>102.708</v>
      </c>
      <c r="P185" s="70">
        <v>142.05799999999999</v>
      </c>
      <c r="Q185" s="70">
        <v>109.98699999999999</v>
      </c>
      <c r="R185" s="70">
        <v>128.69200000000001</v>
      </c>
      <c r="S185" s="70">
        <v>78.912999999999997</v>
      </c>
      <c r="T185" s="70">
        <v>53.466999999999999</v>
      </c>
      <c r="U185" s="70">
        <v>60.481000000000002</v>
      </c>
      <c r="V185" s="70">
        <v>516.22799999999995</v>
      </c>
      <c r="W185" s="70">
        <v>51.643999999999998</v>
      </c>
      <c r="X185" s="70">
        <v>35.439</v>
      </c>
      <c r="Y185" s="70">
        <v>160.215</v>
      </c>
      <c r="Z185" s="75">
        <f t="shared" si="2"/>
        <v>6299.659999999998</v>
      </c>
      <c r="AA185" s="99">
        <f>'A.2.2'!Q185</f>
        <v>6300.7380000000003</v>
      </c>
      <c r="AB185" s="100">
        <f t="shared" si="3"/>
        <v>-1.0780000000022483</v>
      </c>
    </row>
    <row r="186" spans="1:28" x14ac:dyDescent="0.3">
      <c r="A186" s="68">
        <v>45352</v>
      </c>
      <c r="B186" s="70">
        <v>1982.191</v>
      </c>
      <c r="C186" s="70">
        <v>1517.9649999999999</v>
      </c>
      <c r="D186" s="70">
        <v>37.142000000000003</v>
      </c>
      <c r="E186" s="70">
        <v>74.034000000000006</v>
      </c>
      <c r="F186" s="70">
        <v>96.584000000000003</v>
      </c>
      <c r="G186" s="70">
        <v>523.69899999999996</v>
      </c>
      <c r="H186" s="70">
        <v>78.465000000000003</v>
      </c>
      <c r="I186" s="70">
        <v>137.31</v>
      </c>
      <c r="J186" s="70">
        <v>22.707999999999998</v>
      </c>
      <c r="K186" s="70">
        <v>58.601999999999997</v>
      </c>
      <c r="L186" s="70">
        <v>39.838000000000001</v>
      </c>
      <c r="M186" s="70">
        <v>29.343</v>
      </c>
      <c r="N186" s="70">
        <v>243.886</v>
      </c>
      <c r="O186" s="70">
        <v>105.77</v>
      </c>
      <c r="P186" s="70">
        <v>142.84800000000001</v>
      </c>
      <c r="Q186" s="70">
        <v>110.18</v>
      </c>
      <c r="R186" s="70">
        <v>128.904</v>
      </c>
      <c r="S186" s="70">
        <v>78.584999999999994</v>
      </c>
      <c r="T186" s="70">
        <v>52.999000000000002</v>
      </c>
      <c r="U186" s="70">
        <v>59.756</v>
      </c>
      <c r="V186" s="70">
        <v>513.66499999999996</v>
      </c>
      <c r="W186" s="70">
        <v>50.622</v>
      </c>
      <c r="X186" s="70">
        <v>35.15</v>
      </c>
      <c r="Y186" s="70">
        <v>159.76400000000001</v>
      </c>
      <c r="Z186" s="75">
        <f t="shared" si="2"/>
        <v>6280.0100000000011</v>
      </c>
      <c r="AA186" s="99">
        <f>'A.2.2'!Q186</f>
        <v>6275.8549999999987</v>
      </c>
      <c r="AB186" s="100">
        <f t="shared" si="3"/>
        <v>4.1550000000024738</v>
      </c>
    </row>
    <row r="187" spans="1:28" x14ac:dyDescent="0.3">
      <c r="A187" s="68">
        <v>45383</v>
      </c>
      <c r="B187" s="70">
        <v>1973.3679999999999</v>
      </c>
      <c r="C187" s="70">
        <v>1515.2190000000001</v>
      </c>
      <c r="D187" s="70">
        <v>37.271999999999998</v>
      </c>
      <c r="E187" s="70">
        <v>73.613</v>
      </c>
      <c r="F187" s="70">
        <v>97.230999999999995</v>
      </c>
      <c r="G187" s="70">
        <v>522.71100000000001</v>
      </c>
      <c r="H187" s="70">
        <v>78.638999999999996</v>
      </c>
      <c r="I187" s="70">
        <v>136.81700000000001</v>
      </c>
      <c r="J187" s="70">
        <v>22.471</v>
      </c>
      <c r="K187" s="70">
        <v>58.725999999999999</v>
      </c>
      <c r="L187" s="70">
        <v>39.5</v>
      </c>
      <c r="M187" s="70">
        <v>29.670999999999999</v>
      </c>
      <c r="N187" s="70">
        <v>243.36</v>
      </c>
      <c r="O187" s="70">
        <v>105.39</v>
      </c>
      <c r="P187" s="70">
        <v>143.56100000000001</v>
      </c>
      <c r="Q187" s="70">
        <v>110.58199999999999</v>
      </c>
      <c r="R187" s="70">
        <v>129.10900000000001</v>
      </c>
      <c r="S187" s="70">
        <v>77.944999999999993</v>
      </c>
      <c r="T187" s="70">
        <v>52.530999999999999</v>
      </c>
      <c r="U187" s="70">
        <v>57.5</v>
      </c>
      <c r="V187" s="70">
        <v>511.57600000000002</v>
      </c>
      <c r="W187" s="70">
        <v>50.776000000000003</v>
      </c>
      <c r="X187" s="70">
        <v>34.807000000000002</v>
      </c>
      <c r="Y187" s="70">
        <v>159.566</v>
      </c>
      <c r="Z187" s="75">
        <f t="shared" si="2"/>
        <v>6261.9409999999989</v>
      </c>
      <c r="AA187" s="99">
        <f>'A.2.2'!Q187</f>
        <v>6258.7959999999994</v>
      </c>
      <c r="AB187" s="100">
        <f t="shared" si="3"/>
        <v>3.1449999999995271</v>
      </c>
    </row>
    <row r="188" spans="1:28" x14ac:dyDescent="0.3">
      <c r="A188" s="68">
        <v>45413</v>
      </c>
      <c r="B188" s="70">
        <v>1968.5540000000001</v>
      </c>
      <c r="C188" s="70">
        <v>1514.6289999999999</v>
      </c>
      <c r="D188" s="70">
        <v>36.835000000000001</v>
      </c>
      <c r="E188" s="70">
        <v>74.414000000000001</v>
      </c>
      <c r="F188" s="70">
        <v>97.566000000000003</v>
      </c>
      <c r="G188" s="70">
        <v>522.13900000000001</v>
      </c>
      <c r="H188" s="70">
        <v>77.947999999999993</v>
      </c>
      <c r="I188" s="70">
        <v>136.12100000000001</v>
      </c>
      <c r="J188" s="70">
        <v>22.18</v>
      </c>
      <c r="K188" s="70">
        <v>58.933</v>
      </c>
      <c r="L188" s="70">
        <v>39.292999999999999</v>
      </c>
      <c r="M188" s="70">
        <v>29.565000000000001</v>
      </c>
      <c r="N188" s="70">
        <v>244.16499999999999</v>
      </c>
      <c r="O188" s="70">
        <v>104.434</v>
      </c>
      <c r="P188" s="70">
        <v>143.88200000000001</v>
      </c>
      <c r="Q188" s="70">
        <v>110.059</v>
      </c>
      <c r="R188" s="70">
        <v>128.887</v>
      </c>
      <c r="S188" s="70">
        <v>77.533000000000001</v>
      </c>
      <c r="T188" s="70">
        <v>52.948999999999998</v>
      </c>
      <c r="U188" s="70">
        <v>56.945999999999998</v>
      </c>
      <c r="V188" s="70">
        <v>510.11399999999998</v>
      </c>
      <c r="W188" s="70">
        <v>50.508000000000003</v>
      </c>
      <c r="X188" s="70">
        <v>34.435000000000002</v>
      </c>
      <c r="Y188" s="70">
        <v>160.405</v>
      </c>
      <c r="Z188" s="75">
        <f t="shared" si="2"/>
        <v>6252.4939999999988</v>
      </c>
      <c r="AA188" s="99">
        <f>'A.2.2'!Q188</f>
        <v>6248.9690000000001</v>
      </c>
      <c r="AB188" s="100">
        <f t="shared" si="3"/>
        <v>3.5249999999987267</v>
      </c>
    </row>
    <row r="189" spans="1:28" x14ac:dyDescent="0.3">
      <c r="A189" s="68">
        <v>45444</v>
      </c>
      <c r="B189" s="70">
        <v>1964.319</v>
      </c>
      <c r="C189" s="70">
        <v>1512.6590000000001</v>
      </c>
      <c r="D189" s="70">
        <v>36.607999999999997</v>
      </c>
      <c r="E189" s="70">
        <v>74.278999999999996</v>
      </c>
      <c r="F189" s="70">
        <v>97.317999999999998</v>
      </c>
      <c r="G189" s="70">
        <v>520.86400000000003</v>
      </c>
      <c r="H189" s="70">
        <v>77.828000000000003</v>
      </c>
      <c r="I189" s="70">
        <v>135.68199999999999</v>
      </c>
      <c r="J189" s="70">
        <v>21.84</v>
      </c>
      <c r="K189" s="70">
        <v>58.667000000000002</v>
      </c>
      <c r="L189" s="70">
        <v>39.149000000000001</v>
      </c>
      <c r="M189" s="70">
        <v>29.207000000000001</v>
      </c>
      <c r="N189" s="70">
        <v>244.15799999999999</v>
      </c>
      <c r="O189" s="70">
        <v>103.815</v>
      </c>
      <c r="P189" s="70">
        <v>145.02099999999999</v>
      </c>
      <c r="Q189" s="70">
        <v>110.892</v>
      </c>
      <c r="R189" s="70">
        <v>128.45699999999999</v>
      </c>
      <c r="S189" s="70">
        <v>77.096999999999994</v>
      </c>
      <c r="T189" s="70">
        <v>52.79</v>
      </c>
      <c r="U189" s="70">
        <v>56.936999999999998</v>
      </c>
      <c r="V189" s="70">
        <v>509.55700000000002</v>
      </c>
      <c r="W189" s="70">
        <v>50.18</v>
      </c>
      <c r="X189" s="70">
        <v>34.453000000000003</v>
      </c>
      <c r="Y189" s="70">
        <v>160.32300000000001</v>
      </c>
      <c r="Z189" s="75">
        <f t="shared" si="2"/>
        <v>6242.1000000000022</v>
      </c>
      <c r="AA189" s="99">
        <f>'A.2.2'!Q189</f>
        <v>6239.26</v>
      </c>
      <c r="AB189" s="100">
        <f t="shared" si="3"/>
        <v>2.8400000000019645</v>
      </c>
    </row>
    <row r="190" spans="1:28" x14ac:dyDescent="0.3">
      <c r="A190" s="68">
        <v>45474</v>
      </c>
      <c r="B190" s="70">
        <v>1961.039</v>
      </c>
      <c r="C190" s="70">
        <v>1512.2819999999999</v>
      </c>
      <c r="D190" s="70">
        <v>36.156999999999996</v>
      </c>
      <c r="E190" s="70">
        <v>73.126999999999995</v>
      </c>
      <c r="F190" s="70">
        <v>97.570999999999998</v>
      </c>
      <c r="G190" s="70">
        <v>520.99099999999999</v>
      </c>
      <c r="H190" s="70">
        <v>78.034999999999997</v>
      </c>
      <c r="I190" s="70">
        <v>135.49100000000001</v>
      </c>
      <c r="J190" s="70">
        <v>21.768000000000001</v>
      </c>
      <c r="K190" s="70">
        <v>58.988999999999997</v>
      </c>
      <c r="L190" s="70">
        <v>38.945</v>
      </c>
      <c r="M190" s="70">
        <v>29.035</v>
      </c>
      <c r="N190" s="70">
        <v>243.559</v>
      </c>
      <c r="O190" s="70">
        <v>103.113</v>
      </c>
      <c r="P190" s="70">
        <v>146.14500000000001</v>
      </c>
      <c r="Q190" s="70">
        <v>110.996</v>
      </c>
      <c r="R190" s="70">
        <v>127.92</v>
      </c>
      <c r="S190" s="70">
        <v>77.075000000000003</v>
      </c>
      <c r="T190" s="70">
        <v>52.165999999999997</v>
      </c>
      <c r="U190" s="70">
        <v>56.875999999999998</v>
      </c>
      <c r="V190" s="70">
        <v>508.85300000000001</v>
      </c>
      <c r="W190" s="70">
        <v>49.841000000000001</v>
      </c>
      <c r="X190" s="70">
        <v>34.624000000000002</v>
      </c>
      <c r="Y190" s="70">
        <v>160.191</v>
      </c>
      <c r="Z190" s="75">
        <f t="shared" si="2"/>
        <v>6234.7889999999998</v>
      </c>
      <c r="AA190" s="99">
        <f>'A.2.2'!Q190</f>
        <v>6233.1180000000004</v>
      </c>
      <c r="AB190" s="100">
        <f t="shared" si="3"/>
        <v>1.670999999999367</v>
      </c>
    </row>
    <row r="191" spans="1:28" x14ac:dyDescent="0.3">
      <c r="A191" s="68">
        <v>45505</v>
      </c>
      <c r="B191" s="70">
        <v>1961.5930000000001</v>
      </c>
      <c r="C191" s="70">
        <v>1513.415</v>
      </c>
      <c r="D191" s="70">
        <v>36.420999999999999</v>
      </c>
      <c r="E191" s="70">
        <v>73.036000000000001</v>
      </c>
      <c r="F191" s="70">
        <v>97.028000000000006</v>
      </c>
      <c r="G191" s="70">
        <v>520.245</v>
      </c>
      <c r="H191" s="70">
        <v>78.522000000000006</v>
      </c>
      <c r="I191" s="70">
        <v>135.68199999999999</v>
      </c>
      <c r="J191" s="70">
        <v>21.82</v>
      </c>
      <c r="K191" s="70">
        <v>58.676000000000002</v>
      </c>
      <c r="L191" s="70">
        <v>38.921999999999997</v>
      </c>
      <c r="M191" s="70">
        <v>29.4</v>
      </c>
      <c r="N191" s="70">
        <v>243.87200000000001</v>
      </c>
      <c r="O191" s="70">
        <v>102.947</v>
      </c>
      <c r="P191" s="70">
        <v>146.85400000000001</v>
      </c>
      <c r="Q191" s="70">
        <v>111.61199999999999</v>
      </c>
      <c r="R191" s="70">
        <v>127.79600000000001</v>
      </c>
      <c r="S191" s="70">
        <v>77.22</v>
      </c>
      <c r="T191" s="70">
        <v>51.923000000000002</v>
      </c>
      <c r="U191" s="70">
        <v>56.718000000000004</v>
      </c>
      <c r="V191" s="70">
        <v>509.30599999999998</v>
      </c>
      <c r="W191" s="70">
        <v>49.805999999999997</v>
      </c>
      <c r="X191" s="70">
        <v>34.765999999999998</v>
      </c>
      <c r="Y191" s="70">
        <v>160.09399999999999</v>
      </c>
      <c r="Z191" s="75">
        <f t="shared" si="2"/>
        <v>6237.6739999999982</v>
      </c>
      <c r="AA191" s="99">
        <f>'A.2.2'!Q191</f>
        <v>6237.2290000000012</v>
      </c>
      <c r="AB191" s="100">
        <f t="shared" ref="AB191:AB196" si="4">Z191-AA191</f>
        <v>0.44499999999698048</v>
      </c>
    </row>
    <row r="192" spans="1:28" x14ac:dyDescent="0.3">
      <c r="A192" s="68">
        <v>45536</v>
      </c>
      <c r="B192" s="70">
        <v>1966.1959999999999</v>
      </c>
      <c r="C192" s="70">
        <v>1514.646</v>
      </c>
      <c r="D192" s="70">
        <v>36.345999999999997</v>
      </c>
      <c r="E192" s="70">
        <v>73.3</v>
      </c>
      <c r="F192" s="70">
        <v>95.822000000000003</v>
      </c>
      <c r="G192" s="70">
        <v>520.48099999999999</v>
      </c>
      <c r="H192" s="70">
        <v>78.944999999999993</v>
      </c>
      <c r="I192" s="70">
        <v>136.172</v>
      </c>
      <c r="J192" s="70">
        <v>21.952000000000002</v>
      </c>
      <c r="K192" s="70">
        <v>58.832000000000001</v>
      </c>
      <c r="L192" s="70">
        <v>38.997999999999998</v>
      </c>
      <c r="M192" s="70">
        <v>29.869</v>
      </c>
      <c r="N192" s="70">
        <v>245.161</v>
      </c>
      <c r="O192" s="70">
        <v>103.693</v>
      </c>
      <c r="P192" s="70">
        <v>147.15100000000001</v>
      </c>
      <c r="Q192" s="70">
        <v>111.267</v>
      </c>
      <c r="R192" s="70">
        <v>127.64400000000001</v>
      </c>
      <c r="S192" s="70">
        <v>77.790000000000006</v>
      </c>
      <c r="T192" s="70">
        <v>51.89</v>
      </c>
      <c r="U192" s="70">
        <v>56.991</v>
      </c>
      <c r="V192" s="70">
        <v>509.49099999999999</v>
      </c>
      <c r="W192" s="70">
        <v>49.790999999999997</v>
      </c>
      <c r="X192" s="70">
        <v>35.219000000000001</v>
      </c>
      <c r="Y192" s="70">
        <v>160.21100000000001</v>
      </c>
      <c r="Z192" s="75">
        <f t="shared" si="2"/>
        <v>6247.8580000000002</v>
      </c>
      <c r="AA192" s="99">
        <f>'A.2.2'!Q192</f>
        <v>6246.3370000000004</v>
      </c>
      <c r="AB192" s="100">
        <f t="shared" si="4"/>
        <v>1.5209999999997308</v>
      </c>
    </row>
    <row r="193" spans="1:28" x14ac:dyDescent="0.3">
      <c r="A193" s="68">
        <v>45566</v>
      </c>
      <c r="B193" s="70">
        <v>1972.787</v>
      </c>
      <c r="C193" s="70">
        <v>1513.8009999999999</v>
      </c>
      <c r="D193" s="70">
        <v>36.335999999999999</v>
      </c>
      <c r="E193" s="70">
        <v>73.561000000000007</v>
      </c>
      <c r="F193" s="70">
        <v>96.444000000000003</v>
      </c>
      <c r="G193" s="70">
        <v>519.88</v>
      </c>
      <c r="H193" s="70">
        <v>79.129000000000005</v>
      </c>
      <c r="I193" s="70">
        <v>136.066</v>
      </c>
      <c r="J193" s="70">
        <v>22.192</v>
      </c>
      <c r="K193" s="70">
        <v>58.994999999999997</v>
      </c>
      <c r="L193" s="70">
        <v>38.883000000000003</v>
      </c>
      <c r="M193" s="70">
        <v>29.605</v>
      </c>
      <c r="N193" s="70">
        <v>245.68899999999999</v>
      </c>
      <c r="O193" s="70">
        <v>103.983</v>
      </c>
      <c r="P193" s="70">
        <v>147.376</v>
      </c>
      <c r="Q193" s="70">
        <v>111.23</v>
      </c>
      <c r="R193" s="70">
        <v>126.962</v>
      </c>
      <c r="S193" s="70">
        <v>78.036000000000001</v>
      </c>
      <c r="T193" s="70">
        <v>52.133000000000003</v>
      </c>
      <c r="U193" s="70">
        <v>57.076000000000001</v>
      </c>
      <c r="V193" s="70">
        <v>510.483</v>
      </c>
      <c r="W193" s="70">
        <v>49.823</v>
      </c>
      <c r="X193" s="70">
        <v>35.462000000000003</v>
      </c>
      <c r="Y193" s="70">
        <v>160.61600000000001</v>
      </c>
      <c r="Z193" s="75">
        <f t="shared" si="2"/>
        <v>6256.5479999999998</v>
      </c>
      <c r="AA193" s="99">
        <f>'A.2.2'!Q193</f>
        <v>6253.8789999999999</v>
      </c>
      <c r="AB193" s="100">
        <f t="shared" si="4"/>
        <v>2.668999999999869</v>
      </c>
    </row>
    <row r="194" spans="1:28" x14ac:dyDescent="0.3">
      <c r="A194" s="68">
        <v>45597</v>
      </c>
      <c r="B194" s="70">
        <v>1971.223</v>
      </c>
      <c r="C194" s="70">
        <v>1514.0039999999999</v>
      </c>
      <c r="D194" s="70">
        <v>36.088999999999999</v>
      </c>
      <c r="E194" s="70">
        <v>73.617999999999995</v>
      </c>
      <c r="F194" s="70">
        <v>97.575999999999993</v>
      </c>
      <c r="G194" s="70">
        <v>519.92499999999995</v>
      </c>
      <c r="H194" s="70">
        <v>79.22</v>
      </c>
      <c r="I194" s="70">
        <v>136.04900000000001</v>
      </c>
      <c r="J194" s="70">
        <v>22.25</v>
      </c>
      <c r="K194" s="70">
        <v>59.183</v>
      </c>
      <c r="L194" s="70">
        <v>38.917999999999999</v>
      </c>
      <c r="M194" s="70">
        <v>29.757999999999999</v>
      </c>
      <c r="N194" s="70">
        <v>246.49600000000001</v>
      </c>
      <c r="O194" s="70">
        <v>103.467</v>
      </c>
      <c r="P194" s="70">
        <v>147.44300000000001</v>
      </c>
      <c r="Q194" s="70">
        <v>111.32</v>
      </c>
      <c r="R194" s="70">
        <v>125.89400000000001</v>
      </c>
      <c r="S194" s="70">
        <v>78.134</v>
      </c>
      <c r="T194" s="70">
        <v>52.173999999999999</v>
      </c>
      <c r="U194" s="70">
        <v>57.161000000000001</v>
      </c>
      <c r="V194" s="70">
        <v>509.88200000000001</v>
      </c>
      <c r="W194" s="70">
        <v>49.805999999999997</v>
      </c>
      <c r="X194" s="70">
        <v>35.631</v>
      </c>
      <c r="Y194" s="70">
        <v>160.56200000000001</v>
      </c>
      <c r="Z194" s="75">
        <f t="shared" si="2"/>
        <v>6255.7829999999985</v>
      </c>
      <c r="AA194" s="99">
        <f>'A.2.2'!Q194</f>
        <v>6255.1579999999994</v>
      </c>
      <c r="AB194" s="100">
        <f t="shared" si="4"/>
        <v>0.62499999999909051</v>
      </c>
    </row>
    <row r="195" spans="1:28" x14ac:dyDescent="0.3">
      <c r="A195" s="68">
        <v>45627</v>
      </c>
      <c r="B195" s="70">
        <v>1974.171</v>
      </c>
      <c r="C195" s="70">
        <v>1516.9929999999999</v>
      </c>
      <c r="D195" s="70">
        <v>36.298000000000002</v>
      </c>
      <c r="E195" s="70">
        <v>73.814999999999998</v>
      </c>
      <c r="F195" s="70">
        <v>97.061000000000007</v>
      </c>
      <c r="G195" s="70">
        <v>520.29899999999998</v>
      </c>
      <c r="H195" s="70">
        <v>79.959000000000003</v>
      </c>
      <c r="I195" s="70">
        <v>136.39599999999999</v>
      </c>
      <c r="J195" s="70">
        <v>22.513000000000002</v>
      </c>
      <c r="K195" s="70">
        <v>59.182000000000002</v>
      </c>
      <c r="L195" s="70">
        <v>38.790999999999997</v>
      </c>
      <c r="M195" s="70">
        <v>29.696000000000002</v>
      </c>
      <c r="N195" s="70">
        <v>247.24600000000001</v>
      </c>
      <c r="O195" s="70">
        <v>103.33</v>
      </c>
      <c r="P195" s="70">
        <v>147.19999999999999</v>
      </c>
      <c r="Q195" s="70">
        <v>110.90600000000001</v>
      </c>
      <c r="R195" s="70">
        <v>126.495</v>
      </c>
      <c r="S195" s="70">
        <v>78.597999999999999</v>
      </c>
      <c r="T195" s="70">
        <v>52.506</v>
      </c>
      <c r="U195" s="70">
        <v>57.155000000000001</v>
      </c>
      <c r="V195" s="70">
        <v>510.10700000000003</v>
      </c>
      <c r="W195" s="70">
        <v>50.027000000000001</v>
      </c>
      <c r="X195" s="70">
        <v>36.069000000000003</v>
      </c>
      <c r="Y195" s="70">
        <v>160.88200000000001</v>
      </c>
      <c r="Z195" s="75">
        <f t="shared" si="2"/>
        <v>6265.6949999999988</v>
      </c>
      <c r="AA195" s="99">
        <f>'A.2.2'!Q195</f>
        <v>6263.7560000000003</v>
      </c>
      <c r="AB195" s="100">
        <f t="shared" si="4"/>
        <v>1.9389999999984866</v>
      </c>
    </row>
    <row r="196" spans="1:28" x14ac:dyDescent="0.3">
      <c r="A196" s="68">
        <v>45658</v>
      </c>
      <c r="B196" s="70">
        <v>1971.5340000000001</v>
      </c>
      <c r="C196" s="70">
        <v>1513.443</v>
      </c>
      <c r="D196" s="70">
        <v>38.844000000000001</v>
      </c>
      <c r="E196" s="70">
        <v>73.935000000000002</v>
      </c>
      <c r="F196" s="70">
        <v>96.688000000000002</v>
      </c>
      <c r="G196" s="70">
        <v>519.41099999999994</v>
      </c>
      <c r="H196" s="70">
        <v>80.277000000000001</v>
      </c>
      <c r="I196" s="70">
        <v>136.523</v>
      </c>
      <c r="J196" s="70">
        <v>22.753</v>
      </c>
      <c r="K196" s="70">
        <v>59.484000000000002</v>
      </c>
      <c r="L196" s="70">
        <v>38.787999999999997</v>
      </c>
      <c r="M196" s="70">
        <v>29.402000000000001</v>
      </c>
      <c r="N196" s="70">
        <v>246.90799999999999</v>
      </c>
      <c r="O196" s="70">
        <v>103.47199999999999</v>
      </c>
      <c r="P196" s="70">
        <v>147.71700000000001</v>
      </c>
      <c r="Q196" s="70">
        <v>110.307</v>
      </c>
      <c r="R196" s="70">
        <v>125.123</v>
      </c>
      <c r="S196" s="70">
        <v>79.093000000000004</v>
      </c>
      <c r="T196" s="70">
        <v>52.377000000000002</v>
      </c>
      <c r="U196" s="70">
        <v>56.661000000000001</v>
      </c>
      <c r="V196" s="70">
        <v>509.77499999999998</v>
      </c>
      <c r="W196" s="70">
        <v>50.067999999999998</v>
      </c>
      <c r="X196" s="70">
        <v>36.448999999999998</v>
      </c>
      <c r="Y196" s="70">
        <v>161.137</v>
      </c>
      <c r="Z196" s="75">
        <f t="shared" si="2"/>
        <v>6260.1689999999981</v>
      </c>
      <c r="AA196" s="99">
        <f>'A.2.2'!Q196</f>
        <v>6254.6690000000008</v>
      </c>
      <c r="AB196" s="100">
        <f t="shared" si="4"/>
        <v>5.4999999999972715</v>
      </c>
    </row>
    <row r="197" spans="1:28" x14ac:dyDescent="0.3">
      <c r="A197" s="68">
        <v>45689</v>
      </c>
      <c r="B197" s="70">
        <v>1977.329</v>
      </c>
      <c r="C197" s="70">
        <v>1514.1489999999999</v>
      </c>
      <c r="D197" s="70">
        <v>36.814999999999998</v>
      </c>
      <c r="E197" s="70">
        <v>73.811999999999998</v>
      </c>
      <c r="F197" s="70">
        <v>97.007999999999996</v>
      </c>
      <c r="G197" s="70">
        <v>522.56600000000003</v>
      </c>
      <c r="H197" s="70">
        <v>80.572000000000003</v>
      </c>
      <c r="I197" s="70">
        <v>136.852</v>
      </c>
      <c r="J197" s="70">
        <v>22.814</v>
      </c>
      <c r="K197" s="70">
        <v>59.368000000000002</v>
      </c>
      <c r="L197" s="70">
        <v>38.884999999999998</v>
      </c>
      <c r="M197" s="70">
        <v>29.3</v>
      </c>
      <c r="N197" s="70">
        <v>247.79</v>
      </c>
      <c r="O197" s="70">
        <v>103.04600000000001</v>
      </c>
      <c r="P197" s="70">
        <v>148.185</v>
      </c>
      <c r="Q197" s="70">
        <v>110.366</v>
      </c>
      <c r="R197" s="70">
        <v>124.589</v>
      </c>
      <c r="S197" s="70">
        <v>79.600999999999999</v>
      </c>
      <c r="T197" s="70">
        <v>52.901000000000003</v>
      </c>
      <c r="U197" s="70">
        <v>55.231000000000002</v>
      </c>
      <c r="V197" s="70">
        <v>510.44400000000002</v>
      </c>
      <c r="W197" s="70">
        <v>50.325000000000003</v>
      </c>
      <c r="X197" s="70">
        <v>36.067</v>
      </c>
      <c r="Y197" s="70">
        <v>161.048</v>
      </c>
      <c r="Z197" s="75">
        <f t="shared" ref="Z197:Z208" si="5">SUM(B197:Y197)</f>
        <v>6269.063000000001</v>
      </c>
      <c r="AA197" s="99">
        <f>'A.2.2'!Q197</f>
        <v>6265.3250000000007</v>
      </c>
      <c r="AB197" s="100">
        <f>Z197-AA197</f>
        <v>3.7380000000002838</v>
      </c>
    </row>
    <row r="198" spans="1:28" x14ac:dyDescent="0.3">
      <c r="A198" s="68">
        <v>45717</v>
      </c>
      <c r="B198" s="70">
        <v>1978.028</v>
      </c>
      <c r="C198" s="70">
        <v>1512.567</v>
      </c>
      <c r="D198" s="70">
        <v>36.527000000000001</v>
      </c>
      <c r="E198" s="70">
        <v>73.775999999999996</v>
      </c>
      <c r="F198" s="70">
        <v>96.343000000000004</v>
      </c>
      <c r="G198" s="70">
        <v>521.67200000000003</v>
      </c>
      <c r="H198" s="70">
        <v>80.498000000000005</v>
      </c>
      <c r="I198" s="70">
        <v>136.87899999999999</v>
      </c>
      <c r="J198" s="70">
        <v>22.937999999999999</v>
      </c>
      <c r="K198" s="70">
        <v>59.414000000000001</v>
      </c>
      <c r="L198" s="70">
        <v>38.792999999999999</v>
      </c>
      <c r="M198" s="70">
        <v>28.602</v>
      </c>
      <c r="N198" s="70">
        <v>246.31100000000001</v>
      </c>
      <c r="O198" s="70">
        <v>101.964</v>
      </c>
      <c r="P198" s="70">
        <v>148.11600000000001</v>
      </c>
      <c r="Q198" s="70">
        <v>110.675</v>
      </c>
      <c r="R198" s="70">
        <v>122.688</v>
      </c>
      <c r="S198" s="70">
        <v>79.488</v>
      </c>
      <c r="T198" s="70">
        <v>52.828000000000003</v>
      </c>
      <c r="U198" s="70">
        <v>53.822000000000003</v>
      </c>
      <c r="V198" s="70">
        <v>510.66</v>
      </c>
      <c r="W198" s="70">
        <v>50.371000000000002</v>
      </c>
      <c r="X198" s="70">
        <v>35.51</v>
      </c>
      <c r="Y198" s="70">
        <v>160.904</v>
      </c>
      <c r="Z198" s="75">
        <f t="shared" si="5"/>
        <v>6259.3739999999998</v>
      </c>
      <c r="AA198" s="99">
        <f>'A.2.2'!Q198</f>
        <v>6254.2440000000006</v>
      </c>
      <c r="AB198" s="100">
        <f>Z198-AA198</f>
        <v>5.1299999999991996</v>
      </c>
    </row>
    <row r="199" spans="1:28" x14ac:dyDescent="0.3">
      <c r="A199" s="68">
        <v>45748</v>
      </c>
      <c r="B199" s="107">
        <v>1979.43</v>
      </c>
      <c r="C199" s="107">
        <v>1514.29</v>
      </c>
      <c r="D199" s="107">
        <v>36.314999999999998</v>
      </c>
      <c r="E199" s="107">
        <v>73.492999999999995</v>
      </c>
      <c r="F199" s="107">
        <v>95.783000000000001</v>
      </c>
      <c r="G199" s="107">
        <v>521.85</v>
      </c>
      <c r="H199" s="107">
        <v>80.631</v>
      </c>
      <c r="I199" s="107">
        <v>136.917</v>
      </c>
      <c r="J199" s="107">
        <v>22.943999999999999</v>
      </c>
      <c r="K199" s="107">
        <v>59.34</v>
      </c>
      <c r="L199" s="107">
        <v>38.957999999999998</v>
      </c>
      <c r="M199" s="107">
        <v>29.605</v>
      </c>
      <c r="N199" s="107">
        <v>247.25399999999999</v>
      </c>
      <c r="O199" s="107">
        <v>102.646</v>
      </c>
      <c r="P199" s="107">
        <v>148.14599999999999</v>
      </c>
      <c r="Q199" s="107">
        <v>110.682</v>
      </c>
      <c r="R199" s="107">
        <v>123.361</v>
      </c>
      <c r="S199" s="107">
        <v>80.043999999999997</v>
      </c>
      <c r="T199" s="107">
        <v>52.737000000000002</v>
      </c>
      <c r="U199" s="107">
        <v>53.143000000000001</v>
      </c>
      <c r="V199" s="107">
        <v>511.87900000000002</v>
      </c>
      <c r="W199" s="107">
        <v>50.314</v>
      </c>
      <c r="X199" s="107">
        <v>35.985999999999997</v>
      </c>
      <c r="Y199" s="107">
        <v>161.73599999999999</v>
      </c>
      <c r="Z199" s="75">
        <f t="shared" si="5"/>
        <v>6267.4839999999995</v>
      </c>
      <c r="AA199" s="99"/>
      <c r="AB199" s="100"/>
    </row>
    <row r="200" spans="1:28" x14ac:dyDescent="0.3">
      <c r="A200" s="68">
        <v>45778</v>
      </c>
      <c r="B200" s="107">
        <v>1981.4259999999999</v>
      </c>
      <c r="C200" s="107">
        <v>1515.164</v>
      </c>
      <c r="D200" s="107">
        <v>35.981999999999999</v>
      </c>
      <c r="E200" s="107">
        <v>72.983999999999995</v>
      </c>
      <c r="F200" s="107">
        <v>94.623999999999995</v>
      </c>
      <c r="G200" s="107">
        <v>523.42200000000003</v>
      </c>
      <c r="H200" s="107">
        <v>80.23</v>
      </c>
      <c r="I200" s="107">
        <v>136.95599999999999</v>
      </c>
      <c r="J200" s="107">
        <v>22.951000000000001</v>
      </c>
      <c r="K200" s="107">
        <v>59.424999999999997</v>
      </c>
      <c r="L200" s="107">
        <v>38.988</v>
      </c>
      <c r="M200" s="107">
        <v>29.698</v>
      </c>
      <c r="N200" s="107">
        <v>246.74</v>
      </c>
      <c r="O200" s="107">
        <v>102.886</v>
      </c>
      <c r="P200" s="107">
        <v>148.518</v>
      </c>
      <c r="Q200" s="107">
        <v>110.693</v>
      </c>
      <c r="R200" s="107">
        <v>123.10599999999999</v>
      </c>
      <c r="S200" s="107">
        <v>79.484999999999999</v>
      </c>
      <c r="T200" s="107">
        <v>52.566000000000003</v>
      </c>
      <c r="U200" s="107">
        <v>52.807000000000002</v>
      </c>
      <c r="V200" s="107">
        <v>512.37099999999998</v>
      </c>
      <c r="W200" s="107">
        <v>50.472999999999999</v>
      </c>
      <c r="X200" s="107">
        <v>35.984000000000002</v>
      </c>
      <c r="Y200" s="107">
        <v>161.55099999999999</v>
      </c>
      <c r="Z200" s="75">
        <f t="shared" si="5"/>
        <v>6269.0300000000007</v>
      </c>
      <c r="AA200" s="99"/>
      <c r="AB200" s="100"/>
    </row>
    <row r="201" spans="1:28" x14ac:dyDescent="0.3">
      <c r="A201" s="68">
        <v>45809</v>
      </c>
      <c r="B201" s="107">
        <v>1981.26</v>
      </c>
      <c r="C201" s="107">
        <v>1510.106</v>
      </c>
      <c r="D201" s="107">
        <v>36.003999999999998</v>
      </c>
      <c r="E201" s="107">
        <v>72.528000000000006</v>
      </c>
      <c r="F201" s="107">
        <v>91.254999999999995</v>
      </c>
      <c r="G201" s="107">
        <v>522.346</v>
      </c>
      <c r="H201" s="107">
        <v>79.888999999999996</v>
      </c>
      <c r="I201" s="107">
        <v>136.834</v>
      </c>
      <c r="J201" s="107">
        <v>22.998000000000001</v>
      </c>
      <c r="K201" s="107">
        <v>59.177999999999997</v>
      </c>
      <c r="L201" s="107">
        <v>38.948</v>
      </c>
      <c r="M201" s="107">
        <v>29.184000000000001</v>
      </c>
      <c r="N201" s="107">
        <v>245.89599999999999</v>
      </c>
      <c r="O201" s="107">
        <v>102.498</v>
      </c>
      <c r="P201" s="107">
        <v>148.476</v>
      </c>
      <c r="Q201" s="107">
        <v>110.95399999999999</v>
      </c>
      <c r="R201" s="107">
        <v>122.223</v>
      </c>
      <c r="S201" s="107">
        <v>79.834999999999994</v>
      </c>
      <c r="T201" s="107">
        <v>52.472999999999999</v>
      </c>
      <c r="U201" s="107">
        <v>52.603000000000002</v>
      </c>
      <c r="V201" s="107">
        <v>512.84299999999996</v>
      </c>
      <c r="W201" s="107">
        <v>50.326000000000001</v>
      </c>
      <c r="X201" s="107">
        <v>35.777000000000001</v>
      </c>
      <c r="Y201" s="107">
        <v>160.74799999999999</v>
      </c>
      <c r="Z201" s="75">
        <f t="shared" si="5"/>
        <v>6255.181999999998</v>
      </c>
      <c r="AA201" s="99"/>
      <c r="AB201" s="100"/>
    </row>
    <row r="202" spans="1:28" x14ac:dyDescent="0.3">
      <c r="A202" s="68">
        <v>45839</v>
      </c>
      <c r="B202" s="107">
        <v>1976.4739999999999</v>
      </c>
      <c r="C202" s="107">
        <v>1506.425</v>
      </c>
      <c r="D202" s="107">
        <v>35.984000000000002</v>
      </c>
      <c r="E202" s="107">
        <v>72.561999999999998</v>
      </c>
      <c r="F202" s="107">
        <v>89.897999999999996</v>
      </c>
      <c r="G202" s="107">
        <v>521.34199999999998</v>
      </c>
      <c r="H202" s="107">
        <v>79.451999999999998</v>
      </c>
      <c r="I202" s="107">
        <v>136.49600000000001</v>
      </c>
      <c r="J202" s="107">
        <v>22.859000000000002</v>
      </c>
      <c r="K202" s="107">
        <v>58.683</v>
      </c>
      <c r="L202" s="107">
        <v>38.920999999999999</v>
      </c>
      <c r="M202" s="107">
        <v>29.12</v>
      </c>
      <c r="N202" s="107">
        <v>246.36500000000001</v>
      </c>
      <c r="O202" s="107">
        <v>101.934</v>
      </c>
      <c r="P202" s="107">
        <v>148.542</v>
      </c>
      <c r="Q202" s="107">
        <v>110.821</v>
      </c>
      <c r="R202" s="107">
        <v>121.989</v>
      </c>
      <c r="S202" s="107">
        <v>79.760999999999996</v>
      </c>
      <c r="T202" s="107">
        <v>52.37</v>
      </c>
      <c r="U202" s="107">
        <v>51.962000000000003</v>
      </c>
      <c r="V202" s="107">
        <v>512.31100000000004</v>
      </c>
      <c r="W202" s="107">
        <v>50.844000000000001</v>
      </c>
      <c r="X202" s="107">
        <v>35.509</v>
      </c>
      <c r="Y202" s="107">
        <v>161.095</v>
      </c>
      <c r="Z202" s="75">
        <f t="shared" si="5"/>
        <v>6241.719000000001</v>
      </c>
      <c r="AA202" s="99"/>
      <c r="AB202" s="100"/>
    </row>
    <row r="203" spans="1:28" x14ac:dyDescent="0.3">
      <c r="A203" s="68">
        <v>45870</v>
      </c>
      <c r="B203" s="107">
        <v>1971.742</v>
      </c>
      <c r="C203" s="107">
        <v>1502.4939999999999</v>
      </c>
      <c r="D203" s="107">
        <v>35.881</v>
      </c>
      <c r="E203" s="107">
        <v>72.081999999999994</v>
      </c>
      <c r="F203" s="107">
        <v>91.417000000000002</v>
      </c>
      <c r="G203" s="107">
        <v>522.28300000000002</v>
      </c>
      <c r="H203" s="107">
        <v>79.09</v>
      </c>
      <c r="I203" s="107">
        <v>136.26300000000001</v>
      </c>
      <c r="J203" s="107">
        <v>22.716000000000001</v>
      </c>
      <c r="K203" s="107">
        <v>58.837000000000003</v>
      </c>
      <c r="L203" s="107">
        <v>38.988999999999997</v>
      </c>
      <c r="M203" s="107">
        <v>28.977</v>
      </c>
      <c r="N203" s="107">
        <v>245.73599999999999</v>
      </c>
      <c r="O203" s="107">
        <v>101.482</v>
      </c>
      <c r="P203" s="107">
        <v>148.11000000000001</v>
      </c>
      <c r="Q203" s="107">
        <v>110.83199999999999</v>
      </c>
      <c r="R203" s="107">
        <v>121.524</v>
      </c>
      <c r="S203" s="107">
        <v>79.995000000000005</v>
      </c>
      <c r="T203" s="107">
        <v>52.143999999999998</v>
      </c>
      <c r="U203" s="107">
        <v>51.771999999999998</v>
      </c>
      <c r="V203" s="107">
        <v>511.18099999999998</v>
      </c>
      <c r="W203" s="107">
        <v>50.985999999999997</v>
      </c>
      <c r="X203" s="107">
        <v>35.326999999999998</v>
      </c>
      <c r="Y203" s="107">
        <v>160.30500000000001</v>
      </c>
      <c r="Z203" s="75">
        <f t="shared" si="5"/>
        <v>6230.165</v>
      </c>
      <c r="AA203" s="99"/>
      <c r="AB203" s="100"/>
    </row>
    <row r="204" spans="1:28" x14ac:dyDescent="0.3">
      <c r="A204" s="68">
        <v>45901</v>
      </c>
      <c r="B204" s="107">
        <v>1966.1079999999999</v>
      </c>
      <c r="C204" s="107">
        <v>1501.296</v>
      </c>
      <c r="D204" s="107">
        <v>35.923000000000002</v>
      </c>
      <c r="E204" s="107">
        <v>71.703999999999994</v>
      </c>
      <c r="F204" s="107">
        <v>92.307000000000002</v>
      </c>
      <c r="G204" s="107">
        <v>520.29100000000005</v>
      </c>
      <c r="H204" s="107">
        <v>78.373000000000005</v>
      </c>
      <c r="I204" s="107">
        <v>135.761</v>
      </c>
      <c r="J204" s="107">
        <v>22.533000000000001</v>
      </c>
      <c r="K204" s="107">
        <v>58.634999999999998</v>
      </c>
      <c r="L204" s="107">
        <v>38.872</v>
      </c>
      <c r="M204" s="107">
        <v>28.742999999999999</v>
      </c>
      <c r="N204" s="107">
        <v>243.709</v>
      </c>
      <c r="O204" s="107">
        <v>100.258</v>
      </c>
      <c r="P204" s="107">
        <v>148.28899999999999</v>
      </c>
      <c r="Q204" s="107">
        <v>111.03100000000001</v>
      </c>
      <c r="R204" s="107">
        <v>121.371</v>
      </c>
      <c r="S204" s="107">
        <v>80.180000000000007</v>
      </c>
      <c r="T204" s="107">
        <v>52.1</v>
      </c>
      <c r="U204" s="107">
        <v>51.515999999999998</v>
      </c>
      <c r="V204" s="107">
        <v>510.86500000000001</v>
      </c>
      <c r="W204" s="107">
        <v>51.131</v>
      </c>
      <c r="X204" s="107">
        <v>34.838999999999999</v>
      </c>
      <c r="Y204" s="107">
        <v>160.49199999999999</v>
      </c>
      <c r="Z204" s="75">
        <f t="shared" si="5"/>
        <v>6216.3270000000011</v>
      </c>
      <c r="AA204" s="99"/>
      <c r="AB204" s="100"/>
    </row>
    <row r="205" spans="1:28" x14ac:dyDescent="0.3">
      <c r="A205" s="68">
        <v>45931</v>
      </c>
      <c r="B205" s="107">
        <v>1959.6479999999999</v>
      </c>
      <c r="C205" s="107">
        <v>1501.479</v>
      </c>
      <c r="D205" s="107">
        <v>35.433</v>
      </c>
      <c r="E205" s="107">
        <v>71.478999999999999</v>
      </c>
      <c r="F205" s="107">
        <v>91.4</v>
      </c>
      <c r="G205" s="107">
        <v>519.85599999999999</v>
      </c>
      <c r="H205" s="107">
        <v>77.986999999999995</v>
      </c>
      <c r="I205" s="107">
        <v>135.66300000000001</v>
      </c>
      <c r="J205" s="107">
        <v>22.298999999999999</v>
      </c>
      <c r="K205" s="107">
        <v>58.526000000000003</v>
      </c>
      <c r="L205" s="107">
        <v>38.761000000000003</v>
      </c>
      <c r="M205" s="107">
        <v>28.565000000000001</v>
      </c>
      <c r="N205" s="107">
        <v>243.46199999999999</v>
      </c>
      <c r="O205" s="107">
        <v>99.338999999999999</v>
      </c>
      <c r="P205" s="107">
        <v>148.523</v>
      </c>
      <c r="Q205" s="107">
        <v>111.73699999999999</v>
      </c>
      <c r="R205" s="107">
        <v>121.17700000000001</v>
      </c>
      <c r="S205" s="107">
        <v>81.119</v>
      </c>
      <c r="T205" s="107">
        <v>51.853000000000002</v>
      </c>
      <c r="U205" s="107">
        <v>51.329000000000001</v>
      </c>
      <c r="V205" s="107">
        <v>509.74200000000002</v>
      </c>
      <c r="W205" s="107">
        <v>51.22</v>
      </c>
      <c r="X205" s="107">
        <v>34.283000000000001</v>
      </c>
      <c r="Y205" s="107">
        <v>158.81</v>
      </c>
      <c r="Z205" s="75">
        <f t="shared" si="5"/>
        <v>6203.69</v>
      </c>
    </row>
    <row r="206" spans="1:28" x14ac:dyDescent="0.3">
      <c r="A206" s="68">
        <v>45962</v>
      </c>
      <c r="B206" s="107">
        <v>1953.336</v>
      </c>
      <c r="C206" s="107">
        <v>1497.2750000000001</v>
      </c>
      <c r="D206" s="107">
        <v>35.014000000000003</v>
      </c>
      <c r="E206" s="107">
        <v>71.100999999999999</v>
      </c>
      <c r="F206" s="107">
        <v>91.165000000000006</v>
      </c>
      <c r="G206" s="107">
        <v>518.41700000000003</v>
      </c>
      <c r="H206" s="107">
        <v>77.393000000000001</v>
      </c>
      <c r="I206" s="107">
        <v>135.98599999999999</v>
      </c>
      <c r="J206" s="107">
        <v>21.994</v>
      </c>
      <c r="K206" s="107">
        <v>58.655999999999999</v>
      </c>
      <c r="L206" s="107">
        <v>38.521000000000001</v>
      </c>
      <c r="M206" s="107">
        <v>28.405000000000001</v>
      </c>
      <c r="N206" s="107">
        <v>242.31800000000001</v>
      </c>
      <c r="O206" s="107">
        <v>99.236000000000004</v>
      </c>
      <c r="P206" s="107">
        <v>148.667</v>
      </c>
      <c r="Q206" s="107">
        <v>111.78</v>
      </c>
      <c r="R206" s="107">
        <v>120.666</v>
      </c>
      <c r="S206" s="107">
        <v>80.528999999999996</v>
      </c>
      <c r="T206" s="107">
        <v>51.491</v>
      </c>
      <c r="U206" s="107">
        <v>50.969000000000001</v>
      </c>
      <c r="V206" s="107">
        <v>509.53899999999999</v>
      </c>
      <c r="W206" s="107">
        <v>51.072000000000003</v>
      </c>
      <c r="X206" s="107">
        <v>33.840000000000003</v>
      </c>
      <c r="Y206" s="107">
        <v>158.64500000000001</v>
      </c>
      <c r="Z206" s="75">
        <f t="shared" si="5"/>
        <v>6186.0149999999994</v>
      </c>
    </row>
    <row r="207" spans="1:28" x14ac:dyDescent="0.3">
      <c r="A207" s="68">
        <v>45992</v>
      </c>
      <c r="B207" s="107">
        <v>1947.098</v>
      </c>
      <c r="C207" s="107">
        <v>1496.317</v>
      </c>
      <c r="D207" s="107">
        <v>34.841000000000001</v>
      </c>
      <c r="E207" s="107">
        <v>70.594999999999999</v>
      </c>
      <c r="F207" s="107">
        <v>90.546000000000006</v>
      </c>
      <c r="G207" s="107">
        <v>516.14200000000005</v>
      </c>
      <c r="H207" s="107">
        <v>77.852999999999994</v>
      </c>
      <c r="I207" s="107">
        <v>135.768</v>
      </c>
      <c r="J207" s="107">
        <v>22.084</v>
      </c>
      <c r="K207" s="107">
        <v>58.335000000000001</v>
      </c>
      <c r="L207" s="107">
        <v>38.502000000000002</v>
      </c>
      <c r="M207" s="107">
        <v>28.442</v>
      </c>
      <c r="N207" s="107">
        <v>241.62200000000001</v>
      </c>
      <c r="O207" s="107">
        <v>98.707999999999998</v>
      </c>
      <c r="P207" s="107">
        <v>149.15899999999999</v>
      </c>
      <c r="Q207" s="107">
        <v>112.444</v>
      </c>
      <c r="R207" s="107">
        <v>120.129</v>
      </c>
      <c r="S207" s="107">
        <v>80.730999999999995</v>
      </c>
      <c r="T207" s="107">
        <v>51.000999999999998</v>
      </c>
      <c r="U207" s="107">
        <v>50.935000000000002</v>
      </c>
      <c r="V207" s="107">
        <v>508.89100000000002</v>
      </c>
      <c r="W207" s="107">
        <v>50.838000000000001</v>
      </c>
      <c r="X207" s="107">
        <v>33.965000000000003</v>
      </c>
      <c r="Y207" s="107">
        <v>158.94900000000001</v>
      </c>
      <c r="Z207" s="75">
        <f t="shared" si="5"/>
        <v>6173.8949999999995</v>
      </c>
    </row>
    <row r="208" spans="1:28" x14ac:dyDescent="0.3">
      <c r="A208" s="68">
        <v>46023</v>
      </c>
      <c r="B208" s="107">
        <v>1947.7360000000001</v>
      </c>
      <c r="C208" s="107">
        <v>1491.787</v>
      </c>
      <c r="D208" s="107">
        <v>34.82</v>
      </c>
      <c r="E208" s="107">
        <v>70.501999999999995</v>
      </c>
      <c r="F208" s="107">
        <v>90.164000000000001</v>
      </c>
      <c r="G208" s="107">
        <v>515.34699999999998</v>
      </c>
      <c r="H208" s="107">
        <v>77.013000000000005</v>
      </c>
      <c r="I208" s="107">
        <v>136.02799999999999</v>
      </c>
      <c r="J208" s="107">
        <v>21.925999999999998</v>
      </c>
      <c r="K208" s="107">
        <v>58.031999999999996</v>
      </c>
      <c r="L208" s="107">
        <v>38.348999999999997</v>
      </c>
      <c r="M208" s="107">
        <v>28.869</v>
      </c>
      <c r="N208" s="107">
        <v>240.42500000000001</v>
      </c>
      <c r="O208" s="107">
        <v>98.492999999999995</v>
      </c>
      <c r="P208" s="107">
        <v>150.749</v>
      </c>
      <c r="Q208" s="107">
        <v>113.491</v>
      </c>
      <c r="R208" s="107">
        <v>120.161</v>
      </c>
      <c r="S208" s="107">
        <v>80.881</v>
      </c>
      <c r="T208" s="107">
        <v>50.866999999999997</v>
      </c>
      <c r="U208" s="107">
        <v>51.484000000000002</v>
      </c>
      <c r="V208" s="107">
        <v>508.78300000000002</v>
      </c>
      <c r="W208" s="107">
        <v>50.658999999999999</v>
      </c>
      <c r="X208" s="107">
        <v>32.906999999999996</v>
      </c>
      <c r="Y208" s="107">
        <v>157.88399999999999</v>
      </c>
      <c r="Z208" s="75">
        <f t="shared" si="5"/>
        <v>6167.3570000000027</v>
      </c>
    </row>
    <row r="209" spans="1:28" x14ac:dyDescent="0.3">
      <c r="A209" s="68">
        <v>46054</v>
      </c>
      <c r="B209" s="107">
        <v>1944.8920000000001</v>
      </c>
      <c r="C209" s="107">
        <v>1491.8620000000001</v>
      </c>
      <c r="D209" s="107">
        <v>35.460999999999999</v>
      </c>
      <c r="E209" s="107">
        <v>70.298000000000002</v>
      </c>
      <c r="F209" s="107">
        <v>89.834999999999994</v>
      </c>
      <c r="G209" s="107">
        <v>515.24400000000003</v>
      </c>
      <c r="H209" s="107">
        <v>76.748000000000005</v>
      </c>
      <c r="I209" s="107">
        <v>135.62200000000001</v>
      </c>
      <c r="J209" s="107">
        <v>21.89</v>
      </c>
      <c r="K209" s="107">
        <v>57.975000000000001</v>
      </c>
      <c r="L209" s="107">
        <v>38.39</v>
      </c>
      <c r="M209" s="107">
        <v>30.152999999999999</v>
      </c>
      <c r="N209" s="107">
        <v>238.59</v>
      </c>
      <c r="O209" s="107">
        <v>98.475999999999999</v>
      </c>
      <c r="P209" s="107">
        <v>151.739</v>
      </c>
      <c r="Q209" s="107">
        <v>113.952</v>
      </c>
      <c r="R209" s="107">
        <v>119.92100000000001</v>
      </c>
      <c r="S209" s="107">
        <v>80.783000000000001</v>
      </c>
      <c r="T209" s="107">
        <v>50.695</v>
      </c>
      <c r="U209" s="107">
        <v>51.052</v>
      </c>
      <c r="V209" s="107">
        <v>509.07299999999998</v>
      </c>
      <c r="W209" s="107">
        <v>50.46</v>
      </c>
      <c r="X209" s="107">
        <v>32.723999999999997</v>
      </c>
      <c r="Y209" s="107">
        <v>158.029</v>
      </c>
      <c r="Z209" s="75">
        <f>SUM(B209:Y209)</f>
        <v>6163.8640000000014</v>
      </c>
    </row>
    <row r="210" spans="1:28" x14ac:dyDescent="0.3">
      <c r="A210" s="68">
        <v>46082</v>
      </c>
      <c r="B210" s="107">
        <v>1942.29</v>
      </c>
      <c r="C210" s="107">
        <v>1490.0309999999999</v>
      </c>
      <c r="D210" s="107">
        <v>34.786999999999999</v>
      </c>
      <c r="E210" s="107">
        <v>69.992999999999995</v>
      </c>
      <c r="F210" s="107">
        <v>89.736000000000004</v>
      </c>
      <c r="G210" s="107">
        <v>514.87300000000005</v>
      </c>
      <c r="H210" s="107">
        <v>76.176000000000002</v>
      </c>
      <c r="I210" s="107">
        <v>135.447</v>
      </c>
      <c r="J210" s="107">
        <v>21.734000000000002</v>
      </c>
      <c r="K210" s="107">
        <v>57.604999999999997</v>
      </c>
      <c r="L210" s="107">
        <v>38.234000000000002</v>
      </c>
      <c r="M210" s="107">
        <v>29.317</v>
      </c>
      <c r="N210" s="107">
        <v>238.08199999999999</v>
      </c>
      <c r="O210" s="107">
        <v>97.656000000000006</v>
      </c>
      <c r="P210" s="107">
        <v>152.85900000000001</v>
      </c>
      <c r="Q210" s="107">
        <v>114.117</v>
      </c>
      <c r="R210" s="107">
        <v>119.38800000000001</v>
      </c>
      <c r="S210" s="107">
        <v>81.004000000000005</v>
      </c>
      <c r="T210" s="107">
        <v>50.703000000000003</v>
      </c>
      <c r="U210" s="107">
        <v>50.938000000000002</v>
      </c>
      <c r="V210" s="107">
        <v>508.97</v>
      </c>
      <c r="W210" s="107">
        <v>49.7</v>
      </c>
      <c r="X210" s="107">
        <v>32.344000000000001</v>
      </c>
      <c r="Y210" s="107">
        <v>158.42500000000001</v>
      </c>
      <c r="Z210" s="75">
        <f>SUM(B210:Y210)</f>
        <v>6154.4090000000015</v>
      </c>
    </row>
    <row r="211" spans="1:28" x14ac:dyDescent="0.3">
      <c r="A211" s="68">
        <v>46113</v>
      </c>
      <c r="B211" s="72">
        <v>1940.4770000000001</v>
      </c>
      <c r="C211" s="72">
        <v>1486.931</v>
      </c>
      <c r="D211" s="72">
        <v>34.445</v>
      </c>
      <c r="E211" s="72">
        <v>69.680000000000007</v>
      </c>
      <c r="F211" s="72">
        <v>89.248000000000005</v>
      </c>
      <c r="G211" s="72">
        <v>514.202</v>
      </c>
      <c r="H211" s="72">
        <v>75.850999999999999</v>
      </c>
      <c r="I211" s="72">
        <v>135.19900000000001</v>
      </c>
      <c r="J211" s="72">
        <v>21.747</v>
      </c>
      <c r="K211" s="72">
        <v>57.317999999999998</v>
      </c>
      <c r="L211" s="72">
        <v>38.253999999999998</v>
      </c>
      <c r="M211" s="72">
        <v>29.376999999999999</v>
      </c>
      <c r="N211" s="72">
        <v>237.28100000000001</v>
      </c>
      <c r="O211" s="72">
        <v>96.950999999999993</v>
      </c>
      <c r="P211" s="72">
        <v>153.68700000000001</v>
      </c>
      <c r="Q211" s="72">
        <v>114.185</v>
      </c>
      <c r="R211" s="72">
        <v>119.25</v>
      </c>
      <c r="S211" s="72">
        <v>81.186000000000007</v>
      </c>
      <c r="T211" s="72">
        <v>50.738</v>
      </c>
      <c r="U211" s="72">
        <v>50.787999999999997</v>
      </c>
      <c r="V211" s="72">
        <v>506.25099999999998</v>
      </c>
      <c r="W211" s="72">
        <v>49.738999999999997</v>
      </c>
      <c r="X211" s="72">
        <v>31.984999999999999</v>
      </c>
      <c r="Y211" s="72">
        <v>159.29900000000001</v>
      </c>
      <c r="Z211" s="75">
        <f>SUM(B211:Y211)</f>
        <v>6144.0689999999995</v>
      </c>
    </row>
    <row r="212" spans="1:28" x14ac:dyDescent="0.3">
      <c r="A212" s="68">
        <v>46143</v>
      </c>
      <c r="B212" s="72">
        <v>1935.431</v>
      </c>
      <c r="C212" s="72">
        <v>1482.175</v>
      </c>
      <c r="D212" s="72">
        <v>34.613999999999997</v>
      </c>
      <c r="E212" s="72">
        <v>69.338999999999999</v>
      </c>
      <c r="F212" s="72">
        <v>89.453000000000003</v>
      </c>
      <c r="G212" s="72">
        <v>513.21400000000006</v>
      </c>
      <c r="H212" s="72">
        <v>75.945999999999998</v>
      </c>
      <c r="I212" s="72">
        <v>135.15</v>
      </c>
      <c r="J212" s="72">
        <v>21.773</v>
      </c>
      <c r="K212" s="72">
        <v>57.167999999999999</v>
      </c>
      <c r="L212" s="72">
        <v>38.201999999999998</v>
      </c>
      <c r="M212" s="72">
        <v>29.292000000000002</v>
      </c>
      <c r="N212" s="72">
        <v>237.495</v>
      </c>
      <c r="O212" s="72">
        <v>96.54</v>
      </c>
      <c r="P212" s="72">
        <v>154.41499999999999</v>
      </c>
      <c r="Q212" s="72">
        <v>114.595</v>
      </c>
      <c r="R212" s="72">
        <v>119.184</v>
      </c>
      <c r="S212" s="72">
        <v>81.620999999999995</v>
      </c>
      <c r="T212" s="72">
        <v>50.725999999999999</v>
      </c>
      <c r="U212" s="72">
        <v>50.505000000000003</v>
      </c>
      <c r="V212" s="72">
        <v>506.66899999999998</v>
      </c>
      <c r="W212" s="72">
        <v>49.802999999999997</v>
      </c>
      <c r="X212" s="72">
        <v>31.59</v>
      </c>
      <c r="Y212" s="72">
        <v>159.27099999999999</v>
      </c>
      <c r="Z212" s="75">
        <f>SUM(B212:Y212)</f>
        <v>6134.1709999999994</v>
      </c>
    </row>
    <row r="213" spans="1:28" x14ac:dyDescent="0.3">
      <c r="A213" s="71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spans="1:28" x14ac:dyDescent="0.3">
      <c r="A214" s="71"/>
      <c r="B214" s="148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spans="1:28" x14ac:dyDescent="0.3">
      <c r="A215" s="139" t="s">
        <v>135</v>
      </c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spans="1:28" x14ac:dyDescent="0.3">
      <c r="A216" s="71" t="s">
        <v>136</v>
      </c>
      <c r="B216" s="72">
        <f>(HLOOKUP(B$3,$A$3:$Z$1724,MATCH(MAX($A$3:$A$1724),$A$3:$A$1724,0),FALSE)-HLOOKUP(B$3,$A$3:$Z$1724,MATCH(MAX($A$3:$A$1724),$A$3:$A$1724,0)-1,FALSE))*1000</f>
        <v>-5046.0000000000491</v>
      </c>
      <c r="C216" s="72">
        <f t="shared" ref="C216:Z216" si="6">(HLOOKUP(C$3,$A$3:$Z$1724,MATCH(MAX($A$3:$A$1724),$A$3:$A$1724,0),FALSE)-HLOOKUP(C$3,$A$3:$Z$1724,MATCH(MAX($A$3:$A$1724),$A$3:$A$1724,0)-1,FALSE))*1000</f>
        <v>-4756.0000000000855</v>
      </c>
      <c r="D216" s="72">
        <f t="shared" si="6"/>
        <v>168.99999999999693</v>
      </c>
      <c r="E216" s="72">
        <f t="shared" si="6"/>
        <v>-341.00000000000819</v>
      </c>
      <c r="F216" s="72">
        <f t="shared" si="6"/>
        <v>204.99999999999829</v>
      </c>
      <c r="G216" s="72">
        <f t="shared" si="6"/>
        <v>-987.9999999999427</v>
      </c>
      <c r="H216" s="72">
        <f t="shared" si="6"/>
        <v>94.999999999998863</v>
      </c>
      <c r="I216" s="72">
        <f t="shared" si="6"/>
        <v>-49.000000000006594</v>
      </c>
      <c r="J216" s="72">
        <f t="shared" si="6"/>
        <v>25.999999999999801</v>
      </c>
      <c r="K216" s="72">
        <f t="shared" si="6"/>
        <v>-149.99999999999858</v>
      </c>
      <c r="L216" s="72">
        <f t="shared" si="6"/>
        <v>-51.999999999999602</v>
      </c>
      <c r="M216" s="72">
        <f t="shared" si="6"/>
        <v>-84.9999999999973</v>
      </c>
      <c r="N216" s="72">
        <f t="shared" si="6"/>
        <v>213.99999999999864</v>
      </c>
      <c r="O216" s="72">
        <f t="shared" si="6"/>
        <v>-410.99999999998715</v>
      </c>
      <c r="P216" s="72">
        <f t="shared" si="6"/>
        <v>727.99999999998022</v>
      </c>
      <c r="Q216" s="72">
        <f t="shared" si="6"/>
        <v>409.99999999999659</v>
      </c>
      <c r="R216" s="72">
        <f t="shared" si="6"/>
        <v>-66.000000000002501</v>
      </c>
      <c r="S216" s="72">
        <f t="shared" si="6"/>
        <v>434.99999999998806</v>
      </c>
      <c r="T216" s="72">
        <f t="shared" si="6"/>
        <v>-12.000000000000455</v>
      </c>
      <c r="U216" s="72">
        <f t="shared" si="6"/>
        <v>-282.99999999999415</v>
      </c>
      <c r="V216" s="72">
        <f>(HLOOKUP(V$3,$A$3:$Z$1724,MATCH(MAX($A$3:$A$1724),$A$3:$A$1724,0),FALSE)-HLOOKUP(V$3,$A$3:$Z$1724,MATCH(MAX($A$3:$A$1724),$A$3:$A$1724,0)-1,FALSE))*1000</f>
        <v>418.00000000000637</v>
      </c>
      <c r="W216" s="72">
        <f t="shared" si="6"/>
        <v>64.000000000000057</v>
      </c>
      <c r="X216" s="72">
        <f t="shared" si="6"/>
        <v>-394.99999999999955</v>
      </c>
      <c r="Y216" s="72">
        <f t="shared" si="6"/>
        <v>-28.000000000020009</v>
      </c>
      <c r="Z216" s="72">
        <f t="shared" si="6"/>
        <v>-9898.0000000001382</v>
      </c>
    </row>
    <row r="217" spans="1:28" x14ac:dyDescent="0.3">
      <c r="A217" s="71" t="s">
        <v>137</v>
      </c>
      <c r="B217" s="74">
        <f>(HLOOKUP(B$3,$A$3:$Z$1724,MATCH(MAX($A$3:$A$1724),$A$3:$A$1724,0),FALSE)/HLOOKUP(B$3,$A$3:$Z$1724,MATCH(MAX($A$3:$A$1724),$A$3:$A$1724,0)-1,FALSE))-1</f>
        <v>-2.6003915532109012E-3</v>
      </c>
      <c r="C217" s="74">
        <f t="shared" ref="C217:Z217" si="7">(HLOOKUP(C$3,$A$3:$Z$1724,MATCH(MAX($A$3:$A$1724),$A$3:$A$1724,0),FALSE)/HLOOKUP(C$3,$A$3:$Z$1724,MATCH(MAX($A$3:$A$1724),$A$3:$A$1724,0)-1,FALSE))-1</f>
        <v>-3.1985344309857222E-3</v>
      </c>
      <c r="D217" s="74">
        <f t="shared" si="7"/>
        <v>4.9063724778630746E-3</v>
      </c>
      <c r="E217" s="74">
        <f t="shared" si="7"/>
        <v>-4.8938002296212701E-3</v>
      </c>
      <c r="F217" s="74">
        <f t="shared" si="7"/>
        <v>2.2969702402293457E-3</v>
      </c>
      <c r="G217" s="74">
        <f t="shared" si="7"/>
        <v>-1.9214238762197411E-3</v>
      </c>
      <c r="H217" s="74">
        <f t="shared" si="7"/>
        <v>1.2524554719119951E-3</v>
      </c>
      <c r="I217" s="74">
        <f t="shared" si="7"/>
        <v>-3.6242871618874517E-4</v>
      </c>
      <c r="J217" s="74">
        <f t="shared" si="7"/>
        <v>1.1955672046719545E-3</v>
      </c>
      <c r="K217" s="74">
        <f t="shared" si="7"/>
        <v>-2.6169789594890913E-3</v>
      </c>
      <c r="L217" s="74">
        <f t="shared" si="7"/>
        <v>-1.3593349715061986E-3</v>
      </c>
      <c r="M217" s="74">
        <f t="shared" si="7"/>
        <v>-2.8934200224665085E-3</v>
      </c>
      <c r="N217" s="74">
        <f t="shared" si="7"/>
        <v>9.0188426380533038E-4</v>
      </c>
      <c r="O217" s="74">
        <f t="shared" si="7"/>
        <v>-4.2392548813316999E-3</v>
      </c>
      <c r="P217" s="74">
        <f t="shared" si="7"/>
        <v>4.7369003233843632E-3</v>
      </c>
      <c r="Q217" s="74">
        <f t="shared" si="7"/>
        <v>3.5906642728904536E-3</v>
      </c>
      <c r="R217" s="74">
        <f t="shared" si="7"/>
        <v>-5.5345911949689075E-4</v>
      </c>
      <c r="S217" s="74">
        <f t="shared" si="7"/>
        <v>5.3580666617396577E-3</v>
      </c>
      <c r="T217" s="74">
        <f t="shared" si="7"/>
        <v>-2.3650912531048007E-4</v>
      </c>
      <c r="U217" s="74">
        <f t="shared" si="7"/>
        <v>-5.5721824052924473E-3</v>
      </c>
      <c r="V217" s="74">
        <f t="shared" si="7"/>
        <v>8.2567738137795388E-4</v>
      </c>
      <c r="W217" s="74">
        <f t="shared" si="7"/>
        <v>1.2867166609702441E-3</v>
      </c>
      <c r="X217" s="74">
        <f t="shared" si="7"/>
        <v>-1.2349538846334163E-2</v>
      </c>
      <c r="Y217" s="74">
        <f t="shared" si="7"/>
        <v>-1.7577009271885213E-4</v>
      </c>
      <c r="Z217" s="141">
        <f t="shared" si="7"/>
        <v>-1.6109845120554356E-3</v>
      </c>
      <c r="AA217" s="15">
        <f>+COUNTIF(B217:Y217,"&lt;"&amp;0)</f>
        <v>14</v>
      </c>
      <c r="AB217" s="15">
        <f>+COUNTIF(B217:Y217,"&gt;"&amp;0)</f>
        <v>10</v>
      </c>
    </row>
    <row r="218" spans="1:28" x14ac:dyDescent="0.3">
      <c r="A218" s="71" t="s">
        <v>138</v>
      </c>
      <c r="B218" s="73">
        <f>B216/$Z$216</f>
        <v>0.50979995958779334</v>
      </c>
      <c r="C218" s="73">
        <f t="shared" ref="C218:X218" si="8">C216/$Z$216</f>
        <v>0.48050111133562529</v>
      </c>
      <c r="D218" s="73">
        <f t="shared" si="8"/>
        <v>-1.707415639523081E-2</v>
      </c>
      <c r="E218" s="73">
        <f t="shared" si="8"/>
        <v>3.4451404324106226E-2</v>
      </c>
      <c r="F218" s="73">
        <f t="shared" si="8"/>
        <v>-2.0711254798948822E-2</v>
      </c>
      <c r="G218" s="73">
        <f t="shared" si="8"/>
        <v>9.9818145079806922E-2</v>
      </c>
      <c r="H218" s="73">
        <f t="shared" si="8"/>
        <v>-9.597898565366492E-3</v>
      </c>
      <c r="I218" s="73">
        <f t="shared" si="8"/>
        <v>4.9504950495055473E-3</v>
      </c>
      <c r="J218" s="73">
        <f t="shared" si="8"/>
        <v>-2.6267932915739985E-3</v>
      </c>
      <c r="K218" s="73">
        <f t="shared" si="8"/>
        <v>1.5154576682157656E-2</v>
      </c>
      <c r="L218" s="73">
        <f t="shared" si="8"/>
        <v>5.2535865831479971E-3</v>
      </c>
      <c r="M218" s="73">
        <f t="shared" si="8"/>
        <v>8.5875934532224814E-3</v>
      </c>
      <c r="N218" s="73">
        <f t="shared" si="8"/>
        <v>-2.1620529399878324E-2</v>
      </c>
      <c r="O218" s="73">
        <f t="shared" si="8"/>
        <v>4.1523540109111072E-2</v>
      </c>
      <c r="P218" s="73">
        <f t="shared" si="8"/>
        <v>-7.3550212164070525E-2</v>
      </c>
      <c r="Q218" s="73">
        <f t="shared" si="8"/>
        <v>-4.1422509597897644E-2</v>
      </c>
      <c r="R218" s="73">
        <f t="shared" si="8"/>
        <v>6.668013740149685E-3</v>
      </c>
      <c r="S218" s="73">
        <f t="shared" si="8"/>
        <v>-4.3948272378256416E-2</v>
      </c>
      <c r="T218" s="73">
        <f t="shared" si="8"/>
        <v>1.2123661345726699E-3</v>
      </c>
      <c r="U218" s="73">
        <f t="shared" si="8"/>
        <v>2.8591634673670457E-2</v>
      </c>
      <c r="V218" s="73">
        <f t="shared" si="8"/>
        <v>-4.2230753687613712E-2</v>
      </c>
      <c r="W218" s="73">
        <f t="shared" si="8"/>
        <v>-6.4659527177206673E-3</v>
      </c>
      <c r="X218" s="73">
        <f t="shared" si="8"/>
        <v>3.9907051929682164E-2</v>
      </c>
      <c r="Y218" s="73">
        <f>Y216/$Z$216</f>
        <v>2.8288543140048109E-3</v>
      </c>
      <c r="Z218" s="73">
        <f>Z216/$Z$216</f>
        <v>1</v>
      </c>
    </row>
    <row r="219" spans="1:28" x14ac:dyDescent="0.3">
      <c r="A219" s="71" t="str">
        <f>_xlfn.CONCAT("Composición: ",MONTH(A212),"/",YEAR(A212))</f>
        <v>Composición: 5/2026</v>
      </c>
      <c r="B219" s="74">
        <f>B212/$Z$212</f>
        <v>0.31551631019089627</v>
      </c>
      <c r="C219" s="74">
        <f t="shared" ref="C219:Z219" si="9">C212/$Z$212</f>
        <v>0.24162596706221592</v>
      </c>
      <c r="D219" s="74">
        <f t="shared" si="9"/>
        <v>5.6428162827544259E-3</v>
      </c>
      <c r="E219" s="74">
        <f t="shared" si="9"/>
        <v>1.1303727920203073E-2</v>
      </c>
      <c r="F219" s="74">
        <f t="shared" si="9"/>
        <v>1.4582736607766562E-2</v>
      </c>
      <c r="G219" s="74">
        <f t="shared" si="9"/>
        <v>8.3664769045401585E-2</v>
      </c>
      <c r="H219" s="74">
        <f t="shared" si="9"/>
        <v>1.2380809077542835E-2</v>
      </c>
      <c r="I219" s="74">
        <f t="shared" si="9"/>
        <v>2.2032316999314173E-2</v>
      </c>
      <c r="J219" s="74">
        <f t="shared" si="9"/>
        <v>3.5494608806960226E-3</v>
      </c>
      <c r="K219" s="74">
        <f t="shared" si="9"/>
        <v>9.3195967311638372E-3</v>
      </c>
      <c r="L219" s="74">
        <f t="shared" si="9"/>
        <v>6.2277363966540874E-3</v>
      </c>
      <c r="M219" s="74">
        <f t="shared" si="9"/>
        <v>4.7752173847126211E-3</v>
      </c>
      <c r="N219" s="74">
        <f t="shared" si="9"/>
        <v>3.8716723091025668E-2</v>
      </c>
      <c r="O219" s="74">
        <f t="shared" si="9"/>
        <v>1.5738067947567817E-2</v>
      </c>
      <c r="P219" s="74">
        <f t="shared" si="9"/>
        <v>2.5172920676648891E-2</v>
      </c>
      <c r="Q219" s="74">
        <f t="shared" si="9"/>
        <v>1.8681415956614187E-2</v>
      </c>
      <c r="R219" s="74">
        <f>R212/$Z$212</f>
        <v>1.9429520305188755E-2</v>
      </c>
      <c r="S219" s="74">
        <f t="shared" si="9"/>
        <v>1.330595446393653E-2</v>
      </c>
      <c r="T219" s="74">
        <f t="shared" si="9"/>
        <v>8.2694140740452136E-3</v>
      </c>
      <c r="U219" s="74">
        <f t="shared" si="9"/>
        <v>8.2333863858702356E-3</v>
      </c>
      <c r="V219" s="74">
        <f t="shared" si="9"/>
        <v>8.2597795203296423E-2</v>
      </c>
      <c r="W219" s="74">
        <f t="shared" si="9"/>
        <v>8.118945494020301E-3</v>
      </c>
      <c r="X219" s="74">
        <f t="shared" si="9"/>
        <v>5.1498401332470195E-3</v>
      </c>
      <c r="Y219" s="74">
        <f t="shared" si="9"/>
        <v>2.5964551689217664E-2</v>
      </c>
      <c r="Z219" s="74">
        <f t="shared" si="9"/>
        <v>1</v>
      </c>
    </row>
    <row r="220" spans="1:28" x14ac:dyDescent="0.3">
      <c r="B220" s="86"/>
    </row>
    <row r="221" spans="1:28" x14ac:dyDescent="0.3">
      <c r="B221" s="142">
        <f t="shared" ref="B221:Z221" si="10">(B208-B196)*1000</f>
        <v>-23798</v>
      </c>
      <c r="C221" s="142">
        <f t="shared" si="10"/>
        <v>-21655.999999999949</v>
      </c>
      <c r="D221" s="142">
        <f t="shared" si="10"/>
        <v>-4024.0000000000009</v>
      </c>
      <c r="E221" s="142">
        <f t="shared" si="10"/>
        <v>-3433.0000000000068</v>
      </c>
      <c r="F221" s="142">
        <f t="shared" si="10"/>
        <v>-6524.0000000000009</v>
      </c>
      <c r="G221" s="142">
        <f t="shared" si="10"/>
        <v>-4063.9999999999645</v>
      </c>
      <c r="H221" s="142">
        <f t="shared" si="10"/>
        <v>-3263.9999999999959</v>
      </c>
      <c r="I221" s="142">
        <f t="shared" si="10"/>
        <v>-495.00000000000455</v>
      </c>
      <c r="J221" s="142">
        <f t="shared" si="10"/>
        <v>-827.00000000000171</v>
      </c>
      <c r="K221" s="142">
        <f t="shared" si="10"/>
        <v>-1452.0000000000052</v>
      </c>
      <c r="L221" s="142">
        <f t="shared" si="10"/>
        <v>-439.00000000000006</v>
      </c>
      <c r="M221" s="142">
        <f t="shared" si="10"/>
        <v>-533.00000000000125</v>
      </c>
      <c r="N221" s="142">
        <f t="shared" si="10"/>
        <v>-6482.9999999999754</v>
      </c>
      <c r="O221" s="142">
        <f t="shared" si="10"/>
        <v>-4978.9999999999991</v>
      </c>
      <c r="P221" s="142">
        <f t="shared" si="10"/>
        <v>3031.9999999999823</v>
      </c>
      <c r="Q221" s="142">
        <f t="shared" si="10"/>
        <v>3183.9999999999973</v>
      </c>
      <c r="R221" s="142">
        <f t="shared" si="10"/>
        <v>-4962.0000000000036</v>
      </c>
      <c r="S221" s="142">
        <f t="shared" si="10"/>
        <v>1787.9999999999968</v>
      </c>
      <c r="T221" s="142">
        <f t="shared" si="10"/>
        <v>-1510.000000000005</v>
      </c>
      <c r="U221" s="142">
        <f t="shared" si="10"/>
        <v>-5177</v>
      </c>
      <c r="V221" s="142">
        <f t="shared" si="10"/>
        <v>-991.9999999999618</v>
      </c>
      <c r="W221" s="142">
        <f t="shared" si="10"/>
        <v>591.00000000000114</v>
      </c>
      <c r="X221" s="142">
        <f t="shared" si="10"/>
        <v>-3542.0000000000018</v>
      </c>
      <c r="Y221" s="142">
        <f t="shared" si="10"/>
        <v>-3253.0000000000146</v>
      </c>
      <c r="Z221" s="142">
        <f t="shared" si="10"/>
        <v>-92811.999999995343</v>
      </c>
    </row>
    <row r="222" spans="1:28" x14ac:dyDescent="0.3">
      <c r="B222" s="86"/>
    </row>
    <row r="223" spans="1:28" x14ac:dyDescent="0.3">
      <c r="B223" s="86"/>
    </row>
    <row r="224" spans="1:28" x14ac:dyDescent="0.3">
      <c r="B224" s="86"/>
    </row>
    <row r="225" spans="2:2" x14ac:dyDescent="0.3">
      <c r="B225" s="86"/>
    </row>
    <row r="226" spans="2:2" x14ac:dyDescent="0.3">
      <c r="B226" s="86"/>
    </row>
    <row r="227" spans="2:2" x14ac:dyDescent="0.3">
      <c r="B227" s="86"/>
    </row>
    <row r="228" spans="2:2" x14ac:dyDescent="0.3">
      <c r="B228" s="86"/>
    </row>
    <row r="229" spans="2:2" x14ac:dyDescent="0.3">
      <c r="B229" s="86"/>
    </row>
    <row r="230" spans="2:2" x14ac:dyDescent="0.3">
      <c r="B230" s="86"/>
    </row>
    <row r="231" spans="2:2" x14ac:dyDescent="0.3">
      <c r="B231" s="86"/>
    </row>
    <row r="232" spans="2:2" x14ac:dyDescent="0.3">
      <c r="B232" s="86"/>
    </row>
    <row r="233" spans="2:2" x14ac:dyDescent="0.3">
      <c r="B233" s="86"/>
    </row>
    <row r="234" spans="2:2" x14ac:dyDescent="0.3">
      <c r="B234" s="86"/>
    </row>
    <row r="235" spans="2:2" x14ac:dyDescent="0.3">
      <c r="B235" s="86"/>
    </row>
    <row r="236" spans="2:2" x14ac:dyDescent="0.3">
      <c r="B236" s="86"/>
    </row>
    <row r="237" spans="2:2" x14ac:dyDescent="0.3">
      <c r="B237" s="86"/>
    </row>
    <row r="238" spans="2:2" x14ac:dyDescent="0.3">
      <c r="B238" s="86"/>
    </row>
    <row r="239" spans="2:2" x14ac:dyDescent="0.3">
      <c r="B239" s="86"/>
    </row>
    <row r="240" spans="2:2" x14ac:dyDescent="0.3">
      <c r="B240" s="86"/>
    </row>
    <row r="241" spans="2:2" x14ac:dyDescent="0.3">
      <c r="B241" s="86"/>
    </row>
    <row r="242" spans="2:2" x14ac:dyDescent="0.3">
      <c r="B242" s="86"/>
    </row>
  </sheetData>
  <conditionalFormatting sqref="B213:Z214 B211:Y212">
    <cfRule type="top10" dxfId="7" priority="14" rank="3"/>
    <cfRule type="top10" dxfId="6" priority="15" bottom="1" rank="3"/>
  </conditionalFormatting>
  <conditionalFormatting sqref="B216:Z216">
    <cfRule type="top10" dxfId="5" priority="4" rank="3"/>
    <cfRule type="top10" dxfId="4" priority="5" bottom="1" rank="3"/>
  </conditionalFormatting>
  <conditionalFormatting sqref="B217:Z217">
    <cfRule type="top10" dxfId="3" priority="2" rank="5"/>
    <cfRule type="top10" dxfId="2" priority="3" bottom="1" rank="3"/>
  </conditionalFormatting>
  <conditionalFormatting sqref="B218:Z218">
    <cfRule type="top10" dxfId="1" priority="1" rank="5"/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r:id="rId3" name="Button 1">
              <controlPr defaultSize="0" print="0" autoFill="0" autoPict="0" macro="[0]!ActualizarA52">
                <anchor moveWithCells="1" sizeWithCells="1">
                  <from>
                    <xdr:col>29</xdr:col>
                    <xdr:colOff>0</xdr:colOff>
                    <xdr:row>1</xdr:row>
                    <xdr:rowOff>0</xdr:rowOff>
                  </from>
                  <to>
                    <xdr:col>30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2" r:id="rId4" name="Button 2">
              <controlPr defaultSize="0" print="0" autoFill="0" autoPict="0" macro="[0]!ActualizarA52">
                <anchor moveWithCells="1" sizeWithCells="1">
                  <from>
                    <xdr:col>29</xdr:col>
                    <xdr:colOff>0</xdr:colOff>
                    <xdr:row>1</xdr:row>
                    <xdr:rowOff>0</xdr:rowOff>
                  </from>
                  <to>
                    <xdr:col>30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5" name="Button 3">
              <controlPr defaultSize="0" print="0" autoFill="0" autoPict="0" macro="[0]!ActualizarA52">
                <anchor moveWithCells="1" sizeWithCells="1">
                  <from>
                    <xdr:col>29</xdr:col>
                    <xdr:colOff>0</xdr:colOff>
                    <xdr:row>1</xdr:row>
                    <xdr:rowOff>0</xdr:rowOff>
                  </from>
                  <to>
                    <xdr:col>30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9">
    <tabColor rgb="FFF3A960"/>
  </sheetPr>
  <dimension ref="A1:O217"/>
  <sheetViews>
    <sheetView zoomScale="81" workbookViewId="0">
      <pane xSplit="1" ySplit="3" topLeftCell="B189" activePane="bottomRight" state="frozen"/>
      <selection pane="topRight" activeCell="B1" sqref="B1"/>
      <selection pane="bottomLeft" activeCell="A4" sqref="A4"/>
      <selection pane="bottomRight" activeCell="N214" sqref="N214"/>
    </sheetView>
  </sheetViews>
  <sheetFormatPr baseColWidth="10" defaultColWidth="11.5703125" defaultRowHeight="18" x14ac:dyDescent="0.3"/>
  <cols>
    <col min="1" max="1" width="12" style="15" customWidth="1"/>
    <col min="2" max="5" width="19.7109375" style="15" customWidth="1"/>
    <col min="6" max="6" width="6.7109375" style="15" customWidth="1"/>
    <col min="7" max="8" width="11.5703125" style="15"/>
    <col min="9" max="9" width="6.7109375" style="15" customWidth="1"/>
    <col min="10" max="10" width="16.7109375" style="15" customWidth="1"/>
    <col min="11" max="11" width="13.140625" style="15" customWidth="1"/>
    <col min="12" max="16384" width="11.5703125" style="15"/>
  </cols>
  <sheetData>
    <row r="1" spans="1:12" x14ac:dyDescent="0.3">
      <c r="A1" s="52" t="s">
        <v>94</v>
      </c>
    </row>
    <row r="3" spans="1:12" ht="57" x14ac:dyDescent="0.3">
      <c r="A3" s="76" t="s">
        <v>0</v>
      </c>
      <c r="B3" s="76" t="s">
        <v>84</v>
      </c>
      <c r="C3" s="76" t="s">
        <v>85</v>
      </c>
      <c r="D3" s="76" t="s">
        <v>86</v>
      </c>
      <c r="E3" s="76" t="s">
        <v>87</v>
      </c>
      <c r="G3" s="50" t="s">
        <v>88</v>
      </c>
      <c r="H3" s="50" t="s">
        <v>140</v>
      </c>
      <c r="J3" s="20" t="s">
        <v>89</v>
      </c>
      <c r="K3" s="20" t="s">
        <v>90</v>
      </c>
    </row>
    <row r="4" spans="1:12" x14ac:dyDescent="0.3">
      <c r="A4" s="77">
        <v>39814</v>
      </c>
      <c r="B4" s="78">
        <v>2050</v>
      </c>
      <c r="C4" s="78">
        <v>2044.8297527881889</v>
      </c>
      <c r="D4" s="78">
        <v>2907.11</v>
      </c>
      <c r="E4" s="79">
        <v>2744.8792184572794</v>
      </c>
      <c r="G4" s="53">
        <v>17.14153159181053</v>
      </c>
      <c r="H4" s="85">
        <f t="shared" ref="H4:H67" si="0">G4/HLOOKUP($G$3,$G$3:$G$1996,MATCH(MAX($A$4:$A$1996),$A$3:$A$1996,0),FALSE)</f>
        <v>1.2385544105308721E-3</v>
      </c>
      <c r="J4" s="26">
        <f>E4/H4</f>
        <v>2216195.9096175376</v>
      </c>
      <c r="K4" s="15">
        <f t="shared" ref="K4:K67" si="1">J4/$J$56*100</f>
        <v>83.187554059953811</v>
      </c>
    </row>
    <row r="5" spans="1:12" x14ac:dyDescent="0.3">
      <c r="A5" s="80">
        <v>39845</v>
      </c>
      <c r="B5" s="81">
        <v>2014.08</v>
      </c>
      <c r="C5" s="81">
        <v>2085.6937799227026</v>
      </c>
      <c r="D5" s="81">
        <v>2791.44</v>
      </c>
      <c r="E5" s="82">
        <v>2786.5769250325202</v>
      </c>
      <c r="G5" s="53">
        <v>17.234320767309882</v>
      </c>
      <c r="H5" s="85">
        <f t="shared" si="0"/>
        <v>1.2452588547602985E-3</v>
      </c>
      <c r="J5" s="26">
        <f t="shared" ref="J5:J68" si="2">E5/H5</f>
        <v>2237749.1349530793</v>
      </c>
      <c r="K5" s="15">
        <f t="shared" si="1"/>
        <v>83.996580053543042</v>
      </c>
      <c r="L5" s="90">
        <f>J5/J4-1</f>
        <v>9.7253249326956226E-3</v>
      </c>
    </row>
    <row r="6" spans="1:12" x14ac:dyDescent="0.3">
      <c r="A6" s="80">
        <v>39873</v>
      </c>
      <c r="B6" s="81">
        <v>2025.53</v>
      </c>
      <c r="C6" s="81">
        <v>2088.6964596825915</v>
      </c>
      <c r="D6" s="81">
        <v>2869.86</v>
      </c>
      <c r="E6" s="82">
        <v>2766.5193840747556</v>
      </c>
      <c r="G6" s="53">
        <v>17.500304320897019</v>
      </c>
      <c r="H6" s="85">
        <f t="shared" si="0"/>
        <v>1.2644773885103057E-3</v>
      </c>
      <c r="J6" s="26">
        <f t="shared" si="2"/>
        <v>2187875.7257447061</v>
      </c>
      <c r="K6" s="15">
        <f t="shared" si="1"/>
        <v>82.124522214851453</v>
      </c>
      <c r="L6" s="90">
        <f t="shared" ref="L6:L68" si="3">J6/J5-1</f>
        <v>-2.2287310239277103E-2</v>
      </c>
    </row>
    <row r="7" spans="1:12" x14ac:dyDescent="0.3">
      <c r="A7" s="80">
        <v>39904</v>
      </c>
      <c r="B7" s="81">
        <v>2157.8000000000002</v>
      </c>
      <c r="C7" s="81">
        <v>2202.6622332621864</v>
      </c>
      <c r="D7" s="81">
        <v>2885.72</v>
      </c>
      <c r="E7" s="82">
        <v>2843.0851203112798</v>
      </c>
      <c r="G7" s="53">
        <v>17.736811365370119</v>
      </c>
      <c r="H7" s="85">
        <f t="shared" si="0"/>
        <v>1.2815661090534412E-3</v>
      </c>
      <c r="J7" s="26">
        <f t="shared" si="2"/>
        <v>2218445.9312919639</v>
      </c>
      <c r="K7" s="15">
        <f t="shared" si="1"/>
        <v>83.272011304399172</v>
      </c>
      <c r="L7" s="90">
        <f t="shared" si="3"/>
        <v>1.3972551177170889E-2</v>
      </c>
    </row>
    <row r="8" spans="1:12" x14ac:dyDescent="0.3">
      <c r="A8" s="80">
        <v>39934</v>
      </c>
      <c r="B8" s="81">
        <v>2223.66</v>
      </c>
      <c r="C8" s="81">
        <v>2226.0817580235648</v>
      </c>
      <c r="D8" s="81">
        <v>2886.88</v>
      </c>
      <c r="E8" s="82">
        <v>2872.2170875731745</v>
      </c>
      <c r="G8" s="53">
        <v>17.842092727695611</v>
      </c>
      <c r="H8" s="85">
        <f t="shared" si="0"/>
        <v>1.2891731711736798E-3</v>
      </c>
      <c r="J8" s="26">
        <f t="shared" si="2"/>
        <v>2227952.8862350364</v>
      </c>
      <c r="K8" s="15">
        <f t="shared" si="1"/>
        <v>83.628866185702904</v>
      </c>
      <c r="L8" s="90">
        <f t="shared" si="3"/>
        <v>4.2854120575910315E-3</v>
      </c>
    </row>
    <row r="9" spans="1:12" x14ac:dyDescent="0.3">
      <c r="A9" s="80">
        <v>39965</v>
      </c>
      <c r="B9" s="81">
        <v>3263.85</v>
      </c>
      <c r="C9" s="81">
        <v>2254.3334636851264</v>
      </c>
      <c r="D9" s="81">
        <v>4245.8100000000004</v>
      </c>
      <c r="E9" s="82">
        <v>2929.125084560008</v>
      </c>
      <c r="G9" s="53">
        <v>17.93036807749623</v>
      </c>
      <c r="H9" s="85">
        <f t="shared" si="0"/>
        <v>1.2955514707585867E-3</v>
      </c>
      <c r="J9" s="26">
        <f t="shared" si="2"/>
        <v>2260909.852423626</v>
      </c>
      <c r="K9" s="15">
        <f t="shared" si="1"/>
        <v>84.86594517974298</v>
      </c>
      <c r="L9" s="90">
        <f t="shared" si="3"/>
        <v>1.4792487934645049E-2</v>
      </c>
    </row>
    <row r="10" spans="1:12" x14ac:dyDescent="0.3">
      <c r="A10" s="80">
        <v>39995</v>
      </c>
      <c r="B10" s="81">
        <v>2277.19</v>
      </c>
      <c r="C10" s="81">
        <v>2250.1767431584567</v>
      </c>
      <c r="D10" s="81">
        <v>2991.46</v>
      </c>
      <c r="E10" s="82">
        <v>2952.605746513017</v>
      </c>
      <c r="G10" s="53">
        <v>18.098288425456438</v>
      </c>
      <c r="H10" s="85">
        <f t="shared" si="0"/>
        <v>1.3076844873720706E-3</v>
      </c>
      <c r="J10" s="26">
        <f t="shared" si="2"/>
        <v>2257888.4853536715</v>
      </c>
      <c r="K10" s="15">
        <f t="shared" si="1"/>
        <v>84.752534566820131</v>
      </c>
      <c r="L10" s="90">
        <f t="shared" si="3"/>
        <v>-1.3363500834479014E-3</v>
      </c>
    </row>
    <row r="11" spans="1:12" x14ac:dyDescent="0.3">
      <c r="A11" s="80">
        <v>40026</v>
      </c>
      <c r="B11" s="81">
        <v>2286.15</v>
      </c>
      <c r="C11" s="81">
        <v>2290.6752580650059</v>
      </c>
      <c r="D11" s="81">
        <v>3026.88</v>
      </c>
      <c r="E11" s="82">
        <v>3011.0941544759949</v>
      </c>
      <c r="G11" s="53">
        <v>18.36457662807873</v>
      </c>
      <c r="H11" s="85">
        <f t="shared" si="0"/>
        <v>1.326925033414511E-3</v>
      </c>
      <c r="J11" s="26">
        <f t="shared" si="2"/>
        <v>2269227.0314078666</v>
      </c>
      <c r="K11" s="15">
        <f t="shared" si="1"/>
        <v>85.178140402816567</v>
      </c>
      <c r="L11" s="90">
        <f t="shared" si="3"/>
        <v>5.0217475875116158E-3</v>
      </c>
    </row>
    <row r="12" spans="1:12" x14ac:dyDescent="0.3">
      <c r="A12" s="80">
        <v>40057</v>
      </c>
      <c r="B12" s="81">
        <v>2322</v>
      </c>
      <c r="C12" s="81">
        <v>2287.6535944910484</v>
      </c>
      <c r="D12" s="81">
        <v>3112.32</v>
      </c>
      <c r="E12" s="82">
        <v>3055.625000513227</v>
      </c>
      <c r="G12" s="53">
        <v>18.54766827504562</v>
      </c>
      <c r="H12" s="85">
        <f t="shared" si="0"/>
        <v>1.3401542460824468E-3</v>
      </c>
      <c r="J12" s="26">
        <f t="shared" si="2"/>
        <v>2280054.7097063363</v>
      </c>
      <c r="K12" s="15">
        <f t="shared" si="1"/>
        <v>85.584570208904054</v>
      </c>
      <c r="L12" s="90">
        <f t="shared" si="3"/>
        <v>4.7715271097188428E-3</v>
      </c>
    </row>
    <row r="13" spans="1:12" x14ac:dyDescent="0.3">
      <c r="A13" s="80">
        <v>40087</v>
      </c>
      <c r="B13" s="81">
        <v>2334.71</v>
      </c>
      <c r="C13" s="81">
        <v>2319.5343474072929</v>
      </c>
      <c r="D13" s="81">
        <v>3135.62</v>
      </c>
      <c r="E13" s="82">
        <v>3098.842921161307</v>
      </c>
      <c r="G13" s="53">
        <v>18.83694390745195</v>
      </c>
      <c r="H13" s="85">
        <f t="shared" si="0"/>
        <v>1.3610557395375088E-3</v>
      </c>
      <c r="J13" s="26">
        <f t="shared" si="2"/>
        <v>2276793.5442631496</v>
      </c>
      <c r="K13" s="15">
        <f t="shared" si="1"/>
        <v>85.462158478322721</v>
      </c>
      <c r="L13" s="90">
        <f t="shared" si="3"/>
        <v>-1.4303013999197312E-3</v>
      </c>
    </row>
    <row r="14" spans="1:12" x14ac:dyDescent="0.3">
      <c r="A14" s="80">
        <v>40118</v>
      </c>
      <c r="B14" s="81">
        <v>2321.91</v>
      </c>
      <c r="C14" s="81">
        <v>2366.8629297588827</v>
      </c>
      <c r="D14" s="81">
        <v>3110.03</v>
      </c>
      <c r="E14" s="82">
        <v>3143.7464096891686</v>
      </c>
      <c r="G14" s="53">
        <v>19.075259189638409</v>
      </c>
      <c r="H14" s="85">
        <f t="shared" si="0"/>
        <v>1.3782751135629878E-3</v>
      </c>
      <c r="J14" s="26">
        <f t="shared" si="2"/>
        <v>2280928.0808693189</v>
      </c>
      <c r="K14" s="15">
        <f t="shared" si="1"/>
        <v>85.617353236126391</v>
      </c>
      <c r="L14" s="90">
        <f t="shared" si="3"/>
        <v>1.8159470877747719E-3</v>
      </c>
    </row>
    <row r="15" spans="1:12" x14ac:dyDescent="0.3">
      <c r="A15" s="80">
        <v>40148</v>
      </c>
      <c r="B15" s="81">
        <v>3501.62</v>
      </c>
      <c r="C15" s="81">
        <v>2397.5879120153936</v>
      </c>
      <c r="D15" s="81">
        <v>4723.8100000000004</v>
      </c>
      <c r="E15" s="82">
        <v>3221.0163683168803</v>
      </c>
      <c r="G15" s="53">
        <v>19.531014498082708</v>
      </c>
      <c r="H15" s="85">
        <f t="shared" si="0"/>
        <v>1.4112055284662994E-3</v>
      </c>
      <c r="J15" s="26">
        <f t="shared" si="2"/>
        <v>2282457.3057175353</v>
      </c>
      <c r="K15" s="15">
        <f t="shared" si="1"/>
        <v>85.67475451287217</v>
      </c>
      <c r="L15" s="90">
        <f t="shared" si="3"/>
        <v>6.7043974820713004E-4</v>
      </c>
    </row>
    <row r="16" spans="1:12" x14ac:dyDescent="0.3">
      <c r="A16" s="80">
        <v>40179</v>
      </c>
      <c r="B16" s="81">
        <v>2481.36</v>
      </c>
      <c r="C16" s="81">
        <v>2496.8014424833746</v>
      </c>
      <c r="D16" s="81">
        <v>3468.61</v>
      </c>
      <c r="E16" s="82">
        <v>3289.2635369052782</v>
      </c>
      <c r="G16" s="53">
        <v>19.946110226925271</v>
      </c>
      <c r="H16" s="85">
        <f t="shared" si="0"/>
        <v>1.4411981019418285E-3</v>
      </c>
      <c r="J16" s="26">
        <f t="shared" si="2"/>
        <v>2282311.8712642072</v>
      </c>
      <c r="K16" s="15">
        <f t="shared" si="1"/>
        <v>85.669295457381679</v>
      </c>
      <c r="L16" s="90">
        <f t="shared" si="3"/>
        <v>-6.3718367464660197E-5</v>
      </c>
    </row>
    <row r="17" spans="1:12" x14ac:dyDescent="0.3">
      <c r="A17" s="80">
        <v>40210</v>
      </c>
      <c r="B17" s="81">
        <v>2474.04</v>
      </c>
      <c r="C17" s="81">
        <v>2569.1042144400521</v>
      </c>
      <c r="D17" s="81">
        <v>3376.54</v>
      </c>
      <c r="E17" s="82">
        <v>3377.723791837207</v>
      </c>
      <c r="G17" s="53">
        <v>20.626835196304331</v>
      </c>
      <c r="H17" s="85">
        <f t="shared" si="0"/>
        <v>1.4903836084216423E-3</v>
      </c>
      <c r="J17" s="26">
        <f t="shared" si="2"/>
        <v>2266345.2367235241</v>
      </c>
      <c r="K17" s="15">
        <f t="shared" si="1"/>
        <v>85.06996880568785</v>
      </c>
      <c r="L17" s="90">
        <f t="shared" si="3"/>
        <v>-6.9958162780965338E-3</v>
      </c>
    </row>
    <row r="18" spans="1:12" x14ac:dyDescent="0.3">
      <c r="A18" s="80">
        <v>40238</v>
      </c>
      <c r="B18" s="81">
        <v>2534.38</v>
      </c>
      <c r="C18" s="81">
        <v>2602.6099833818716</v>
      </c>
      <c r="D18" s="81">
        <v>3578.79</v>
      </c>
      <c r="E18" s="82">
        <v>3432.5788450844479</v>
      </c>
      <c r="G18" s="53">
        <v>21.16889146165073</v>
      </c>
      <c r="H18" s="85">
        <f t="shared" si="0"/>
        <v>1.529549663952026E-3</v>
      </c>
      <c r="J18" s="26">
        <f t="shared" si="2"/>
        <v>2244176.1297344249</v>
      </c>
      <c r="K18" s="15">
        <f t="shared" si="1"/>
        <v>84.23782496041072</v>
      </c>
      <c r="L18" s="90">
        <f t="shared" si="3"/>
        <v>-9.7818755191725337E-3</v>
      </c>
    </row>
    <row r="19" spans="1:12" x14ac:dyDescent="0.3">
      <c r="A19" s="80">
        <v>40269</v>
      </c>
      <c r="B19" s="81">
        <v>2557.3000000000002</v>
      </c>
      <c r="C19" s="81">
        <v>2615.0234592543461</v>
      </c>
      <c r="D19" s="81">
        <v>3546.73</v>
      </c>
      <c r="E19" s="82">
        <v>3493.5472432111555</v>
      </c>
      <c r="G19" s="53">
        <v>21.586477163411061</v>
      </c>
      <c r="H19" s="85">
        <f t="shared" si="0"/>
        <v>1.5597221494105006E-3</v>
      </c>
      <c r="J19" s="26">
        <f t="shared" si="2"/>
        <v>2239852.2996750074</v>
      </c>
      <c r="K19" s="15">
        <f t="shared" si="1"/>
        <v>84.075524847296663</v>
      </c>
      <c r="L19" s="90">
        <f t="shared" si="3"/>
        <v>-1.9266892656635282E-3</v>
      </c>
    </row>
    <row r="20" spans="1:12" x14ac:dyDescent="0.3">
      <c r="A20" s="80">
        <v>40299</v>
      </c>
      <c r="B20" s="81">
        <v>2635.36</v>
      </c>
      <c r="C20" s="81">
        <v>2639.9549955034377</v>
      </c>
      <c r="D20" s="81">
        <v>3575.29</v>
      </c>
      <c r="E20" s="82">
        <v>3551.081285664362</v>
      </c>
      <c r="G20" s="53">
        <v>21.916166035481901</v>
      </c>
      <c r="H20" s="85">
        <f t="shared" si="0"/>
        <v>1.5835436851011253E-3</v>
      </c>
      <c r="J20" s="26">
        <f t="shared" si="2"/>
        <v>2242490.2571838992</v>
      </c>
      <c r="K20" s="15">
        <f t="shared" si="1"/>
        <v>84.174543725513388</v>
      </c>
      <c r="L20" s="90">
        <f t="shared" si="3"/>
        <v>1.1777372594052871E-3</v>
      </c>
    </row>
    <row r="21" spans="1:12" x14ac:dyDescent="0.3">
      <c r="A21" s="80">
        <v>40330</v>
      </c>
      <c r="B21" s="81">
        <v>4200</v>
      </c>
      <c r="C21" s="81">
        <v>2888.3319864143218</v>
      </c>
      <c r="D21" s="81">
        <v>5323</v>
      </c>
      <c r="E21" s="82">
        <v>3666.2199814447144</v>
      </c>
      <c r="G21" s="53">
        <v>22.183205429109989</v>
      </c>
      <c r="H21" s="85">
        <f t="shared" si="0"/>
        <v>1.6028385081449175E-3</v>
      </c>
      <c r="J21" s="26">
        <f t="shared" si="2"/>
        <v>2287329.6110709864</v>
      </c>
      <c r="K21" s="15">
        <f t="shared" si="1"/>
        <v>85.85764229965487</v>
      </c>
      <c r="L21" s="90">
        <f t="shared" si="3"/>
        <v>1.9995339441695625E-2</v>
      </c>
    </row>
    <row r="22" spans="1:12" x14ac:dyDescent="0.3">
      <c r="A22" s="80">
        <v>40360</v>
      </c>
      <c r="B22" s="81">
        <v>2897.92</v>
      </c>
      <c r="C22" s="81">
        <v>2857.2154720933404</v>
      </c>
      <c r="D22" s="81">
        <v>3796.59</v>
      </c>
      <c r="E22" s="82">
        <v>3750.3726745683507</v>
      </c>
      <c r="G22" s="53">
        <v>22.483861812354949</v>
      </c>
      <c r="H22" s="85">
        <f t="shared" si="0"/>
        <v>1.6245623131344443E-3</v>
      </c>
      <c r="J22" s="26">
        <f t="shared" si="2"/>
        <v>2308543.4422840634</v>
      </c>
      <c r="K22" s="15">
        <f t="shared" si="1"/>
        <v>86.653928730470071</v>
      </c>
      <c r="L22" s="90">
        <f t="shared" si="3"/>
        <v>9.2744968238942516E-3</v>
      </c>
    </row>
    <row r="23" spans="1:12" x14ac:dyDescent="0.3">
      <c r="A23" s="80">
        <v>40391</v>
      </c>
      <c r="B23" s="81">
        <v>2943.55</v>
      </c>
      <c r="C23" s="81">
        <v>2943.8087360664053</v>
      </c>
      <c r="D23" s="81">
        <v>3875.35</v>
      </c>
      <c r="E23" s="82">
        <v>3851.3073064254195</v>
      </c>
      <c r="G23" s="53">
        <v>22.778391081835121</v>
      </c>
      <c r="H23" s="85">
        <f t="shared" si="0"/>
        <v>1.6458434060047794E-3</v>
      </c>
      <c r="J23" s="26">
        <f t="shared" si="2"/>
        <v>2340020.497924719</v>
      </c>
      <c r="K23" s="15">
        <f t="shared" si="1"/>
        <v>87.835457518783329</v>
      </c>
      <c r="L23" s="90">
        <f t="shared" si="3"/>
        <v>1.3635028505035285E-2</v>
      </c>
    </row>
    <row r="24" spans="1:12" x14ac:dyDescent="0.3">
      <c r="A24" s="80">
        <v>40422</v>
      </c>
      <c r="B24" s="81">
        <v>3064.54</v>
      </c>
      <c r="C24" s="81">
        <v>3029.3478494290234</v>
      </c>
      <c r="D24" s="81">
        <v>4013.63</v>
      </c>
      <c r="E24" s="82">
        <v>3946.3683271050263</v>
      </c>
      <c r="G24" s="53">
        <v>23.035885689362338</v>
      </c>
      <c r="H24" s="85">
        <f t="shared" si="0"/>
        <v>1.664448574401349E-3</v>
      </c>
      <c r="J24" s="26">
        <f t="shared" si="2"/>
        <v>2370976.4229420028</v>
      </c>
      <c r="K24" s="15">
        <f t="shared" si="1"/>
        <v>88.99742504822234</v>
      </c>
      <c r="L24" s="90">
        <f t="shared" si="3"/>
        <v>1.3228911902582574E-2</v>
      </c>
    </row>
    <row r="25" spans="1:12" x14ac:dyDescent="0.3">
      <c r="A25" s="80">
        <v>40452</v>
      </c>
      <c r="B25" s="81">
        <v>3086.84</v>
      </c>
      <c r="C25" s="81">
        <v>3099.050028554308</v>
      </c>
      <c r="D25" s="81">
        <v>4055.92</v>
      </c>
      <c r="E25" s="82">
        <v>4031.4520247560608</v>
      </c>
      <c r="G25" s="53">
        <v>23.626774264195952</v>
      </c>
      <c r="H25" s="85">
        <f t="shared" si="0"/>
        <v>1.707142988641563E-3</v>
      </c>
      <c r="J25" s="26">
        <f t="shared" si="2"/>
        <v>2361519.8325970555</v>
      </c>
      <c r="K25" s="15">
        <f t="shared" si="1"/>
        <v>88.642460662118552</v>
      </c>
      <c r="L25" s="90">
        <f t="shared" si="3"/>
        <v>-3.9884792836586414E-3</v>
      </c>
    </row>
    <row r="26" spans="1:12" x14ac:dyDescent="0.3">
      <c r="A26" s="80">
        <v>40483</v>
      </c>
      <c r="B26" s="81">
        <v>3123.44</v>
      </c>
      <c r="C26" s="81">
        <v>3145.6282452674577</v>
      </c>
      <c r="D26" s="81">
        <v>4099.6899999999996</v>
      </c>
      <c r="E26" s="82">
        <v>4124.0061650566295</v>
      </c>
      <c r="G26" s="53">
        <v>24.161044256556909</v>
      </c>
      <c r="H26" s="85">
        <f t="shared" si="0"/>
        <v>1.7457464501764179E-3</v>
      </c>
      <c r="J26" s="26">
        <f t="shared" si="2"/>
        <v>2362316.798433057</v>
      </c>
      <c r="K26" s="15">
        <f t="shared" si="1"/>
        <v>88.672375724355874</v>
      </c>
      <c r="L26" s="90">
        <f t="shared" si="3"/>
        <v>3.374800520412613E-4</v>
      </c>
    </row>
    <row r="27" spans="1:12" x14ac:dyDescent="0.3">
      <c r="A27" s="80">
        <v>40513</v>
      </c>
      <c r="B27" s="81">
        <v>4766.2299999999996</v>
      </c>
      <c r="C27" s="81">
        <v>3263.9204700483133</v>
      </c>
      <c r="D27" s="81">
        <v>6166.26</v>
      </c>
      <c r="E27" s="82">
        <v>4208.2905239165075</v>
      </c>
      <c r="G27" s="53">
        <v>24.62370029535769</v>
      </c>
      <c r="H27" s="85">
        <f t="shared" si="0"/>
        <v>1.7791754745518837E-3</v>
      </c>
      <c r="J27" s="26">
        <f t="shared" si="2"/>
        <v>2365303.8073585397</v>
      </c>
      <c r="K27" s="15">
        <f t="shared" si="1"/>
        <v>88.784496663388296</v>
      </c>
      <c r="L27" s="90">
        <f t="shared" si="3"/>
        <v>1.2644404541608534E-3</v>
      </c>
    </row>
    <row r="28" spans="1:12" x14ac:dyDescent="0.3">
      <c r="A28" s="80">
        <v>40544</v>
      </c>
      <c r="B28" s="81">
        <v>3330.81</v>
      </c>
      <c r="C28" s="81">
        <v>3362.9166821681029</v>
      </c>
      <c r="D28" s="81">
        <v>4608.6899999999996</v>
      </c>
      <c r="E28" s="82">
        <v>4370.7117927477893</v>
      </c>
      <c r="G28" s="53">
        <v>25.000321375065901</v>
      </c>
      <c r="H28" s="85">
        <f t="shared" si="0"/>
        <v>1.8063880778640849E-3</v>
      </c>
      <c r="J28" s="26">
        <f t="shared" si="2"/>
        <v>2419586.2706953981</v>
      </c>
      <c r="K28" s="15">
        <f t="shared" si="1"/>
        <v>90.822053602170698</v>
      </c>
      <c r="L28" s="90">
        <f t="shared" si="3"/>
        <v>2.2949467703888171E-2</v>
      </c>
    </row>
    <row r="29" spans="1:12" x14ac:dyDescent="0.3">
      <c r="A29" s="80">
        <v>40575</v>
      </c>
      <c r="B29" s="81">
        <v>3281.56</v>
      </c>
      <c r="C29" s="81">
        <v>3415.5852868010079</v>
      </c>
      <c r="D29" s="81">
        <v>4365.13</v>
      </c>
      <c r="E29" s="82">
        <v>4376.9253349898599</v>
      </c>
      <c r="G29" s="53">
        <v>25.361406356277719</v>
      </c>
      <c r="H29" s="85">
        <f t="shared" si="0"/>
        <v>1.8324781266827106E-3</v>
      </c>
      <c r="J29" s="26">
        <f t="shared" si="2"/>
        <v>2388528.010925456</v>
      </c>
      <c r="K29" s="15">
        <f t="shared" si="1"/>
        <v>89.656244815859012</v>
      </c>
      <c r="L29" s="90">
        <f t="shared" si="3"/>
        <v>-1.2836186147235806E-2</v>
      </c>
    </row>
    <row r="30" spans="1:12" x14ac:dyDescent="0.3">
      <c r="A30" s="80">
        <v>40603</v>
      </c>
      <c r="B30" s="81">
        <v>3418.64</v>
      </c>
      <c r="C30" s="81">
        <v>3515.1899431947295</v>
      </c>
      <c r="D30" s="81">
        <v>4757.17</v>
      </c>
      <c r="E30" s="82">
        <v>4554.9660444164483</v>
      </c>
      <c r="G30" s="53">
        <v>25.947389054012881</v>
      </c>
      <c r="H30" s="85">
        <f t="shared" si="0"/>
        <v>1.8748180687635809E-3</v>
      </c>
      <c r="J30" s="26">
        <f t="shared" si="2"/>
        <v>2429550.9630011148</v>
      </c>
      <c r="K30" s="15">
        <f t="shared" si="1"/>
        <v>91.196090200774321</v>
      </c>
      <c r="L30" s="90">
        <f t="shared" si="3"/>
        <v>1.7174993086961576E-2</v>
      </c>
    </row>
    <row r="31" spans="1:12" x14ac:dyDescent="0.3">
      <c r="A31" s="80">
        <v>40634</v>
      </c>
      <c r="B31" s="81">
        <v>3427.54</v>
      </c>
      <c r="C31" s="81">
        <v>3506.9401290531341</v>
      </c>
      <c r="D31" s="81">
        <v>4633.46</v>
      </c>
      <c r="E31" s="82">
        <v>4576.0053244754799</v>
      </c>
      <c r="G31" s="53">
        <v>26.502568075124429</v>
      </c>
      <c r="H31" s="85">
        <f t="shared" si="0"/>
        <v>1.9149323036876313E-3</v>
      </c>
      <c r="J31" s="26">
        <f t="shared" si="2"/>
        <v>2389643.3913947539</v>
      </c>
      <c r="K31" s="15">
        <f t="shared" si="1"/>
        <v>89.698111950747432</v>
      </c>
      <c r="L31" s="90">
        <f t="shared" si="3"/>
        <v>-1.6425904298407845E-2</v>
      </c>
    </row>
    <row r="32" spans="1:12" x14ac:dyDescent="0.3">
      <c r="A32" s="80">
        <v>40664</v>
      </c>
      <c r="B32" s="81">
        <v>3601.48</v>
      </c>
      <c r="C32" s="81">
        <v>3589.0421524069347</v>
      </c>
      <c r="D32" s="81">
        <v>4862.1499999999996</v>
      </c>
      <c r="E32" s="82">
        <v>4797.4853089512171</v>
      </c>
      <c r="G32" s="53">
        <v>26.91114368570123</v>
      </c>
      <c r="H32" s="85">
        <f t="shared" si="0"/>
        <v>1.9444537686632E-3</v>
      </c>
      <c r="J32" s="26">
        <f t="shared" si="2"/>
        <v>2467266.3275761288</v>
      </c>
      <c r="K32" s="15">
        <f t="shared" si="1"/>
        <v>92.611781347869837</v>
      </c>
      <c r="L32" s="90">
        <f t="shared" si="3"/>
        <v>3.2483062728480672E-2</v>
      </c>
    </row>
    <row r="33" spans="1:12" x14ac:dyDescent="0.3">
      <c r="A33" s="80">
        <v>40695</v>
      </c>
      <c r="B33" s="81">
        <v>5527.12</v>
      </c>
      <c r="C33" s="81">
        <v>3808.6454417208001</v>
      </c>
      <c r="D33" s="81">
        <v>7042.69</v>
      </c>
      <c r="E33" s="82">
        <v>4851.1058908457235</v>
      </c>
      <c r="G33" s="53">
        <v>27.27344942579666</v>
      </c>
      <c r="H33" s="85">
        <f t="shared" si="0"/>
        <v>1.9706320229196769E-3</v>
      </c>
      <c r="J33" s="26">
        <f t="shared" si="2"/>
        <v>2461700.5277618258</v>
      </c>
      <c r="K33" s="15">
        <f t="shared" si="1"/>
        <v>92.40286242020197</v>
      </c>
      <c r="L33" s="90">
        <f t="shared" si="3"/>
        <v>-2.2558569182804522E-3</v>
      </c>
    </row>
    <row r="34" spans="1:12" x14ac:dyDescent="0.3">
      <c r="A34" s="80">
        <v>40725</v>
      </c>
      <c r="B34" s="81">
        <v>3913.73</v>
      </c>
      <c r="C34" s="81">
        <v>3874.5248552671374</v>
      </c>
      <c r="D34" s="81">
        <v>5019.54</v>
      </c>
      <c r="E34" s="82">
        <v>4957.6472727656546</v>
      </c>
      <c r="G34" s="53">
        <v>27.80500533549273</v>
      </c>
      <c r="H34" s="85">
        <f t="shared" si="0"/>
        <v>2.009039379512734E-3</v>
      </c>
      <c r="J34" s="26">
        <f t="shared" si="2"/>
        <v>2467670.5311610498</v>
      </c>
      <c r="K34" s="15">
        <f t="shared" si="1"/>
        <v>92.626953611037521</v>
      </c>
      <c r="L34" s="90">
        <f t="shared" si="3"/>
        <v>2.4251542102287083E-3</v>
      </c>
    </row>
    <row r="35" spans="1:12" x14ac:dyDescent="0.3">
      <c r="A35" s="80">
        <v>40756</v>
      </c>
      <c r="B35" s="81">
        <v>3972.79</v>
      </c>
      <c r="C35" s="81">
        <v>3951.7367995381815</v>
      </c>
      <c r="D35" s="81">
        <v>5114.96</v>
      </c>
      <c r="E35" s="82">
        <v>5078.2189232906403</v>
      </c>
      <c r="G35" s="53">
        <v>28.335707211506978</v>
      </c>
      <c r="H35" s="85">
        <f t="shared" si="0"/>
        <v>2.047385028248608E-3</v>
      </c>
      <c r="J35" s="26">
        <f t="shared" si="2"/>
        <v>2480343.8792529879</v>
      </c>
      <c r="K35" s="15">
        <f t="shared" si="1"/>
        <v>93.102662831934254</v>
      </c>
      <c r="L35" s="90">
        <f t="shared" si="3"/>
        <v>5.1357537126219821E-3</v>
      </c>
    </row>
    <row r="36" spans="1:12" x14ac:dyDescent="0.3">
      <c r="A36" s="80">
        <v>40787</v>
      </c>
      <c r="B36" s="81">
        <v>4176.76</v>
      </c>
      <c r="C36" s="81">
        <v>4130.5521071068197</v>
      </c>
      <c r="D36" s="81">
        <v>5277.16</v>
      </c>
      <c r="E36" s="82">
        <v>5206.0806071919742</v>
      </c>
      <c r="G36" s="53">
        <v>28.852599877528711</v>
      </c>
      <c r="H36" s="85">
        <f t="shared" si="0"/>
        <v>2.0847328981191239E-3</v>
      </c>
      <c r="J36" s="26">
        <f t="shared" si="2"/>
        <v>2497241.0671357349</v>
      </c>
      <c r="K36" s="15">
        <f t="shared" si="1"/>
        <v>93.736918912074657</v>
      </c>
      <c r="L36" s="90">
        <f t="shared" si="3"/>
        <v>6.8124375914504487E-3</v>
      </c>
    </row>
    <row r="37" spans="1:12" x14ac:dyDescent="0.3">
      <c r="A37" s="80">
        <v>40817</v>
      </c>
      <c r="B37" s="81">
        <v>4189.9799999999996</v>
      </c>
      <c r="C37" s="81">
        <v>4228.0628555598259</v>
      </c>
      <c r="D37" s="81">
        <v>5332.89</v>
      </c>
      <c r="E37" s="82">
        <v>5317.7748823743441</v>
      </c>
      <c r="G37" s="53">
        <v>29.143999439474271</v>
      </c>
      <c r="H37" s="85">
        <f t="shared" si="0"/>
        <v>2.1057878552413257E-3</v>
      </c>
      <c r="J37" s="26">
        <f t="shared" si="2"/>
        <v>2525313.6820683777</v>
      </c>
      <c r="K37" s="15">
        <f t="shared" si="1"/>
        <v>94.790657962029186</v>
      </c>
      <c r="L37" s="90">
        <f t="shared" si="3"/>
        <v>1.1241451737313168E-2</v>
      </c>
    </row>
    <row r="38" spans="1:12" x14ac:dyDescent="0.3">
      <c r="A38" s="80">
        <v>40848</v>
      </c>
      <c r="B38" s="81">
        <v>4259.99</v>
      </c>
      <c r="C38" s="81">
        <v>4271.5801606946279</v>
      </c>
      <c r="D38" s="81">
        <v>5402.56</v>
      </c>
      <c r="E38" s="82">
        <v>5421.158578103079</v>
      </c>
      <c r="G38" s="53">
        <v>29.652326559764969</v>
      </c>
      <c r="H38" s="85">
        <f t="shared" si="0"/>
        <v>2.1425168250802456E-3</v>
      </c>
      <c r="J38" s="26">
        <f t="shared" si="2"/>
        <v>2530275.8487789403</v>
      </c>
      <c r="K38" s="15">
        <f t="shared" si="1"/>
        <v>94.976918801920675</v>
      </c>
      <c r="L38" s="90">
        <f t="shared" si="3"/>
        <v>1.9649704295341408E-3</v>
      </c>
    </row>
    <row r="39" spans="1:12" x14ac:dyDescent="0.3">
      <c r="A39" s="80">
        <v>40878</v>
      </c>
      <c r="B39" s="81">
        <v>6480.21</v>
      </c>
      <c r="C39" s="81">
        <v>4427.5922791136181</v>
      </c>
      <c r="D39" s="81">
        <v>8130.47</v>
      </c>
      <c r="E39" s="82">
        <v>5564.3271768855257</v>
      </c>
      <c r="G39" s="53">
        <v>30.18740969860227</v>
      </c>
      <c r="H39" s="85">
        <f t="shared" si="0"/>
        <v>2.1811790401838403E-3</v>
      </c>
      <c r="J39" s="26">
        <f t="shared" si="2"/>
        <v>2551063.9311922495</v>
      </c>
      <c r="K39" s="15">
        <f t="shared" si="1"/>
        <v>95.757224244257841</v>
      </c>
      <c r="L39" s="90">
        <f t="shared" si="3"/>
        <v>8.215737593725736E-3</v>
      </c>
    </row>
    <row r="40" spans="1:12" x14ac:dyDescent="0.3">
      <c r="A40" s="80">
        <v>40909</v>
      </c>
      <c r="B40" s="81">
        <v>4513.45</v>
      </c>
      <c r="C40" s="81">
        <v>4556.3557898540867</v>
      </c>
      <c r="D40" s="81">
        <v>6028.03</v>
      </c>
      <c r="E40" s="82">
        <v>5701.8199410951129</v>
      </c>
      <c r="G40" s="53">
        <v>30.590855818037831</v>
      </c>
      <c r="H40" s="85">
        <f t="shared" si="0"/>
        <v>2.2103298758581278E-3</v>
      </c>
      <c r="J40" s="26">
        <f t="shared" si="2"/>
        <v>2579623.9753043493</v>
      </c>
      <c r="K40" s="15">
        <f t="shared" si="1"/>
        <v>96.829259529234051</v>
      </c>
      <c r="L40" s="90">
        <f t="shared" si="3"/>
        <v>1.1195346287833807E-2</v>
      </c>
    </row>
    <row r="41" spans="1:12" x14ac:dyDescent="0.3">
      <c r="A41" s="80">
        <v>40940</v>
      </c>
      <c r="B41" s="81">
        <v>4483.49</v>
      </c>
      <c r="C41" s="81">
        <v>4512.3009044588862</v>
      </c>
      <c r="D41" s="81">
        <v>5824.77</v>
      </c>
      <c r="E41" s="82">
        <v>5642.4512632935312</v>
      </c>
      <c r="G41" s="53">
        <v>30.950367545001289</v>
      </c>
      <c r="H41" s="85">
        <f t="shared" si="0"/>
        <v>2.2363062498293369E-3</v>
      </c>
      <c r="J41" s="26">
        <f t="shared" si="2"/>
        <v>2523112.0575386905</v>
      </c>
      <c r="K41" s="15">
        <f t="shared" si="1"/>
        <v>94.708017362076689</v>
      </c>
      <c r="L41" s="90">
        <f t="shared" si="3"/>
        <v>-2.190703695835805E-2</v>
      </c>
    </row>
    <row r="42" spans="1:12" x14ac:dyDescent="0.3">
      <c r="A42" s="80">
        <v>40969</v>
      </c>
      <c r="B42" s="81">
        <v>4540.95</v>
      </c>
      <c r="C42" s="81">
        <v>4691.8488430218176</v>
      </c>
      <c r="D42" s="81">
        <v>6145.19</v>
      </c>
      <c r="E42" s="82">
        <v>5900.4329604061859</v>
      </c>
      <c r="G42" s="53">
        <v>31.812229254262189</v>
      </c>
      <c r="H42" s="85">
        <f t="shared" si="0"/>
        <v>2.2985797179587977E-3</v>
      </c>
      <c r="J42" s="26">
        <f t="shared" si="2"/>
        <v>2566990.7875311514</v>
      </c>
      <c r="K42" s="15">
        <f t="shared" si="1"/>
        <v>96.355057773752151</v>
      </c>
      <c r="L42" s="90">
        <f t="shared" si="3"/>
        <v>1.7390717887997731E-2</v>
      </c>
    </row>
    <row r="43" spans="1:12" x14ac:dyDescent="0.3">
      <c r="A43" s="80">
        <v>41000</v>
      </c>
      <c r="B43" s="81">
        <v>4682.46</v>
      </c>
      <c r="C43" s="81">
        <v>4824.9400330638673</v>
      </c>
      <c r="D43" s="81">
        <v>6087.02</v>
      </c>
      <c r="E43" s="82">
        <v>6002.8133368632471</v>
      </c>
      <c r="G43" s="53">
        <v>32.664293472911709</v>
      </c>
      <c r="H43" s="85">
        <f t="shared" si="0"/>
        <v>2.3601452723791562E-3</v>
      </c>
      <c r="J43" s="26">
        <f t="shared" si="2"/>
        <v>2543408.4109628052</v>
      </c>
      <c r="K43" s="15">
        <f t="shared" si="1"/>
        <v>95.469865170910452</v>
      </c>
      <c r="L43" s="90">
        <f t="shared" si="3"/>
        <v>-9.1867788084377677E-3</v>
      </c>
    </row>
    <row r="44" spans="1:12" x14ac:dyDescent="0.3">
      <c r="A44" s="80">
        <v>41030</v>
      </c>
      <c r="B44" s="81">
        <v>5049.43</v>
      </c>
      <c r="C44" s="81">
        <v>4985.3124830929255</v>
      </c>
      <c r="D44" s="81">
        <v>6278.22</v>
      </c>
      <c r="E44" s="82">
        <v>6156.078053954694</v>
      </c>
      <c r="G44" s="53">
        <v>33.198403867074603</v>
      </c>
      <c r="H44" s="85">
        <f t="shared" si="0"/>
        <v>2.3987372022109621E-3</v>
      </c>
      <c r="J44" s="26">
        <f t="shared" si="2"/>
        <v>2566382.8652344737</v>
      </c>
      <c r="K44" s="15">
        <f t="shared" si="1"/>
        <v>96.33223868600831</v>
      </c>
      <c r="L44" s="90">
        <f t="shared" si="3"/>
        <v>9.0329394888537529E-3</v>
      </c>
    </row>
    <row r="45" spans="1:12" x14ac:dyDescent="0.3">
      <c r="A45" s="80">
        <v>41061</v>
      </c>
      <c r="B45" s="81">
        <v>7396.13</v>
      </c>
      <c r="C45" s="81">
        <v>5090.4344842153569</v>
      </c>
      <c r="D45" s="81">
        <v>9107.16</v>
      </c>
      <c r="E45" s="82">
        <v>6304.6226043176748</v>
      </c>
      <c r="G45" s="53">
        <v>33.76163620935241</v>
      </c>
      <c r="H45" s="85">
        <f t="shared" si="0"/>
        <v>2.4394333265884997E-3</v>
      </c>
      <c r="J45" s="26">
        <f t="shared" si="2"/>
        <v>2584461.9467975241</v>
      </c>
      <c r="K45" s="15">
        <f t="shared" si="1"/>
        <v>97.010858553662558</v>
      </c>
      <c r="L45" s="90">
        <f t="shared" si="3"/>
        <v>7.0445769444453799E-3</v>
      </c>
    </row>
    <row r="46" spans="1:12" x14ac:dyDescent="0.3">
      <c r="A46" s="80">
        <v>41091</v>
      </c>
      <c r="B46" s="81">
        <v>5301.21</v>
      </c>
      <c r="C46" s="81">
        <v>5218.5864211363833</v>
      </c>
      <c r="D46" s="81">
        <v>6612.18</v>
      </c>
      <c r="E46" s="82">
        <v>6476.5179369199241</v>
      </c>
      <c r="G46" s="53">
        <v>34.620269976278969</v>
      </c>
      <c r="H46" s="85">
        <f t="shared" si="0"/>
        <v>2.5014735610542288E-3</v>
      </c>
      <c r="J46" s="26">
        <f t="shared" si="2"/>
        <v>2589081.1071336847</v>
      </c>
      <c r="K46" s="15">
        <f t="shared" si="1"/>
        <v>97.18424424059954</v>
      </c>
      <c r="L46" s="90">
        <f t="shared" si="3"/>
        <v>1.787281233482485E-3</v>
      </c>
    </row>
    <row r="47" spans="1:12" x14ac:dyDescent="0.3">
      <c r="A47" s="80">
        <v>41122</v>
      </c>
      <c r="B47" s="81">
        <v>5341.93</v>
      </c>
      <c r="C47" s="81">
        <v>5327.4294620713545</v>
      </c>
      <c r="D47" s="81">
        <v>6609.57</v>
      </c>
      <c r="E47" s="82">
        <v>6575.7104268036874</v>
      </c>
      <c r="G47" s="53">
        <v>35.102266335197889</v>
      </c>
      <c r="H47" s="85">
        <f t="shared" si="0"/>
        <v>2.5363000124131061E-3</v>
      </c>
      <c r="J47" s="26">
        <f t="shared" si="2"/>
        <v>2592639.0390020832</v>
      </c>
      <c r="K47" s="15">
        <f t="shared" si="1"/>
        <v>97.317795452547728</v>
      </c>
      <c r="L47" s="90">
        <f t="shared" si="3"/>
        <v>1.3742064157802325E-3</v>
      </c>
    </row>
    <row r="48" spans="1:12" x14ac:dyDescent="0.3">
      <c r="A48" s="80">
        <v>41153</v>
      </c>
      <c r="B48" s="81">
        <v>5358.82</v>
      </c>
      <c r="C48" s="81">
        <v>5354.0877953531053</v>
      </c>
      <c r="D48" s="81">
        <v>6695.82</v>
      </c>
      <c r="E48" s="82">
        <v>6678.483865694895</v>
      </c>
      <c r="G48" s="53">
        <v>35.858246939058589</v>
      </c>
      <c r="H48" s="85">
        <f t="shared" si="0"/>
        <v>2.5909230842297922E-3</v>
      </c>
      <c r="J48" s="26">
        <f t="shared" si="2"/>
        <v>2577646.5177005511</v>
      </c>
      <c r="K48" s="15">
        <f t="shared" si="1"/>
        <v>96.755033301939193</v>
      </c>
      <c r="L48" s="90">
        <f t="shared" si="3"/>
        <v>-5.7827260470870723E-3</v>
      </c>
    </row>
    <row r="49" spans="1:12" x14ac:dyDescent="0.3">
      <c r="A49" s="80">
        <v>41183</v>
      </c>
      <c r="B49" s="81">
        <v>5425.52</v>
      </c>
      <c r="C49" s="81">
        <v>5432.0529697170141</v>
      </c>
      <c r="D49" s="81">
        <v>6858.57</v>
      </c>
      <c r="E49" s="82">
        <v>6809.7628823506429</v>
      </c>
      <c r="G49" s="53">
        <v>36.418171396478769</v>
      </c>
      <c r="H49" s="85">
        <f t="shared" si="0"/>
        <v>2.631380198729012E-3</v>
      </c>
      <c r="J49" s="26">
        <f t="shared" si="2"/>
        <v>2587905.345506453</v>
      </c>
      <c r="K49" s="15">
        <f t="shared" si="1"/>
        <v>97.140110627004049</v>
      </c>
      <c r="L49" s="90">
        <f t="shared" si="3"/>
        <v>3.9799203403008132E-3</v>
      </c>
    </row>
    <row r="50" spans="1:12" x14ac:dyDescent="0.3">
      <c r="A50" s="80">
        <v>41214</v>
      </c>
      <c r="B50" s="81">
        <v>5694.83</v>
      </c>
      <c r="C50" s="81">
        <v>5702.6871731346973</v>
      </c>
      <c r="D50" s="81">
        <v>7006.19</v>
      </c>
      <c r="E50" s="82">
        <v>7005.2303538709493</v>
      </c>
      <c r="G50" s="53">
        <v>36.92064868567811</v>
      </c>
      <c r="H50" s="85">
        <f t="shared" si="0"/>
        <v>2.6676864913958102E-3</v>
      </c>
      <c r="J50" s="26">
        <f t="shared" si="2"/>
        <v>2625957.1266958029</v>
      </c>
      <c r="K50" s="15">
        <f t="shared" si="1"/>
        <v>98.568429572558315</v>
      </c>
      <c r="L50" s="90">
        <f t="shared" si="3"/>
        <v>1.4703698980112145E-2</v>
      </c>
    </row>
    <row r="51" spans="1:12" x14ac:dyDescent="0.3">
      <c r="A51" s="80">
        <v>41244</v>
      </c>
      <c r="B51" s="81">
        <v>8454.58</v>
      </c>
      <c r="C51" s="81">
        <v>5826.5702765835113</v>
      </c>
      <c r="D51" s="81">
        <v>10426.35</v>
      </c>
      <c r="E51" s="82">
        <v>7156.5405875521219</v>
      </c>
      <c r="G51" s="53">
        <v>37.364275381768962</v>
      </c>
      <c r="H51" s="85">
        <f t="shared" si="0"/>
        <v>2.6997405583343253E-3</v>
      </c>
      <c r="J51" s="26">
        <f t="shared" si="2"/>
        <v>2650825.3044757508</v>
      </c>
      <c r="K51" s="15">
        <f t="shared" si="1"/>
        <v>99.50188625590674</v>
      </c>
      <c r="L51" s="90">
        <f t="shared" si="3"/>
        <v>9.4701385362063739E-3</v>
      </c>
    </row>
    <row r="52" spans="1:12" x14ac:dyDescent="0.3">
      <c r="A52" s="80">
        <v>41275</v>
      </c>
      <c r="B52" s="81">
        <v>5890.8</v>
      </c>
      <c r="C52" s="81">
        <v>5920.7211870821729</v>
      </c>
      <c r="D52" s="81">
        <v>7722.74</v>
      </c>
      <c r="E52" s="82">
        <v>7293.6988818099626</v>
      </c>
      <c r="G52" s="53">
        <v>38.076741999493187</v>
      </c>
      <c r="H52" s="85">
        <f t="shared" si="0"/>
        <v>2.7512195447371469E-3</v>
      </c>
      <c r="J52" s="26">
        <f t="shared" si="2"/>
        <v>2651078.4629173628</v>
      </c>
      <c r="K52" s="15">
        <f t="shared" si="1"/>
        <v>99.511388859650367</v>
      </c>
      <c r="L52" s="90">
        <f t="shared" si="3"/>
        <v>9.5501744752590767E-5</v>
      </c>
    </row>
    <row r="53" spans="1:12" x14ac:dyDescent="0.3">
      <c r="A53" s="80">
        <v>41306</v>
      </c>
      <c r="B53" s="81">
        <v>5818.99</v>
      </c>
      <c r="C53" s="81">
        <v>6072.6571762662707</v>
      </c>
      <c r="D53" s="81">
        <v>7426.73</v>
      </c>
      <c r="E53" s="82">
        <v>7451.9851456523875</v>
      </c>
      <c r="G53" s="53">
        <v>38.860238040416263</v>
      </c>
      <c r="H53" s="85">
        <f t="shared" si="0"/>
        <v>2.8078307332952547E-3</v>
      </c>
      <c r="J53" s="26">
        <f t="shared" si="2"/>
        <v>2654000.8474466619</v>
      </c>
      <c r="K53" s="15">
        <f t="shared" si="1"/>
        <v>99.621084044972235</v>
      </c>
      <c r="L53" s="90">
        <f t="shared" si="3"/>
        <v>1.1023379994883342E-3</v>
      </c>
    </row>
    <row r="54" spans="1:12" x14ac:dyDescent="0.3">
      <c r="A54" s="80">
        <v>41334</v>
      </c>
      <c r="B54" s="81">
        <v>5869.75</v>
      </c>
      <c r="C54" s="81">
        <v>6128.7083920979203</v>
      </c>
      <c r="D54" s="81">
        <v>7840.12</v>
      </c>
      <c r="E54" s="82">
        <v>7558.5430946197494</v>
      </c>
      <c r="G54" s="53">
        <v>39.68551397371683</v>
      </c>
      <c r="H54" s="85">
        <f t="shared" si="0"/>
        <v>2.8674607110262258E-3</v>
      </c>
      <c r="J54" s="26">
        <f t="shared" si="2"/>
        <v>2635970.9360811603</v>
      </c>
      <c r="K54" s="15">
        <f t="shared" si="1"/>
        <v>98.944309839269138</v>
      </c>
      <c r="L54" s="90">
        <f t="shared" si="3"/>
        <v>-6.7934836504847107E-3</v>
      </c>
    </row>
    <row r="55" spans="1:12" x14ac:dyDescent="0.3">
      <c r="A55" s="80">
        <v>41365</v>
      </c>
      <c r="B55" s="81">
        <v>5983</v>
      </c>
      <c r="C55" s="81">
        <v>6072.8334141371424</v>
      </c>
      <c r="D55" s="81">
        <v>7730.75</v>
      </c>
      <c r="E55" s="82">
        <v>7583.2231999255946</v>
      </c>
      <c r="G55" s="53">
        <v>40.216249424936898</v>
      </c>
      <c r="H55" s="85">
        <f t="shared" si="0"/>
        <v>2.9058087857249744E-3</v>
      </c>
      <c r="J55" s="26">
        <f t="shared" si="2"/>
        <v>2609677.290941787</v>
      </c>
      <c r="K55" s="15">
        <f t="shared" si="1"/>
        <v>97.957346540143504</v>
      </c>
      <c r="L55" s="90">
        <f t="shared" si="3"/>
        <v>-9.9749374241825395E-3</v>
      </c>
    </row>
    <row r="56" spans="1:12" x14ac:dyDescent="0.3">
      <c r="A56" s="80">
        <v>41395</v>
      </c>
      <c r="B56" s="81">
        <v>6500</v>
      </c>
      <c r="C56" s="81">
        <v>6417.5263851896589</v>
      </c>
      <c r="D56" s="81">
        <v>8037.64</v>
      </c>
      <c r="E56" s="82">
        <v>7874.6658357921515</v>
      </c>
      <c r="G56" s="53">
        <v>40.908812475136322</v>
      </c>
      <c r="H56" s="85">
        <f t="shared" si="0"/>
        <v>2.9558496479315361E-3</v>
      </c>
      <c r="J56" s="26">
        <f t="shared" si="2"/>
        <v>2664095.5304687899</v>
      </c>
      <c r="K56" s="15">
        <f t="shared" si="1"/>
        <v>100</v>
      </c>
      <c r="L56" s="90">
        <f t="shared" si="3"/>
        <v>2.0852478471529379E-2</v>
      </c>
    </row>
    <row r="57" spans="1:12" x14ac:dyDescent="0.3">
      <c r="A57" s="80">
        <v>41426</v>
      </c>
      <c r="B57" s="81">
        <v>9360.43</v>
      </c>
      <c r="C57" s="81">
        <v>6499.6295832395444</v>
      </c>
      <c r="D57" s="81">
        <v>11545.88</v>
      </c>
      <c r="E57" s="82">
        <v>8032.9681712352221</v>
      </c>
      <c r="G57" s="53">
        <v>41.903359010447943</v>
      </c>
      <c r="H57" s="85">
        <f t="shared" si="0"/>
        <v>3.0277102043346116E-3</v>
      </c>
      <c r="J57" s="26">
        <f t="shared" si="2"/>
        <v>2653149.6177325193</v>
      </c>
      <c r="K57" s="15">
        <f t="shared" si="1"/>
        <v>99.589132123413592</v>
      </c>
      <c r="L57" s="90">
        <f t="shared" si="3"/>
        <v>-4.1086787658640711E-3</v>
      </c>
    </row>
    <row r="58" spans="1:12" x14ac:dyDescent="0.3">
      <c r="A58" s="80">
        <v>41456</v>
      </c>
      <c r="B58" s="81">
        <v>6728.92</v>
      </c>
      <c r="C58" s="81">
        <v>6553.7260971970873</v>
      </c>
      <c r="D58" s="81">
        <v>8365.09</v>
      </c>
      <c r="E58" s="82">
        <v>8137.8921436102073</v>
      </c>
      <c r="G58" s="53">
        <v>43.100627823487237</v>
      </c>
      <c r="H58" s="85">
        <f t="shared" si="0"/>
        <v>3.1142183766667349E-3</v>
      </c>
      <c r="J58" s="26">
        <f t="shared" si="2"/>
        <v>2613141.1350544081</v>
      </c>
      <c r="K58" s="15">
        <f t="shared" si="1"/>
        <v>98.08736605607325</v>
      </c>
      <c r="L58" s="90">
        <f t="shared" si="3"/>
        <v>-1.5079617979593563E-2</v>
      </c>
    </row>
    <row r="59" spans="1:12" x14ac:dyDescent="0.3">
      <c r="A59" s="80">
        <v>41487</v>
      </c>
      <c r="B59" s="81">
        <v>6767.94</v>
      </c>
      <c r="C59" s="81">
        <v>6753.7420844540829</v>
      </c>
      <c r="D59" s="81">
        <v>8291.44</v>
      </c>
      <c r="E59" s="82">
        <v>8284.2354901162034</v>
      </c>
      <c r="G59" s="53">
        <v>44.05370437898469</v>
      </c>
      <c r="H59" s="85">
        <f t="shared" si="0"/>
        <v>3.1830825365034734E-3</v>
      </c>
      <c r="J59" s="26">
        <f t="shared" si="2"/>
        <v>2602582.6836448302</v>
      </c>
      <c r="K59" s="15">
        <f t="shared" si="1"/>
        <v>97.691042002043545</v>
      </c>
      <c r="L59" s="90">
        <f t="shared" si="3"/>
        <v>-4.0405209148254295E-3</v>
      </c>
    </row>
    <row r="60" spans="1:12" x14ac:dyDescent="0.3">
      <c r="A60" s="80">
        <v>41518</v>
      </c>
      <c r="B60" s="81">
        <v>6810.9</v>
      </c>
      <c r="C60" s="81">
        <v>6843.7554212384375</v>
      </c>
      <c r="D60" s="81">
        <v>8459.2199999999993</v>
      </c>
      <c r="E60" s="82">
        <v>8434.3384074605528</v>
      </c>
      <c r="G60" s="53">
        <v>44.954764828883583</v>
      </c>
      <c r="H60" s="85">
        <f t="shared" si="0"/>
        <v>3.2481882937340808E-3</v>
      </c>
      <c r="J60" s="26">
        <f t="shared" si="2"/>
        <v>2596628.5340449065</v>
      </c>
      <c r="K60" s="15">
        <f t="shared" si="1"/>
        <v>97.467545902454503</v>
      </c>
      <c r="L60" s="90">
        <f t="shared" si="3"/>
        <v>-2.2877849904023861E-3</v>
      </c>
    </row>
    <row r="61" spans="1:12" x14ac:dyDescent="0.3">
      <c r="A61" s="80">
        <v>41548</v>
      </c>
      <c r="B61" s="81">
        <v>6899.5</v>
      </c>
      <c r="C61" s="81">
        <v>6897.153641266792</v>
      </c>
      <c r="D61" s="81">
        <v>8638.4599999999991</v>
      </c>
      <c r="E61" s="82">
        <v>8585.9438436495184</v>
      </c>
      <c r="G61" s="53">
        <v>46.099172972534468</v>
      </c>
      <c r="H61" s="85">
        <f t="shared" si="0"/>
        <v>3.3308770398460929E-3</v>
      </c>
      <c r="J61" s="26">
        <f t="shared" si="2"/>
        <v>2577682.616601855</v>
      </c>
      <c r="K61" s="15">
        <f t="shared" si="1"/>
        <v>96.756388317211389</v>
      </c>
      <c r="L61" s="90">
        <f t="shared" si="3"/>
        <v>-7.2963526336738971E-3</v>
      </c>
    </row>
    <row r="62" spans="1:12" x14ac:dyDescent="0.3">
      <c r="A62" s="80">
        <v>41579</v>
      </c>
      <c r="B62" s="81">
        <v>7154.93</v>
      </c>
      <c r="C62" s="81">
        <v>7148.9249018461287</v>
      </c>
      <c r="D62" s="81">
        <v>8786.7999999999993</v>
      </c>
      <c r="E62" s="82">
        <v>8797.274245691935</v>
      </c>
      <c r="G62" s="53">
        <v>47.268064516455908</v>
      </c>
      <c r="H62" s="85">
        <f t="shared" si="0"/>
        <v>3.4153348241112865E-3</v>
      </c>
      <c r="J62" s="26">
        <f t="shared" si="2"/>
        <v>2575816.0469613979</v>
      </c>
      <c r="K62" s="15">
        <f t="shared" si="1"/>
        <v>96.686324401743278</v>
      </c>
      <c r="L62" s="90">
        <f t="shared" si="3"/>
        <v>-7.2412702341062563E-4</v>
      </c>
    </row>
    <row r="63" spans="1:12" x14ac:dyDescent="0.3">
      <c r="A63" s="80">
        <v>41609</v>
      </c>
      <c r="B63" s="81">
        <v>10668.4</v>
      </c>
      <c r="C63" s="81">
        <v>7337.4958221978113</v>
      </c>
      <c r="D63" s="81">
        <v>13174.71</v>
      </c>
      <c r="E63" s="82">
        <v>9006.2650442375707</v>
      </c>
      <c r="G63" s="53">
        <v>48.451707515054537</v>
      </c>
      <c r="H63" s="85">
        <f t="shared" si="0"/>
        <v>3.5008584687492438E-3</v>
      </c>
      <c r="J63" s="26">
        <f t="shared" si="2"/>
        <v>2572587.5880538668</v>
      </c>
      <c r="K63" s="15">
        <f t="shared" si="1"/>
        <v>96.565140349947555</v>
      </c>
      <c r="L63" s="90">
        <f t="shared" si="3"/>
        <v>-1.2533732412062237E-3</v>
      </c>
    </row>
    <row r="64" spans="1:12" x14ac:dyDescent="0.3">
      <c r="A64" s="80">
        <v>41640</v>
      </c>
      <c r="B64" s="81">
        <v>7411</v>
      </c>
      <c r="C64" s="81">
        <v>7487.9078034904542</v>
      </c>
      <c r="D64" s="81">
        <v>9713.2000000000007</v>
      </c>
      <c r="E64" s="82">
        <v>9188.0412232824183</v>
      </c>
      <c r="G64" s="53">
        <v>50.825841183292219</v>
      </c>
      <c r="H64" s="85">
        <f t="shared" si="0"/>
        <v>3.6724005337179576E-3</v>
      </c>
      <c r="J64" s="26">
        <f t="shared" si="2"/>
        <v>2501916.9719977132</v>
      </c>
      <c r="K64" s="15">
        <f t="shared" si="1"/>
        <v>93.912434572399178</v>
      </c>
      <c r="L64" s="90">
        <f t="shared" si="3"/>
        <v>-2.7470635551660627E-2</v>
      </c>
    </row>
    <row r="65" spans="1:12" x14ac:dyDescent="0.3">
      <c r="A65" s="80">
        <v>41671</v>
      </c>
      <c r="B65" s="81">
        <v>7380.13</v>
      </c>
      <c r="C65" s="81">
        <v>7695.6171122542082</v>
      </c>
      <c r="D65" s="81">
        <v>9428.09</v>
      </c>
      <c r="E65" s="82">
        <v>9442.4744004342774</v>
      </c>
      <c r="G65" s="53">
        <v>53.570436607189997</v>
      </c>
      <c r="H65" s="85">
        <f t="shared" si="0"/>
        <v>3.8707101625387271E-3</v>
      </c>
      <c r="J65" s="26">
        <f t="shared" si="2"/>
        <v>2439468.2122727404</v>
      </c>
      <c r="K65" s="15">
        <f t="shared" si="1"/>
        <v>91.568345968565069</v>
      </c>
      <c r="L65" s="90">
        <f t="shared" si="3"/>
        <v>-2.4960364562021886E-2</v>
      </c>
    </row>
    <row r="66" spans="1:12" x14ac:dyDescent="0.3">
      <c r="A66" s="80">
        <v>41699</v>
      </c>
      <c r="B66" s="81">
        <v>7579.12</v>
      </c>
      <c r="C66" s="81">
        <v>7945.8486912970284</v>
      </c>
      <c r="D66" s="81">
        <v>10097.4</v>
      </c>
      <c r="E66" s="82">
        <v>9744.2166461552824</v>
      </c>
      <c r="G66" s="53">
        <v>54.909697522369747</v>
      </c>
      <c r="H66" s="85">
        <f t="shared" si="0"/>
        <v>3.9674779166021948E-3</v>
      </c>
      <c r="J66" s="26">
        <f t="shared" si="2"/>
        <v>2456022.9069908396</v>
      </c>
      <c r="K66" s="15">
        <f t="shared" si="1"/>
        <v>92.189746159690571</v>
      </c>
      <c r="L66" s="90">
        <f t="shared" si="3"/>
        <v>6.786189971574208E-3</v>
      </c>
    </row>
    <row r="67" spans="1:12" x14ac:dyDescent="0.3">
      <c r="A67" s="80">
        <v>41730</v>
      </c>
      <c r="B67" s="81">
        <v>8219.33</v>
      </c>
      <c r="C67" s="81">
        <v>8284.8158226721407</v>
      </c>
      <c r="D67" s="81">
        <v>10327.23</v>
      </c>
      <c r="E67" s="82">
        <v>10103.971397536776</v>
      </c>
      <c r="G67" s="53">
        <v>56.337349657951357</v>
      </c>
      <c r="H67" s="85">
        <f t="shared" si="0"/>
        <v>4.0706323424338524E-3</v>
      </c>
      <c r="J67" s="26">
        <f t="shared" si="2"/>
        <v>2482162.60953097</v>
      </c>
      <c r="K67" s="15">
        <f t="shared" si="1"/>
        <v>93.170931039931375</v>
      </c>
      <c r="L67" s="90">
        <f t="shared" si="3"/>
        <v>1.0643102092299683E-2</v>
      </c>
    </row>
    <row r="68" spans="1:12" x14ac:dyDescent="0.3">
      <c r="A68" s="80">
        <v>41760</v>
      </c>
      <c r="B68" s="81">
        <v>8486.74</v>
      </c>
      <c r="C68" s="81">
        <v>8365.8646185701418</v>
      </c>
      <c r="D68" s="81">
        <v>10398.99</v>
      </c>
      <c r="E68" s="82">
        <v>10233.932901661492</v>
      </c>
      <c r="G68" s="53">
        <v>57.858458098716042</v>
      </c>
      <c r="H68" s="85">
        <f t="shared" ref="H68:H131" si="4">G68/HLOOKUP($G$3,$G$3:$G$1996,MATCH(MAX($A$4:$A$1996),$A$3:$A$1996,0),FALSE)</f>
        <v>4.1805394156795659E-3</v>
      </c>
      <c r="J68" s="26">
        <f t="shared" si="2"/>
        <v>2447993.4008702366</v>
      </c>
      <c r="K68" s="15">
        <f t="shared" ref="K68:K131" si="5">J68/$J$56*100</f>
        <v>91.888349080315209</v>
      </c>
      <c r="L68" s="90">
        <f t="shared" si="3"/>
        <v>-1.3765902576056477E-2</v>
      </c>
    </row>
    <row r="69" spans="1:12" x14ac:dyDescent="0.3">
      <c r="A69" s="80">
        <v>41791</v>
      </c>
      <c r="B69" s="81">
        <v>12175.5</v>
      </c>
      <c r="C69" s="81">
        <v>8476.0958611130864</v>
      </c>
      <c r="D69" s="81">
        <v>15007.04</v>
      </c>
      <c r="E69" s="82">
        <v>10431.079601751229</v>
      </c>
      <c r="G69" s="53">
        <v>58.726334970196767</v>
      </c>
      <c r="H69" s="85">
        <f t="shared" si="4"/>
        <v>4.2432475069147579E-3</v>
      </c>
      <c r="J69" s="26">
        <f t="shared" ref="J69:J132" si="6">E69/H69</f>
        <v>2458277.4360328582</v>
      </c>
      <c r="K69" s="15">
        <f t="shared" si="5"/>
        <v>92.274372593549046</v>
      </c>
      <c r="L69" s="90">
        <f t="shared" ref="L69:L132" si="7">J69/J68-1</f>
        <v>4.2010060807213812E-3</v>
      </c>
    </row>
    <row r="70" spans="1:12" x14ac:dyDescent="0.3">
      <c r="A70" s="80">
        <v>41821</v>
      </c>
      <c r="B70" s="81">
        <v>9156.57</v>
      </c>
      <c r="C70" s="81">
        <v>8882.5243931742552</v>
      </c>
      <c r="D70" s="81">
        <v>11094.08</v>
      </c>
      <c r="E70" s="82">
        <v>10766.942770316884</v>
      </c>
      <c r="G70" s="53">
        <v>60.032737267982363</v>
      </c>
      <c r="H70" s="85">
        <f t="shared" si="4"/>
        <v>4.3376410749097587E-3</v>
      </c>
      <c r="J70" s="26">
        <f t="shared" si="6"/>
        <v>2482211.5487139244</v>
      </c>
      <c r="K70" s="15">
        <f t="shared" si="5"/>
        <v>93.172768030474487</v>
      </c>
      <c r="L70" s="90">
        <f t="shared" si="7"/>
        <v>9.7361316221862282E-3</v>
      </c>
    </row>
    <row r="71" spans="1:12" x14ac:dyDescent="0.3">
      <c r="A71" s="80">
        <v>41852</v>
      </c>
      <c r="B71" s="81">
        <v>8914.36</v>
      </c>
      <c r="C71" s="81">
        <v>8963.0463720123553</v>
      </c>
      <c r="D71" s="81">
        <v>11002.19</v>
      </c>
      <c r="E71" s="82">
        <v>11029.856659619498</v>
      </c>
      <c r="G71" s="53">
        <v>61.39781957441555</v>
      </c>
      <c r="H71" s="85">
        <f t="shared" si="4"/>
        <v>4.4362745431220296E-3</v>
      </c>
      <c r="J71" s="26">
        <f t="shared" si="6"/>
        <v>2486288.1123351832</v>
      </c>
      <c r="K71" s="15">
        <f t="shared" si="5"/>
        <v>93.325786703214845</v>
      </c>
      <c r="L71" s="90">
        <f t="shared" si="7"/>
        <v>1.6423111170242866E-3</v>
      </c>
    </row>
    <row r="72" spans="1:12" x14ac:dyDescent="0.3">
      <c r="A72" s="80">
        <v>41883</v>
      </c>
      <c r="B72" s="81">
        <v>9301.7999999999993</v>
      </c>
      <c r="C72" s="81">
        <v>9297.3171641424542</v>
      </c>
      <c r="D72" s="81">
        <v>11382.62</v>
      </c>
      <c r="E72" s="82">
        <v>11344.721860512234</v>
      </c>
      <c r="G72" s="53">
        <v>62.778343988387569</v>
      </c>
      <c r="H72" s="85">
        <f t="shared" si="4"/>
        <v>4.536023774549371E-3</v>
      </c>
      <c r="J72" s="26">
        <f t="shared" si="6"/>
        <v>2501027.8658954492</v>
      </c>
      <c r="K72" s="15">
        <f t="shared" si="5"/>
        <v>93.879060915482768</v>
      </c>
      <c r="L72" s="90">
        <f t="shared" si="7"/>
        <v>5.9284173411511265E-3</v>
      </c>
    </row>
    <row r="73" spans="1:12" x14ac:dyDescent="0.3">
      <c r="A73" s="80">
        <v>41913</v>
      </c>
      <c r="B73" s="81">
        <v>9528.7999999999993</v>
      </c>
      <c r="C73" s="81">
        <v>9537.765860203981</v>
      </c>
      <c r="D73" s="81">
        <v>11734.64</v>
      </c>
      <c r="E73" s="82">
        <v>11655.771792623882</v>
      </c>
      <c r="G73" s="53">
        <v>63.989005219432372</v>
      </c>
      <c r="H73" s="85">
        <f t="shared" si="4"/>
        <v>4.6234996106109313E-3</v>
      </c>
      <c r="J73" s="26">
        <f t="shared" si="6"/>
        <v>2520984.7029885948</v>
      </c>
      <c r="K73" s="15">
        <f t="shared" si="5"/>
        <v>94.628164574300669</v>
      </c>
      <c r="L73" s="90">
        <f t="shared" si="7"/>
        <v>7.9794541137589992E-3</v>
      </c>
    </row>
    <row r="74" spans="1:12" x14ac:dyDescent="0.3">
      <c r="A74" s="80">
        <v>41944</v>
      </c>
      <c r="B74" s="81">
        <v>9664.2999999999993</v>
      </c>
      <c r="C74" s="81">
        <v>9728.8470194779511</v>
      </c>
      <c r="D74" s="81">
        <v>11850.1</v>
      </c>
      <c r="E74" s="82">
        <v>11895.057746777469</v>
      </c>
      <c r="G74" s="53">
        <v>65.156428549368442</v>
      </c>
      <c r="H74" s="85">
        <f t="shared" si="4"/>
        <v>4.7078513096702936E-3</v>
      </c>
      <c r="J74" s="26">
        <f t="shared" si="6"/>
        <v>2526642.6155694621</v>
      </c>
      <c r="K74" s="15">
        <f t="shared" si="5"/>
        <v>94.840541064413671</v>
      </c>
      <c r="L74" s="90">
        <f t="shared" si="7"/>
        <v>2.2443264229885518E-3</v>
      </c>
    </row>
    <row r="75" spans="1:12" x14ac:dyDescent="0.3">
      <c r="A75" s="80">
        <v>41974</v>
      </c>
      <c r="B75" s="81">
        <v>14302.11</v>
      </c>
      <c r="C75" s="81">
        <v>9795.6252004482467</v>
      </c>
      <c r="D75" s="81">
        <v>17751.599999999999</v>
      </c>
      <c r="E75" s="82">
        <v>12091.348191087731</v>
      </c>
      <c r="G75" s="53">
        <v>66.10457395225302</v>
      </c>
      <c r="H75" s="85">
        <f t="shared" si="4"/>
        <v>4.7763591710756484E-3</v>
      </c>
      <c r="J75" s="26">
        <f t="shared" si="6"/>
        <v>2531498.9426066815</v>
      </c>
      <c r="K75" s="15">
        <f t="shared" si="5"/>
        <v>95.022829086058493</v>
      </c>
      <c r="L75" s="90">
        <f t="shared" si="7"/>
        <v>1.9220474661885145E-3</v>
      </c>
    </row>
    <row r="76" spans="1:12" x14ac:dyDescent="0.3">
      <c r="A76" s="80">
        <v>42005</v>
      </c>
      <c r="B76" s="81">
        <v>9826.7000000000007</v>
      </c>
      <c r="C76" s="81">
        <v>9929.1131345441572</v>
      </c>
      <c r="D76" s="81">
        <v>13089.84</v>
      </c>
      <c r="E76" s="82">
        <v>12410.161914618313</v>
      </c>
      <c r="G76" s="53">
        <v>67.398622564007553</v>
      </c>
      <c r="H76" s="85">
        <f t="shared" si="4"/>
        <v>4.8698601284985921E-3</v>
      </c>
      <c r="J76" s="26">
        <f t="shared" si="6"/>
        <v>2548361.0590771614</v>
      </c>
      <c r="K76" s="15">
        <f t="shared" si="5"/>
        <v>95.655768718951933</v>
      </c>
      <c r="L76" s="90">
        <f t="shared" si="7"/>
        <v>6.6609217909121554E-3</v>
      </c>
    </row>
    <row r="77" spans="1:12" x14ac:dyDescent="0.3">
      <c r="A77" s="80">
        <v>42036</v>
      </c>
      <c r="B77" s="81">
        <v>9808.24</v>
      </c>
      <c r="C77" s="81">
        <v>10200.305437014791</v>
      </c>
      <c r="D77" s="81">
        <v>12694.8</v>
      </c>
      <c r="E77" s="82">
        <v>12674.269441436072</v>
      </c>
      <c r="G77" s="53">
        <v>68.377652181969808</v>
      </c>
      <c r="H77" s="85">
        <f t="shared" si="4"/>
        <v>4.9405995163340896E-3</v>
      </c>
      <c r="J77" s="26">
        <f t="shared" si="6"/>
        <v>2565330.2599277147</v>
      </c>
      <c r="K77" s="15">
        <f t="shared" si="5"/>
        <v>96.292727891642244</v>
      </c>
      <c r="L77" s="90">
        <f t="shared" si="7"/>
        <v>6.6588683695780748E-3</v>
      </c>
    </row>
    <row r="78" spans="1:12" x14ac:dyDescent="0.3">
      <c r="A78" s="80">
        <v>42064</v>
      </c>
      <c r="B78" s="81">
        <v>9889.76</v>
      </c>
      <c r="C78" s="81">
        <v>10336.401346219847</v>
      </c>
      <c r="D78" s="81">
        <v>13338.17</v>
      </c>
      <c r="E78" s="82">
        <v>12842.802078348019</v>
      </c>
      <c r="G78" s="53">
        <v>69.514191296828201</v>
      </c>
      <c r="H78" s="85">
        <f t="shared" si="4"/>
        <v>5.0227196889633102E-3</v>
      </c>
      <c r="J78" s="26">
        <f t="shared" si="6"/>
        <v>2556941.8310498577</v>
      </c>
      <c r="K78" s="15">
        <f t="shared" si="5"/>
        <v>95.97785821891766</v>
      </c>
      <c r="L78" s="90">
        <f t="shared" si="7"/>
        <v>-3.2699216194072012E-3</v>
      </c>
    </row>
    <row r="79" spans="1:12" x14ac:dyDescent="0.3">
      <c r="A79" s="80">
        <v>42095</v>
      </c>
      <c r="B79" s="81">
        <v>10051.69</v>
      </c>
      <c r="C79" s="81">
        <v>10094.663066560073</v>
      </c>
      <c r="D79" s="81">
        <v>13093.16</v>
      </c>
      <c r="E79" s="82">
        <v>12796.052458390946</v>
      </c>
      <c r="G79" s="53">
        <v>71.1603199604682</v>
      </c>
      <c r="H79" s="85">
        <f t="shared" si="4"/>
        <v>5.1416600476898704E-3</v>
      </c>
      <c r="J79" s="26">
        <f t="shared" si="6"/>
        <v>2488700.6024717963</v>
      </c>
      <c r="K79" s="15">
        <f t="shared" si="5"/>
        <v>93.41634239496922</v>
      </c>
      <c r="L79" s="90">
        <f t="shared" si="7"/>
        <v>-2.6688612055770555E-2</v>
      </c>
    </row>
    <row r="80" spans="1:12" x14ac:dyDescent="0.3">
      <c r="A80" s="80">
        <v>42125</v>
      </c>
      <c r="B80" s="81">
        <v>10884.99</v>
      </c>
      <c r="C80" s="81">
        <v>10807.511299130712</v>
      </c>
      <c r="D80" s="81">
        <v>13454.92</v>
      </c>
      <c r="E80" s="82">
        <v>13315.38324666179</v>
      </c>
      <c r="G80" s="53">
        <v>72.735414929429567</v>
      </c>
      <c r="H80" s="85">
        <f t="shared" si="4"/>
        <v>5.2554678956271052E-3</v>
      </c>
      <c r="J80" s="26">
        <f t="shared" si="6"/>
        <v>2533624.6954797427</v>
      </c>
      <c r="K80" s="15">
        <f t="shared" si="5"/>
        <v>95.102621752978635</v>
      </c>
      <c r="L80" s="90">
        <f t="shared" si="7"/>
        <v>1.8051224387267473E-2</v>
      </c>
    </row>
    <row r="81" spans="1:12" x14ac:dyDescent="0.3">
      <c r="A81" s="80">
        <v>42156</v>
      </c>
      <c r="B81" s="81">
        <v>16196.68</v>
      </c>
      <c r="C81" s="81">
        <v>11180.974993108257</v>
      </c>
      <c r="D81" s="81">
        <v>20156.66</v>
      </c>
      <c r="E81" s="82">
        <v>13986.928146578884</v>
      </c>
      <c r="G81" s="53">
        <v>73.71753296889959</v>
      </c>
      <c r="H81" s="85">
        <f t="shared" si="4"/>
        <v>5.3264304361056161E-3</v>
      </c>
      <c r="J81" s="26">
        <f t="shared" si="6"/>
        <v>2625947.7739101634</v>
      </c>
      <c r="K81" s="15">
        <f t="shared" si="5"/>
        <v>98.568078504605523</v>
      </c>
      <c r="L81" s="90">
        <f t="shared" si="7"/>
        <v>3.6439129518722746E-2</v>
      </c>
    </row>
    <row r="82" spans="1:12" x14ac:dyDescent="0.3">
      <c r="A82" s="80">
        <v>42186</v>
      </c>
      <c r="B82" s="81">
        <v>11955.24</v>
      </c>
      <c r="C82" s="81">
        <v>11634.15252355313</v>
      </c>
      <c r="D82" s="81">
        <v>14583.64</v>
      </c>
      <c r="E82" s="82">
        <v>14150.939110823547</v>
      </c>
      <c r="G82" s="53">
        <v>75.221594243182295</v>
      </c>
      <c r="H82" s="85">
        <f t="shared" si="4"/>
        <v>5.4351057732535245E-3</v>
      </c>
      <c r="J82" s="26">
        <f t="shared" si="6"/>
        <v>2603617.9793337514</v>
      </c>
      <c r="K82" s="15">
        <f t="shared" si="5"/>
        <v>97.729903059279692</v>
      </c>
      <c r="L82" s="90">
        <f t="shared" si="7"/>
        <v>-8.5035181576219587E-3</v>
      </c>
    </row>
    <row r="83" spans="1:12" x14ac:dyDescent="0.3">
      <c r="A83" s="80">
        <v>42217</v>
      </c>
      <c r="B83" s="81">
        <v>11565.12</v>
      </c>
      <c r="C83" s="81">
        <v>11654.287396121923</v>
      </c>
      <c r="D83" s="81">
        <v>14434.43</v>
      </c>
      <c r="E83" s="82">
        <v>14466.084706624881</v>
      </c>
      <c r="G83" s="53">
        <v>76.599030235646538</v>
      </c>
      <c r="H83" s="85">
        <f t="shared" si="4"/>
        <v>5.5346318520378508E-3</v>
      </c>
      <c r="J83" s="26">
        <f t="shared" si="6"/>
        <v>2613739.2862541471</v>
      </c>
      <c r="K83" s="15">
        <f t="shared" si="5"/>
        <v>98.109818374051258</v>
      </c>
      <c r="L83" s="90">
        <f t="shared" si="7"/>
        <v>3.887400917006234E-3</v>
      </c>
    </row>
    <row r="84" spans="1:12" x14ac:dyDescent="0.3">
      <c r="A84" s="80">
        <v>42248</v>
      </c>
      <c r="B84" s="81">
        <v>12237.17</v>
      </c>
      <c r="C84" s="81">
        <v>12280.534469295584</v>
      </c>
      <c r="D84" s="81">
        <v>14957.68</v>
      </c>
      <c r="E84" s="82">
        <v>14942.968775364807</v>
      </c>
      <c r="G84" s="53">
        <v>77.868371475338932</v>
      </c>
      <c r="H84" s="85">
        <f t="shared" si="4"/>
        <v>5.6263475883166821E-3</v>
      </c>
      <c r="J84" s="26">
        <f t="shared" si="6"/>
        <v>2655891.5070221457</v>
      </c>
      <c r="K84" s="15">
        <f t="shared" si="5"/>
        <v>99.692052204854662</v>
      </c>
      <c r="L84" s="90">
        <f t="shared" si="7"/>
        <v>1.6127171133586415E-2</v>
      </c>
    </row>
    <row r="85" spans="1:12" x14ac:dyDescent="0.3">
      <c r="A85" s="80">
        <v>42278</v>
      </c>
      <c r="B85" s="81">
        <v>11810.7</v>
      </c>
      <c r="C85" s="81">
        <v>11786.950476796113</v>
      </c>
      <c r="D85" s="81">
        <v>15013.59</v>
      </c>
      <c r="E85" s="82">
        <v>14953.864085150375</v>
      </c>
      <c r="G85" s="53">
        <v>79.193304302171157</v>
      </c>
      <c r="H85" s="85">
        <f t="shared" si="4"/>
        <v>5.7220800721697693E-3</v>
      </c>
      <c r="J85" s="26">
        <f t="shared" si="6"/>
        <v>2613361.5567319356</v>
      </c>
      <c r="K85" s="15">
        <f t="shared" si="5"/>
        <v>98.095639846371171</v>
      </c>
      <c r="L85" s="90">
        <f t="shared" si="7"/>
        <v>-1.6013436609801812E-2</v>
      </c>
    </row>
    <row r="86" spans="1:12" x14ac:dyDescent="0.3">
      <c r="A86" s="80">
        <v>42309</v>
      </c>
      <c r="B86" s="81">
        <v>12307.97</v>
      </c>
      <c r="C86" s="81">
        <v>12424.123271313094</v>
      </c>
      <c r="D86" s="81">
        <v>15303.76</v>
      </c>
      <c r="E86" s="82">
        <v>15325.430072731302</v>
      </c>
      <c r="G86" s="53">
        <v>80.740603477562615</v>
      </c>
      <c r="H86" s="85">
        <f t="shared" si="4"/>
        <v>5.8338795463198766E-3</v>
      </c>
      <c r="J86" s="26">
        <f t="shared" si="6"/>
        <v>2626970.6035324088</v>
      </c>
      <c r="K86" s="15">
        <f t="shared" si="5"/>
        <v>98.606471633175701</v>
      </c>
      <c r="L86" s="90">
        <f t="shared" si="7"/>
        <v>5.2074871788851951E-3</v>
      </c>
    </row>
    <row r="87" spans="1:12" x14ac:dyDescent="0.3">
      <c r="A87" s="80">
        <v>42339</v>
      </c>
      <c r="B87" s="81">
        <v>18553.23</v>
      </c>
      <c r="C87" s="81">
        <v>12728.985988241846</v>
      </c>
      <c r="D87" s="81">
        <v>23203.599999999999</v>
      </c>
      <c r="E87" s="82">
        <v>15792.836354667212</v>
      </c>
      <c r="G87" s="53">
        <v>83.903147101516424</v>
      </c>
      <c r="H87" s="85">
        <f t="shared" si="4"/>
        <v>6.0623878527664042E-3</v>
      </c>
      <c r="J87" s="26">
        <f t="shared" si="6"/>
        <v>2605052.124380426</v>
      </c>
      <c r="K87" s="15">
        <f t="shared" si="5"/>
        <v>97.783735402387222</v>
      </c>
      <c r="L87" s="90">
        <f t="shared" si="7"/>
        <v>-8.3436332033977045E-3</v>
      </c>
    </row>
    <row r="88" spans="1:12" x14ac:dyDescent="0.3">
      <c r="A88" s="80">
        <v>42370</v>
      </c>
      <c r="B88" s="81">
        <v>12687.98</v>
      </c>
      <c r="C88" s="81">
        <v>12870.634541415688</v>
      </c>
      <c r="D88" s="81">
        <v>16866.104578826071</v>
      </c>
      <c r="E88" s="82">
        <v>16000.856451658057</v>
      </c>
      <c r="G88" s="53">
        <v>87.37453287624696</v>
      </c>
      <c r="H88" s="85">
        <f t="shared" si="4"/>
        <v>6.3132114235143503E-3</v>
      </c>
      <c r="J88" s="26">
        <f t="shared" si="6"/>
        <v>2534503.5003993139</v>
      </c>
      <c r="K88" s="15">
        <f t="shared" si="5"/>
        <v>95.135608742728834</v>
      </c>
      <c r="L88" s="90">
        <f t="shared" si="7"/>
        <v>-2.7081463484302071E-2</v>
      </c>
    </row>
    <row r="89" spans="1:12" x14ac:dyDescent="0.3">
      <c r="A89" s="80">
        <v>42401</v>
      </c>
      <c r="B89" s="81">
        <v>12877.37</v>
      </c>
      <c r="C89" s="81">
        <v>12892.293527994745</v>
      </c>
      <c r="D89" s="81">
        <v>16779.260381425251</v>
      </c>
      <c r="E89" s="82">
        <v>16113.041344513165</v>
      </c>
      <c r="G89" s="53">
        <v>90.842830229469726</v>
      </c>
      <c r="H89" s="85">
        <f t="shared" si="4"/>
        <v>6.5638118416192813E-3</v>
      </c>
      <c r="J89" s="26">
        <f t="shared" si="6"/>
        <v>2454829.8661373733</v>
      </c>
      <c r="K89" s="15">
        <f t="shared" si="5"/>
        <v>92.14496394975022</v>
      </c>
      <c r="L89" s="90">
        <f t="shared" si="7"/>
        <v>-3.1435598431561851E-2</v>
      </c>
    </row>
    <row r="90" spans="1:12" x14ac:dyDescent="0.3">
      <c r="A90" s="80">
        <v>42430</v>
      </c>
      <c r="B90" s="81">
        <v>13233.78</v>
      </c>
      <c r="C90" s="81">
        <v>13665.563324573317</v>
      </c>
      <c r="D90" s="81">
        <v>17576.293697275501</v>
      </c>
      <c r="E90" s="82">
        <v>16857.672711717179</v>
      </c>
      <c r="G90" s="53">
        <v>93.857129621050689</v>
      </c>
      <c r="H90" s="85">
        <f t="shared" si="4"/>
        <v>6.7816088212011277E-3</v>
      </c>
      <c r="J90" s="26">
        <f t="shared" si="6"/>
        <v>2485792.553975625</v>
      </c>
      <c r="K90" s="15">
        <f t="shared" si="5"/>
        <v>93.307185329732164</v>
      </c>
      <c r="L90" s="90">
        <f t="shared" si="7"/>
        <v>1.261296689654956E-2</v>
      </c>
    </row>
    <row r="91" spans="1:12" x14ac:dyDescent="0.3">
      <c r="A91" s="80">
        <v>42461</v>
      </c>
      <c r="B91" s="81">
        <v>14231.13</v>
      </c>
      <c r="C91" s="81">
        <v>14231.099772329533</v>
      </c>
      <c r="D91" s="81">
        <v>17798.78130438711</v>
      </c>
      <c r="E91" s="82">
        <v>17432.831230784035</v>
      </c>
      <c r="G91" s="53">
        <v>100</v>
      </c>
      <c r="H91" s="85">
        <f t="shared" si="4"/>
        <v>7.2254594281563438E-3</v>
      </c>
      <c r="J91" s="26">
        <f t="shared" si="6"/>
        <v>2412695.1931736493</v>
      </c>
      <c r="K91" s="15">
        <f t="shared" si="5"/>
        <v>90.563388796688429</v>
      </c>
      <c r="L91" s="90">
        <f t="shared" si="7"/>
        <v>-2.9406058315312067E-2</v>
      </c>
    </row>
    <row r="92" spans="1:12" x14ac:dyDescent="0.3">
      <c r="A92" s="80">
        <v>42491</v>
      </c>
      <c r="B92" s="81">
        <v>14824</v>
      </c>
      <c r="C92" s="81">
        <v>14732.862306986934</v>
      </c>
      <c r="D92" s="81">
        <v>18128.704128074656</v>
      </c>
      <c r="E92" s="82">
        <v>17899.559822646301</v>
      </c>
      <c r="G92" s="53">
        <v>104.1934</v>
      </c>
      <c r="H92" s="85">
        <f t="shared" si="4"/>
        <v>7.5284518438166513E-3</v>
      </c>
      <c r="J92" s="26">
        <f t="shared" si="6"/>
        <v>2377588.4064859576</v>
      </c>
      <c r="K92" s="15">
        <f t="shared" si="5"/>
        <v>89.245613728708264</v>
      </c>
      <c r="L92" s="90">
        <f t="shared" si="7"/>
        <v>-1.4550858636027009E-2</v>
      </c>
    </row>
    <row r="93" spans="1:12" x14ac:dyDescent="0.3">
      <c r="A93" s="80">
        <v>42522</v>
      </c>
      <c r="B93" s="81">
        <v>21632.065000000002</v>
      </c>
      <c r="C93" s="81">
        <v>14973.365860328084</v>
      </c>
      <c r="D93" s="81">
        <v>26326.315403341676</v>
      </c>
      <c r="E93" s="82">
        <v>18299.113809642324</v>
      </c>
      <c r="G93" s="53">
        <v>107.3982</v>
      </c>
      <c r="H93" s="85">
        <f t="shared" si="4"/>
        <v>7.7600133675702065E-3</v>
      </c>
      <c r="J93" s="26">
        <f t="shared" si="6"/>
        <v>2358129.1607197439</v>
      </c>
      <c r="K93" s="15">
        <f t="shared" si="5"/>
        <v>88.515187753225717</v>
      </c>
      <c r="L93" s="90">
        <f t="shared" si="7"/>
        <v>-8.1844467751985839E-3</v>
      </c>
    </row>
    <row r="94" spans="1:12" x14ac:dyDescent="0.3">
      <c r="A94" s="80">
        <v>42552</v>
      </c>
      <c r="B94" s="81">
        <v>15302.69</v>
      </c>
      <c r="C94" s="81">
        <v>15041.475200190707</v>
      </c>
      <c r="D94" s="81">
        <v>19147.223427919453</v>
      </c>
      <c r="E94" s="82">
        <v>18760.212735307647</v>
      </c>
      <c r="G94" s="53">
        <v>109.5964</v>
      </c>
      <c r="H94" s="85">
        <f t="shared" si="4"/>
        <v>7.9188434167199399E-3</v>
      </c>
      <c r="J94" s="26">
        <f t="shared" si="6"/>
        <v>2369059.6906736544</v>
      </c>
      <c r="K94" s="15">
        <f t="shared" si="5"/>
        <v>88.925478218747685</v>
      </c>
      <c r="L94" s="90">
        <f t="shared" si="7"/>
        <v>4.6352549877184401E-3</v>
      </c>
    </row>
    <row r="95" spans="1:12" x14ac:dyDescent="0.3">
      <c r="A95" s="80">
        <v>42583</v>
      </c>
      <c r="B95" s="81">
        <v>15460.705</v>
      </c>
      <c r="C95" s="81">
        <v>15451.787028700206</v>
      </c>
      <c r="D95" s="81">
        <v>19304.549892857063</v>
      </c>
      <c r="E95" s="82">
        <v>19231.953207806971</v>
      </c>
      <c r="G95" s="53">
        <v>109.81780000000001</v>
      </c>
      <c r="H95" s="85">
        <f t="shared" si="4"/>
        <v>7.934840583893878E-3</v>
      </c>
      <c r="J95" s="26">
        <f t="shared" si="6"/>
        <v>2423735.2980781929</v>
      </c>
      <c r="K95" s="15">
        <f t="shared" si="5"/>
        <v>90.977792288540726</v>
      </c>
      <c r="L95" s="90">
        <f t="shared" si="7"/>
        <v>2.3079033263611493E-2</v>
      </c>
    </row>
    <row r="96" spans="1:12" x14ac:dyDescent="0.3">
      <c r="A96" s="80">
        <v>42614</v>
      </c>
      <c r="B96" s="81">
        <v>15483.91</v>
      </c>
      <c r="C96" s="81">
        <v>15604.459750085747</v>
      </c>
      <c r="D96" s="81">
        <v>19538.657823303867</v>
      </c>
      <c r="E96" s="82">
        <v>19571.078558891135</v>
      </c>
      <c r="G96" s="53">
        <v>111.0797</v>
      </c>
      <c r="H96" s="85">
        <f t="shared" si="4"/>
        <v>8.0260186564177823E-3</v>
      </c>
      <c r="J96" s="26">
        <f t="shared" si="6"/>
        <v>2438454.1572478986</v>
      </c>
      <c r="K96" s="15">
        <f t="shared" si="5"/>
        <v>91.530282204963342</v>
      </c>
      <c r="L96" s="90">
        <f t="shared" si="7"/>
        <v>6.0727997737115569E-3</v>
      </c>
    </row>
    <row r="97" spans="1:12" x14ac:dyDescent="0.3">
      <c r="A97" s="80">
        <v>42644</v>
      </c>
      <c r="B97" s="81">
        <v>16239.88</v>
      </c>
      <c r="C97" s="81">
        <v>16311.416926645319</v>
      </c>
      <c r="D97" s="81">
        <v>20209.047218003449</v>
      </c>
      <c r="E97" s="82">
        <v>20178.249509179241</v>
      </c>
      <c r="G97" s="53">
        <v>113.70050000000001</v>
      </c>
      <c r="H97" s="85">
        <f t="shared" si="4"/>
        <v>8.2153834971109042E-3</v>
      </c>
      <c r="J97" s="26">
        <f t="shared" si="6"/>
        <v>2456154.3008035235</v>
      </c>
      <c r="K97" s="15">
        <f t="shared" si="5"/>
        <v>92.194678183005109</v>
      </c>
      <c r="L97" s="90">
        <f t="shared" si="7"/>
        <v>7.2587559224823739E-3</v>
      </c>
    </row>
    <row r="98" spans="1:12" x14ac:dyDescent="0.3">
      <c r="A98" s="80">
        <v>42675</v>
      </c>
      <c r="B98" s="81">
        <v>16565.86</v>
      </c>
      <c r="C98" s="81">
        <v>16593.460719011811</v>
      </c>
      <c r="D98" s="81">
        <v>20679.63633158831</v>
      </c>
      <c r="E98" s="82">
        <v>20655.460841171229</v>
      </c>
      <c r="G98" s="53">
        <v>115.5407</v>
      </c>
      <c r="H98" s="85">
        <f t="shared" si="4"/>
        <v>8.3483464015078369E-3</v>
      </c>
      <c r="J98" s="26">
        <f t="shared" si="6"/>
        <v>2474197.8647939838</v>
      </c>
      <c r="K98" s="15">
        <f t="shared" si="5"/>
        <v>92.871964856253086</v>
      </c>
      <c r="L98" s="90">
        <f t="shared" si="7"/>
        <v>7.3462664721664073E-3</v>
      </c>
    </row>
    <row r="99" spans="1:12" x14ac:dyDescent="0.3">
      <c r="A99" s="80">
        <v>42705</v>
      </c>
      <c r="B99" s="81">
        <v>24811.37</v>
      </c>
      <c r="C99" s="81">
        <v>17119.410019024795</v>
      </c>
      <c r="D99" s="81">
        <v>31181.920881228358</v>
      </c>
      <c r="E99" s="82">
        <v>21303.226546607515</v>
      </c>
      <c r="G99" s="53">
        <v>116.9243</v>
      </c>
      <c r="H99" s="85">
        <f t="shared" si="4"/>
        <v>8.4483178581558072E-3</v>
      </c>
      <c r="J99" s="26">
        <f t="shared" si="6"/>
        <v>2521593.872801777</v>
      </c>
      <c r="K99" s="15">
        <f t="shared" si="5"/>
        <v>94.651030489062933</v>
      </c>
      <c r="L99" s="90">
        <f t="shared" si="7"/>
        <v>1.9156110625671241E-2</v>
      </c>
    </row>
    <row r="100" spans="1:12" x14ac:dyDescent="0.3">
      <c r="A100" s="80">
        <v>42736</v>
      </c>
      <c r="B100" s="81">
        <v>17632</v>
      </c>
      <c r="C100" s="81">
        <v>17770.224932876372</v>
      </c>
      <c r="D100" s="81">
        <v>23149.704032809957</v>
      </c>
      <c r="E100" s="82">
        <v>21795.755555498534</v>
      </c>
      <c r="G100" s="53">
        <v>118.45950000000001</v>
      </c>
      <c r="H100" s="85">
        <f t="shared" si="4"/>
        <v>8.5592431112968635E-3</v>
      </c>
      <c r="J100" s="26">
        <f t="shared" si="6"/>
        <v>2546458.2875010925</v>
      </c>
      <c r="K100" s="15">
        <f t="shared" si="5"/>
        <v>95.584345920696123</v>
      </c>
      <c r="L100" s="90">
        <f t="shared" si="7"/>
        <v>9.8605945102843151E-3</v>
      </c>
    </row>
    <row r="101" spans="1:12" x14ac:dyDescent="0.3">
      <c r="A101" s="80">
        <v>42767</v>
      </c>
      <c r="B101" s="81">
        <v>17391.310000000001</v>
      </c>
      <c r="C101" s="81">
        <v>17972.641963643902</v>
      </c>
      <c r="D101" s="81">
        <v>22287.30297369328</v>
      </c>
      <c r="E101" s="82">
        <v>22115.575547445427</v>
      </c>
      <c r="G101" s="53">
        <v>121.3773455109413</v>
      </c>
      <c r="H101" s="85">
        <f t="shared" si="4"/>
        <v>8.7700708548662087E-3</v>
      </c>
      <c r="J101" s="26">
        <f t="shared" si="6"/>
        <v>2521710.0196145233</v>
      </c>
      <c r="K101" s="15">
        <f t="shared" si="5"/>
        <v>94.655390198068019</v>
      </c>
      <c r="L101" s="90">
        <f t="shared" si="7"/>
        <v>-9.7187014639282809E-3</v>
      </c>
    </row>
    <row r="102" spans="1:12" x14ac:dyDescent="0.3">
      <c r="A102" s="80">
        <v>42795</v>
      </c>
      <c r="B102" s="81">
        <v>17628.12</v>
      </c>
      <c r="C102" s="81">
        <v>18134.337332685034</v>
      </c>
      <c r="D102" s="81">
        <v>23420.153735300129</v>
      </c>
      <c r="E102" s="82">
        <v>22378.045748535998</v>
      </c>
      <c r="G102" s="53">
        <v>124.2469012925291</v>
      </c>
      <c r="H102" s="85">
        <f t="shared" si="4"/>
        <v>8.9774094436331497E-3</v>
      </c>
      <c r="J102" s="26">
        <f t="shared" si="6"/>
        <v>2492706.3747111019</v>
      </c>
      <c r="K102" s="15">
        <f t="shared" si="5"/>
        <v>93.566703828840204</v>
      </c>
      <c r="L102" s="90">
        <f t="shared" si="7"/>
        <v>-1.1501578166332904E-2</v>
      </c>
    </row>
    <row r="103" spans="1:12" x14ac:dyDescent="0.3">
      <c r="A103" s="80">
        <v>42826</v>
      </c>
      <c r="B103" s="81">
        <v>18425.48</v>
      </c>
      <c r="C103" s="81">
        <v>18509.297253828579</v>
      </c>
      <c r="D103" s="81">
        <v>23056.485262773014</v>
      </c>
      <c r="E103" s="82">
        <v>22652.731931482282</v>
      </c>
      <c r="G103" s="53">
        <v>127.5191443087264</v>
      </c>
      <c r="H103" s="85">
        <f t="shared" si="4"/>
        <v>9.2138440351591643E-3</v>
      </c>
      <c r="J103" s="26">
        <f t="shared" si="6"/>
        <v>2458553.872307973</v>
      </c>
      <c r="K103" s="15">
        <f t="shared" si="5"/>
        <v>92.284748958508686</v>
      </c>
      <c r="L103" s="90">
        <f t="shared" si="7"/>
        <v>-1.3700972866123151E-2</v>
      </c>
    </row>
    <row r="104" spans="1:12" x14ac:dyDescent="0.3">
      <c r="A104" s="80">
        <v>42856</v>
      </c>
      <c r="B104" s="81">
        <v>18878.45</v>
      </c>
      <c r="C104" s="81">
        <v>18671.457685426125</v>
      </c>
      <c r="D104" s="81">
        <v>23275.427871501139</v>
      </c>
      <c r="E104" s="82">
        <v>22923.279255211757</v>
      </c>
      <c r="G104" s="53">
        <v>129.34872554971349</v>
      </c>
      <c r="H104" s="85">
        <f t="shared" si="4"/>
        <v>9.3460396854318471E-3</v>
      </c>
      <c r="J104" s="26">
        <f t="shared" si="6"/>
        <v>2452726.5052109133</v>
      </c>
      <c r="K104" s="15">
        <f t="shared" si="5"/>
        <v>92.066011791225705</v>
      </c>
      <c r="L104" s="90">
        <f t="shared" si="7"/>
        <v>-2.3702417761499728E-3</v>
      </c>
    </row>
    <row r="105" spans="1:12" x14ac:dyDescent="0.3">
      <c r="A105" s="80">
        <v>42887</v>
      </c>
      <c r="B105" s="81">
        <v>27812.880000000001</v>
      </c>
      <c r="C105" s="81">
        <v>19229.832482511585</v>
      </c>
      <c r="D105" s="81">
        <v>34215.977544048743</v>
      </c>
      <c r="E105" s="82">
        <v>23814.040963314361</v>
      </c>
      <c r="G105" s="53">
        <v>130.89065739257171</v>
      </c>
      <c r="H105" s="85">
        <f t="shared" si="4"/>
        <v>9.4574513451473902E-3</v>
      </c>
      <c r="J105" s="26">
        <f t="shared" si="6"/>
        <v>2518018.8714936739</v>
      </c>
      <c r="K105" s="15">
        <f t="shared" si="5"/>
        <v>94.516838555357225</v>
      </c>
      <c r="L105" s="90">
        <f t="shared" si="7"/>
        <v>2.6620320750823323E-2</v>
      </c>
    </row>
    <row r="106" spans="1:12" x14ac:dyDescent="0.3">
      <c r="A106" s="80">
        <v>42917</v>
      </c>
      <c r="B106" s="81">
        <v>20405.150000000001</v>
      </c>
      <c r="C106" s="81">
        <v>20235.860549275752</v>
      </c>
      <c r="D106" s="81">
        <v>24880.928445936042</v>
      </c>
      <c r="E106" s="82">
        <v>24507.027825178797</v>
      </c>
      <c r="G106" s="53">
        <v>133.1580321235505</v>
      </c>
      <c r="H106" s="85">
        <f t="shared" si="4"/>
        <v>9.6212795864185317E-3</v>
      </c>
      <c r="J106" s="26">
        <f t="shared" si="6"/>
        <v>2547169.282947883</v>
      </c>
      <c r="K106" s="15">
        <f t="shared" si="5"/>
        <v>95.611033981940892</v>
      </c>
      <c r="L106" s="90">
        <f t="shared" si="7"/>
        <v>1.1576724775266278E-2</v>
      </c>
    </row>
    <row r="107" spans="1:12" x14ac:dyDescent="0.3">
      <c r="A107" s="80">
        <v>42948</v>
      </c>
      <c r="B107" s="81">
        <v>20509.599999999999</v>
      </c>
      <c r="C107" s="81">
        <v>20496.816170458242</v>
      </c>
      <c r="D107" s="81">
        <v>24911.782346448832</v>
      </c>
      <c r="E107" s="82">
        <v>24857.583144623848</v>
      </c>
      <c r="G107" s="53">
        <v>135.02658295346231</v>
      </c>
      <c r="H107" s="85">
        <f t="shared" si="4"/>
        <v>9.7562909685282879E-3</v>
      </c>
      <c r="J107" s="26">
        <f t="shared" si="6"/>
        <v>2547851.7630121023</v>
      </c>
      <c r="K107" s="15">
        <f t="shared" si="5"/>
        <v>95.636651684324818</v>
      </c>
      <c r="L107" s="90">
        <f t="shared" si="7"/>
        <v>2.679366733842059E-4</v>
      </c>
    </row>
    <row r="108" spans="1:12" x14ac:dyDescent="0.3">
      <c r="A108" s="80">
        <v>42979</v>
      </c>
      <c r="B108" s="81">
        <v>20557.349999999999</v>
      </c>
      <c r="C108" s="81">
        <v>20754.223150649585</v>
      </c>
      <c r="D108" s="81">
        <v>25118.445697676812</v>
      </c>
      <c r="E108" s="82">
        <v>25274.296289702099</v>
      </c>
      <c r="G108" s="53">
        <v>137.589447810672</v>
      </c>
      <c r="H108" s="85">
        <f t="shared" si="4"/>
        <v>9.9414697289844523E-3</v>
      </c>
      <c r="J108" s="26">
        <f t="shared" si="6"/>
        <v>2542309.8373487615</v>
      </c>
      <c r="K108" s="15">
        <f t="shared" si="5"/>
        <v>95.428628901359332</v>
      </c>
      <c r="L108" s="90">
        <f t="shared" si="7"/>
        <v>-2.1751366165781993E-3</v>
      </c>
    </row>
    <row r="109" spans="1:12" x14ac:dyDescent="0.3">
      <c r="A109" s="80">
        <v>43009</v>
      </c>
      <c r="B109" s="81">
        <v>20945.310000000001</v>
      </c>
      <c r="C109" s="81">
        <v>20925.860434733848</v>
      </c>
      <c r="D109" s="81">
        <v>25836.755718749791</v>
      </c>
      <c r="E109" s="82">
        <v>25688.933774562422</v>
      </c>
      <c r="G109" s="53">
        <v>139.67356015049151</v>
      </c>
      <c r="H109" s="85">
        <f t="shared" si="4"/>
        <v>1.009205642053531E-2</v>
      </c>
      <c r="J109" s="26">
        <f t="shared" si="6"/>
        <v>2545460.7766847792</v>
      </c>
      <c r="K109" s="15">
        <f t="shared" si="5"/>
        <v>95.546903163673903</v>
      </c>
      <c r="L109" s="90">
        <f t="shared" si="7"/>
        <v>1.2394002059574749E-3</v>
      </c>
    </row>
    <row r="110" spans="1:12" x14ac:dyDescent="0.3">
      <c r="A110" s="80">
        <v>43040</v>
      </c>
      <c r="B110" s="81">
        <v>20991.61</v>
      </c>
      <c r="C110" s="81">
        <v>21125.835637438988</v>
      </c>
      <c r="D110" s="81">
        <v>26075.652536574646</v>
      </c>
      <c r="E110" s="82">
        <v>26042.571715930779</v>
      </c>
      <c r="G110" s="53">
        <v>141.5941874580954</v>
      </c>
      <c r="H110" s="85">
        <f t="shared" si="4"/>
        <v>1.0230830567412322E-2</v>
      </c>
      <c r="J110" s="26">
        <f t="shared" si="6"/>
        <v>2545499.2675651074</v>
      </c>
      <c r="K110" s="15">
        <f t="shared" si="5"/>
        <v>95.548347964728819</v>
      </c>
      <c r="L110" s="90">
        <f t="shared" si="7"/>
        <v>1.5121380254834449E-5</v>
      </c>
    </row>
    <row r="111" spans="1:12" x14ac:dyDescent="0.3">
      <c r="A111" s="80">
        <v>43070</v>
      </c>
      <c r="B111" s="81">
        <v>31028.67</v>
      </c>
      <c r="C111" s="81">
        <v>21658.27088752991</v>
      </c>
      <c r="D111" s="81">
        <v>38563.677218769437</v>
      </c>
      <c r="E111" s="82">
        <v>26519.708406388592</v>
      </c>
      <c r="G111" s="53">
        <v>146.0430399883092</v>
      </c>
      <c r="H111" s="85">
        <f t="shared" si="4"/>
        <v>1.0552280602001427E-2</v>
      </c>
      <c r="J111" s="26">
        <f t="shared" si="6"/>
        <v>2513173.1619569194</v>
      </c>
      <c r="K111" s="15">
        <f t="shared" si="5"/>
        <v>94.334949074243085</v>
      </c>
      <c r="L111" s="90">
        <f t="shared" si="7"/>
        <v>-1.2699318369519541E-2</v>
      </c>
    </row>
    <row r="112" spans="1:12" x14ac:dyDescent="0.3">
      <c r="A112" s="80">
        <v>43101</v>
      </c>
      <c r="B112" s="81">
        <v>21865</v>
      </c>
      <c r="C112" s="81">
        <v>21766.977464006432</v>
      </c>
      <c r="D112" s="81">
        <v>28795.139188535133</v>
      </c>
      <c r="E112" s="82">
        <v>26931.70358110324</v>
      </c>
      <c r="G112" s="53">
        <v>148.60953264508839</v>
      </c>
      <c r="H112" s="85">
        <f t="shared" si="4"/>
        <v>1.0737721487643619E-2</v>
      </c>
      <c r="J112" s="26">
        <f t="shared" si="6"/>
        <v>2508139.516572</v>
      </c>
      <c r="K112" s="15">
        <f t="shared" si="5"/>
        <v>94.146005197142955</v>
      </c>
      <c r="L112" s="90">
        <f t="shared" si="7"/>
        <v>-2.0029043207671071E-3</v>
      </c>
    </row>
    <row r="113" spans="1:12" x14ac:dyDescent="0.3">
      <c r="A113" s="80">
        <v>43132</v>
      </c>
      <c r="B113" s="81">
        <v>21737.86</v>
      </c>
      <c r="C113" s="81">
        <v>22411.432554348328</v>
      </c>
      <c r="D113" s="81">
        <v>27724.878411126843</v>
      </c>
      <c r="E113" s="82">
        <v>27423.009764288967</v>
      </c>
      <c r="G113" s="53">
        <v>152.20444796694349</v>
      </c>
      <c r="H113" s="85">
        <f t="shared" si="4"/>
        <v>1.0997470635700834E-2</v>
      </c>
      <c r="J113" s="26">
        <f t="shared" si="6"/>
        <v>2493574.2656376171</v>
      </c>
      <c r="K113" s="15">
        <f t="shared" si="5"/>
        <v>93.599281148857045</v>
      </c>
      <c r="L113" s="90">
        <f t="shared" si="7"/>
        <v>-5.8071932753923639E-3</v>
      </c>
    </row>
    <row r="114" spans="1:12" x14ac:dyDescent="0.3">
      <c r="A114" s="80">
        <v>43160</v>
      </c>
      <c r="B114" s="81">
        <v>22049.94</v>
      </c>
      <c r="C114" s="81">
        <v>22489.042100630573</v>
      </c>
      <c r="D114" s="81">
        <v>29174.536250615645</v>
      </c>
      <c r="E114" s="82">
        <v>27804.822559336426</v>
      </c>
      <c r="G114" s="53">
        <v>155.7676492990129</v>
      </c>
      <c r="H114" s="85">
        <f t="shared" si="4"/>
        <v>1.1254928302293037E-2</v>
      </c>
      <c r="J114" s="26">
        <f t="shared" si="6"/>
        <v>2470457.5464662514</v>
      </c>
      <c r="K114" s="15">
        <f t="shared" si="5"/>
        <v>92.731567551240744</v>
      </c>
      <c r="L114" s="90">
        <f t="shared" si="7"/>
        <v>-9.2705156168487735E-3</v>
      </c>
    </row>
    <row r="115" spans="1:12" x14ac:dyDescent="0.3">
      <c r="A115" s="80">
        <v>43191</v>
      </c>
      <c r="B115" s="81">
        <v>23121.05</v>
      </c>
      <c r="C115" s="81">
        <v>23235.270688782228</v>
      </c>
      <c r="D115" s="81">
        <v>29146.481043466247</v>
      </c>
      <c r="E115" s="82">
        <v>28450.365247428654</v>
      </c>
      <c r="G115" s="53">
        <v>160.0341756444079</v>
      </c>
      <c r="H115" s="85">
        <f t="shared" si="4"/>
        <v>1.1563204432371153E-2</v>
      </c>
      <c r="J115" s="26">
        <f t="shared" si="6"/>
        <v>2460422.2310367487</v>
      </c>
      <c r="K115" s="15">
        <f t="shared" si="5"/>
        <v>92.354880029538521</v>
      </c>
      <c r="L115" s="90">
        <f t="shared" si="7"/>
        <v>-4.0621282660198155E-3</v>
      </c>
    </row>
    <row r="116" spans="1:12" x14ac:dyDescent="0.3">
      <c r="A116" s="80">
        <v>43221</v>
      </c>
      <c r="B116" s="81">
        <v>23687.66</v>
      </c>
      <c r="C116" s="81">
        <v>23412.838341468971</v>
      </c>
      <c r="D116" s="81">
        <v>29453.375658827765</v>
      </c>
      <c r="E116" s="82">
        <v>29018.255738979246</v>
      </c>
      <c r="G116" s="53">
        <v>163.35548466324209</v>
      </c>
      <c r="H116" s="85">
        <f t="shared" si="4"/>
        <v>1.1803184268010716E-2</v>
      </c>
      <c r="J116" s="26">
        <f t="shared" si="6"/>
        <v>2458510.7781147878</v>
      </c>
      <c r="K116" s="15">
        <f t="shared" si="5"/>
        <v>92.283131366620836</v>
      </c>
      <c r="L116" s="90">
        <f t="shared" si="7"/>
        <v>-7.7688004028297897E-4</v>
      </c>
    </row>
    <row r="117" spans="1:12" x14ac:dyDescent="0.3">
      <c r="A117" s="80">
        <v>43252</v>
      </c>
      <c r="B117" s="81">
        <v>34649.31</v>
      </c>
      <c r="C117" s="81">
        <v>23983.207710027033</v>
      </c>
      <c r="D117" s="81">
        <v>42512.181887360304</v>
      </c>
      <c r="E117" s="82">
        <v>29718.104110072218</v>
      </c>
      <c r="G117" s="53">
        <v>169.45955000351859</v>
      </c>
      <c r="H117" s="85">
        <f t="shared" si="4"/>
        <v>1.2244231032640548E-2</v>
      </c>
      <c r="J117" s="26">
        <f t="shared" si="6"/>
        <v>2427110.6965272049</v>
      </c>
      <c r="K117" s="15">
        <f t="shared" si="5"/>
        <v>91.104491891104075</v>
      </c>
      <c r="L117" s="90">
        <f t="shared" si="7"/>
        <v>-1.2771992649818986E-2</v>
      </c>
    </row>
    <row r="118" spans="1:12" x14ac:dyDescent="0.3">
      <c r="A118" s="80">
        <v>43282</v>
      </c>
      <c r="B118" s="81">
        <v>24398.67</v>
      </c>
      <c r="C118" s="81">
        <v>24296.855450915598</v>
      </c>
      <c r="D118" s="81">
        <v>30591.83637160002</v>
      </c>
      <c r="E118" s="82">
        <v>30254.955408064412</v>
      </c>
      <c r="G118" s="53">
        <v>174.71552942506469</v>
      </c>
      <c r="H118" s="85">
        <f t="shared" si="4"/>
        <v>1.2623999693296608E-2</v>
      </c>
      <c r="J118" s="26">
        <f t="shared" si="6"/>
        <v>2396622.0011974419</v>
      </c>
      <c r="K118" s="15">
        <f t="shared" si="5"/>
        <v>89.96006238468928</v>
      </c>
      <c r="L118" s="90">
        <f t="shared" si="7"/>
        <v>-1.2561724264734675E-2</v>
      </c>
    </row>
    <row r="119" spans="1:12" x14ac:dyDescent="0.3">
      <c r="A119" s="80">
        <v>43313</v>
      </c>
      <c r="B119" s="81">
        <v>25315.59</v>
      </c>
      <c r="C119" s="81">
        <v>25377.224473821767</v>
      </c>
      <c r="D119" s="81">
        <v>31293.17047671858</v>
      </c>
      <c r="E119" s="82">
        <v>31292.427141009721</v>
      </c>
      <c r="G119" s="53">
        <v>181.5109831478251</v>
      </c>
      <c r="H119" s="85">
        <f t="shared" si="4"/>
        <v>1.3115002444993801E-2</v>
      </c>
      <c r="J119" s="26">
        <f t="shared" si="6"/>
        <v>2386002.3871329529</v>
      </c>
      <c r="K119" s="15">
        <f t="shared" si="5"/>
        <v>89.561442517532313</v>
      </c>
      <c r="L119" s="90">
        <f t="shared" si="7"/>
        <v>-4.4310759306986913E-3</v>
      </c>
    </row>
    <row r="120" spans="1:12" x14ac:dyDescent="0.3">
      <c r="A120" s="80">
        <v>43344</v>
      </c>
      <c r="B120" s="81">
        <v>25397.625</v>
      </c>
      <c r="C120" s="81">
        <v>25795.881097105419</v>
      </c>
      <c r="D120" s="81">
        <v>32034.89541287356</v>
      </c>
      <c r="E120" s="82">
        <v>32372.3899506815</v>
      </c>
      <c r="G120" s="53">
        <v>193.37143019866281</v>
      </c>
      <c r="H120" s="85">
        <f t="shared" si="4"/>
        <v>1.3971974234650044E-2</v>
      </c>
      <c r="J120" s="26">
        <f t="shared" si="6"/>
        <v>2316951.7354533207</v>
      </c>
      <c r="K120" s="15">
        <f t="shared" si="5"/>
        <v>86.969544033040606</v>
      </c>
      <c r="L120" s="90">
        <f t="shared" si="7"/>
        <v>-2.89398921191375E-2</v>
      </c>
    </row>
    <row r="121" spans="1:12" x14ac:dyDescent="0.3">
      <c r="A121" s="80">
        <v>43374</v>
      </c>
      <c r="B121" s="81">
        <v>26980.880000000001</v>
      </c>
      <c r="C121" s="81">
        <v>26760.110494888697</v>
      </c>
      <c r="D121" s="81">
        <v>33586.963734294419</v>
      </c>
      <c r="E121" s="82">
        <v>33215.596316681382</v>
      </c>
      <c r="G121" s="53">
        <v>203.7972580584258</v>
      </c>
      <c r="H121" s="85">
        <f t="shared" si="4"/>
        <v>1.472528819670664E-2</v>
      </c>
      <c r="J121" s="26">
        <f t="shared" si="6"/>
        <v>2255683.9549062382</v>
      </c>
      <c r="K121" s="15">
        <f t="shared" si="5"/>
        <v>84.669784889782633</v>
      </c>
      <c r="L121" s="90">
        <f t="shared" si="7"/>
        <v>-2.6443270099061889E-2</v>
      </c>
    </row>
    <row r="122" spans="1:12" x14ac:dyDescent="0.3">
      <c r="A122" s="80">
        <v>43405</v>
      </c>
      <c r="B122" s="81">
        <v>28601.71</v>
      </c>
      <c r="C122" s="81">
        <v>28771.668169384036</v>
      </c>
      <c r="D122" s="81">
        <v>35225.642319905768</v>
      </c>
      <c r="E122" s="82">
        <v>35140.947794264845</v>
      </c>
      <c r="G122" s="53">
        <v>210.2237294572235</v>
      </c>
      <c r="H122" s="85">
        <f t="shared" si="4"/>
        <v>1.518963028028884E-2</v>
      </c>
      <c r="J122" s="26">
        <f t="shared" si="6"/>
        <v>2313482.7606611513</v>
      </c>
      <c r="K122" s="15">
        <f t="shared" si="5"/>
        <v>86.83933193094083</v>
      </c>
      <c r="L122" s="90">
        <f t="shared" si="7"/>
        <v>2.5623627649253411E-2</v>
      </c>
    </row>
    <row r="123" spans="1:12" x14ac:dyDescent="0.3">
      <c r="A123" s="80">
        <v>43435</v>
      </c>
      <c r="B123" s="81">
        <v>41098.505000000005</v>
      </c>
      <c r="C123" s="81">
        <v>28870.403536133963</v>
      </c>
      <c r="D123" s="81">
        <v>51732.16898481005</v>
      </c>
      <c r="E123" s="82">
        <v>35762.453881040972</v>
      </c>
      <c r="G123" s="53">
        <v>215.62610814527039</v>
      </c>
      <c r="H123" s="85">
        <f t="shared" si="4"/>
        <v>1.5579976960549033E-2</v>
      </c>
      <c r="J123" s="26">
        <f t="shared" si="6"/>
        <v>2295411.2173334509</v>
      </c>
      <c r="K123" s="15">
        <f t="shared" si="5"/>
        <v>86.160995019932216</v>
      </c>
      <c r="L123" s="90">
        <f t="shared" si="7"/>
        <v>-7.811401768360593E-3</v>
      </c>
    </row>
    <row r="124" spans="1:12" x14ac:dyDescent="0.3">
      <c r="A124" s="80">
        <v>43466</v>
      </c>
      <c r="B124" s="81">
        <v>30357.74</v>
      </c>
      <c r="C124" s="81">
        <v>30093.884730155911</v>
      </c>
      <c r="D124" s="81">
        <v>39454.580717995988</v>
      </c>
      <c r="E124" s="82">
        <v>36832.375287117771</v>
      </c>
      <c r="G124" s="53">
        <v>221.89272231142209</v>
      </c>
      <c r="H124" s="85">
        <f t="shared" si="4"/>
        <v>1.6032768624643423E-2</v>
      </c>
      <c r="J124" s="26">
        <f t="shared" si="6"/>
        <v>2297318.4575559818</v>
      </c>
      <c r="K124" s="15">
        <f t="shared" si="5"/>
        <v>86.232585554157367</v>
      </c>
      <c r="L124" s="90">
        <f t="shared" si="7"/>
        <v>8.3089261223823208E-4</v>
      </c>
    </row>
    <row r="125" spans="1:12" x14ac:dyDescent="0.3">
      <c r="A125" s="80">
        <v>43497</v>
      </c>
      <c r="B125" s="81">
        <v>29558.080000000002</v>
      </c>
      <c r="C125" s="81">
        <v>30437.952495607537</v>
      </c>
      <c r="D125" s="81">
        <v>38365.91604121781</v>
      </c>
      <c r="E125" s="82">
        <v>37801.865507205192</v>
      </c>
      <c r="G125" s="53">
        <v>230.24836390068111</v>
      </c>
      <c r="H125" s="85">
        <f t="shared" si="4"/>
        <v>1.6636502117637491E-2</v>
      </c>
      <c r="J125" s="26">
        <f t="shared" si="6"/>
        <v>2272224.367833239</v>
      </c>
      <c r="K125" s="15">
        <f t="shared" si="5"/>
        <v>85.290648996862544</v>
      </c>
      <c r="L125" s="90">
        <f t="shared" si="7"/>
        <v>-1.0923209031036718E-2</v>
      </c>
    </row>
    <row r="126" spans="1:12" x14ac:dyDescent="0.3">
      <c r="A126" s="80">
        <v>43525</v>
      </c>
      <c r="B126" s="81">
        <v>31011.74</v>
      </c>
      <c r="C126" s="81">
        <v>31620.205235262365</v>
      </c>
      <c r="D126" s="81">
        <v>41439.230975936618</v>
      </c>
      <c r="E126" s="82">
        <v>39360.210366589374</v>
      </c>
      <c r="G126" s="53">
        <v>241.02292862229271</v>
      </c>
      <c r="H126" s="85">
        <f t="shared" si="4"/>
        <v>1.7415013920157985E-2</v>
      </c>
      <c r="J126" s="26">
        <f t="shared" si="6"/>
        <v>2260130.8587545655</v>
      </c>
      <c r="K126" s="15">
        <f t="shared" si="5"/>
        <v>84.836704724205575</v>
      </c>
      <c r="L126" s="90">
        <f t="shared" si="7"/>
        <v>-5.3223217081356244E-3</v>
      </c>
    </row>
    <row r="127" spans="1:12" x14ac:dyDescent="0.3">
      <c r="A127" s="80">
        <v>43556</v>
      </c>
      <c r="B127" s="81">
        <v>31686.864999999998</v>
      </c>
      <c r="C127" s="81">
        <v>31482.889807045751</v>
      </c>
      <c r="D127" s="81">
        <v>41133.988426517397</v>
      </c>
      <c r="E127" s="82">
        <v>39883.821927909026</v>
      </c>
      <c r="G127" s="53">
        <v>249.32544050172649</v>
      </c>
      <c r="H127" s="85">
        <f t="shared" si="4"/>
        <v>1.8014908547524331E-2</v>
      </c>
      <c r="J127" s="26">
        <f t="shared" si="6"/>
        <v>2213934.1880472656</v>
      </c>
      <c r="K127" s="15">
        <f t="shared" si="5"/>
        <v>83.102657645977459</v>
      </c>
      <c r="L127" s="90">
        <f t="shared" si="7"/>
        <v>-2.0439821229093047E-2</v>
      </c>
    </row>
    <row r="128" spans="1:12" x14ac:dyDescent="0.3">
      <c r="A128" s="80">
        <v>43586</v>
      </c>
      <c r="B128" s="81">
        <v>33383</v>
      </c>
      <c r="C128" s="81">
        <v>33028.381757265772</v>
      </c>
      <c r="D128" s="81">
        <v>42462.100161395771</v>
      </c>
      <c r="E128" s="82">
        <v>41877.738163944836</v>
      </c>
      <c r="G128" s="53">
        <v>256.95247950646552</v>
      </c>
      <c r="H128" s="85">
        <f t="shared" si="4"/>
        <v>1.8565997156381409E-2</v>
      </c>
      <c r="J128" s="26">
        <f t="shared" si="6"/>
        <v>2255614.8108398709</v>
      </c>
      <c r="K128" s="15">
        <f t="shared" si="5"/>
        <v>84.66718948486654</v>
      </c>
      <c r="L128" s="90">
        <f t="shared" si="7"/>
        <v>1.8826495845103874E-2</v>
      </c>
    </row>
    <row r="129" spans="1:12" x14ac:dyDescent="0.3">
      <c r="A129" s="80">
        <v>43617</v>
      </c>
      <c r="B129" s="81">
        <v>48913.31</v>
      </c>
      <c r="C129" s="81">
        <v>34164.069087431541</v>
      </c>
      <c r="D129" s="81">
        <v>61343.269379963247</v>
      </c>
      <c r="E129" s="82">
        <v>43113.906709462564</v>
      </c>
      <c r="G129" s="53">
        <v>263.93646178105081</v>
      </c>
      <c r="H129" s="85">
        <f t="shared" si="4"/>
        <v>1.90706219621012E-2</v>
      </c>
      <c r="J129" s="26">
        <f t="shared" si="6"/>
        <v>2260749.9008234902</v>
      </c>
      <c r="K129" s="15">
        <f t="shared" si="5"/>
        <v>84.859941205849907</v>
      </c>
      <c r="L129" s="90">
        <f t="shared" si="7"/>
        <v>2.2765810717952917E-3</v>
      </c>
    </row>
    <row r="130" spans="1:12" x14ac:dyDescent="0.3">
      <c r="A130" s="80">
        <v>43647</v>
      </c>
      <c r="B130" s="81">
        <v>35454.11</v>
      </c>
      <c r="C130" s="81">
        <v>35363.571362663592</v>
      </c>
      <c r="D130" s="81">
        <v>45090.724995546414</v>
      </c>
      <c r="E130" s="82">
        <v>44637.187372634558</v>
      </c>
      <c r="G130" s="53">
        <v>269.7374303185797</v>
      </c>
      <c r="H130" s="85">
        <f t="shared" si="4"/>
        <v>1.9489768590220464E-2</v>
      </c>
      <c r="J130" s="26">
        <f t="shared" si="6"/>
        <v>2290288.2179438761</v>
      </c>
      <c r="K130" s="15">
        <f t="shared" si="5"/>
        <v>85.968697133802237</v>
      </c>
      <c r="L130" s="90">
        <f t="shared" si="7"/>
        <v>1.3065716428706464E-2</v>
      </c>
    </row>
    <row r="131" spans="1:12" x14ac:dyDescent="0.3">
      <c r="A131" s="80">
        <v>43678</v>
      </c>
      <c r="B131" s="81">
        <v>36145</v>
      </c>
      <c r="C131" s="81">
        <v>36191.934651183772</v>
      </c>
      <c r="D131" s="81">
        <v>46149.952702700044</v>
      </c>
      <c r="E131" s="82">
        <v>46356.196200528088</v>
      </c>
      <c r="G131" s="53">
        <v>280.40280997572671</v>
      </c>
      <c r="H131" s="85">
        <f t="shared" si="4"/>
        <v>2.026039127020646E-2</v>
      </c>
      <c r="J131" s="26">
        <f t="shared" si="6"/>
        <v>2288020.7781917974</v>
      </c>
      <c r="K131" s="15">
        <f t="shared" si="5"/>
        <v>85.883586081058581</v>
      </c>
      <c r="L131" s="90">
        <f t="shared" si="7"/>
        <v>-9.9002375959222899E-4</v>
      </c>
    </row>
    <row r="132" spans="1:12" x14ac:dyDescent="0.3">
      <c r="A132" s="80">
        <v>43709</v>
      </c>
      <c r="B132" s="81">
        <v>37476.239999999998</v>
      </c>
      <c r="C132" s="81">
        <v>37976.758847542267</v>
      </c>
      <c r="D132" s="81">
        <v>47494.739545752767</v>
      </c>
      <c r="E132" s="82">
        <v>47863.252787597223</v>
      </c>
      <c r="G132" s="53">
        <v>296.90637237243891</v>
      </c>
      <c r="H132" s="85">
        <f t="shared" ref="H132:H195" si="8">G132/HLOOKUP($G$3,$G$3:$G$1996,MATCH(MAX($A$4:$A$1996),$A$3:$A$1996,0),FALSE)</f>
        <v>2.1452849475381369E-2</v>
      </c>
      <c r="J132" s="26">
        <f t="shared" si="6"/>
        <v>2231090.6922888551</v>
      </c>
      <c r="K132" s="15">
        <f t="shared" ref="K132:K195" si="9">J132/$J$56*100</f>
        <v>83.746647474621867</v>
      </c>
      <c r="L132" s="90">
        <f t="shared" si="7"/>
        <v>-2.4881804590924039E-2</v>
      </c>
    </row>
    <row r="133" spans="1:12" x14ac:dyDescent="0.3">
      <c r="A133" s="80">
        <v>43739</v>
      </c>
      <c r="B133" s="81">
        <v>39623.51</v>
      </c>
      <c r="C133" s="81">
        <v>39248.467446160888</v>
      </c>
      <c r="D133" s="81">
        <v>51085.492164387331</v>
      </c>
      <c r="E133" s="82">
        <v>50391.875261300243</v>
      </c>
      <c r="G133" s="53">
        <v>306.68493057351583</v>
      </c>
      <c r="H133" s="85">
        <f t="shared" si="8"/>
        <v>2.2159395230858837E-2</v>
      </c>
      <c r="J133" s="26">
        <f t="shared" ref="J133:J188" si="10">E133/H133</f>
        <v>2274063.652744696</v>
      </c>
      <c r="K133" s="15">
        <f t="shared" si="9"/>
        <v>85.359688747517936</v>
      </c>
      <c r="L133" s="90">
        <f t="shared" ref="L133:L182" si="11">J133/J132-1</f>
        <v>1.92609653226401E-2</v>
      </c>
    </row>
    <row r="134" spans="1:12" x14ac:dyDescent="0.3">
      <c r="A134" s="80">
        <v>43770</v>
      </c>
      <c r="B134" s="83">
        <v>39828.43</v>
      </c>
      <c r="C134" s="83">
        <v>40022.37207684607</v>
      </c>
      <c r="D134" s="83">
        <v>51307.775886545911</v>
      </c>
      <c r="E134" s="84">
        <v>51275.739287497883</v>
      </c>
      <c r="G134" s="53">
        <v>319.73295536731979</v>
      </c>
      <c r="H134" s="85">
        <f t="shared" si="8"/>
        <v>2.310217496851092E-2</v>
      </c>
      <c r="J134" s="26">
        <f t="shared" si="10"/>
        <v>2219519.995731507</v>
      </c>
      <c r="K134" s="15">
        <f t="shared" si="9"/>
        <v>83.312327592882795</v>
      </c>
      <c r="L134" s="90">
        <f t="shared" si="11"/>
        <v>-2.3985105670792151E-2</v>
      </c>
    </row>
    <row r="135" spans="1:12" x14ac:dyDescent="0.3">
      <c r="A135" s="80">
        <v>43800</v>
      </c>
      <c r="B135" s="83">
        <v>59149.26</v>
      </c>
      <c r="C135" s="83">
        <v>41558.340592937871</v>
      </c>
      <c r="D135" s="83">
        <v>76103.151364060992</v>
      </c>
      <c r="E135" s="84">
        <v>52760.361421086272</v>
      </c>
      <c r="G135" s="53">
        <v>331.70282153420732</v>
      </c>
      <c r="H135" s="85">
        <f t="shared" si="8"/>
        <v>2.3967052792003993E-2</v>
      </c>
      <c r="J135" s="26">
        <f t="shared" si="10"/>
        <v>2201370.4346113196</v>
      </c>
      <c r="K135" s="15">
        <f t="shared" si="9"/>
        <v>82.631062191075159</v>
      </c>
      <c r="L135" s="90">
        <f t="shared" si="11"/>
        <v>-8.1772460509893508E-3</v>
      </c>
    </row>
    <row r="136" spans="1:12" x14ac:dyDescent="0.3">
      <c r="A136" s="80">
        <v>43831</v>
      </c>
      <c r="B136" s="83">
        <v>44309.724999999999</v>
      </c>
      <c r="C136" s="83">
        <v>44080.650991969029</v>
      </c>
      <c r="D136" s="83">
        <v>59174.55358271618</v>
      </c>
      <c r="E136" s="84">
        <v>55291.780947318752</v>
      </c>
      <c r="G136" s="53">
        <v>339.17573757013599</v>
      </c>
      <c r="H136" s="85">
        <f t="shared" si="8"/>
        <v>2.4507005308280209E-2</v>
      </c>
      <c r="J136" s="26">
        <f t="shared" si="10"/>
        <v>2256162.2789805843</v>
      </c>
      <c r="K136" s="15">
        <f t="shared" si="9"/>
        <v>84.687739353835283</v>
      </c>
      <c r="L136" s="90">
        <f t="shared" si="11"/>
        <v>2.4889879280557858E-2</v>
      </c>
    </row>
    <row r="137" spans="1:12" x14ac:dyDescent="0.3">
      <c r="A137" s="80">
        <v>43862</v>
      </c>
      <c r="B137" s="83">
        <v>45298.01</v>
      </c>
      <c r="C137" s="83">
        <v>45020.061388282149</v>
      </c>
      <c r="D137" s="83">
        <v>59859.772662604308</v>
      </c>
      <c r="E137" s="84">
        <v>56881.810658005466</v>
      </c>
      <c r="G137" s="53">
        <v>346.00547985011838</v>
      </c>
      <c r="H137" s="85">
        <f t="shared" si="8"/>
        <v>2.5000485565767977E-2</v>
      </c>
      <c r="J137" s="26">
        <f t="shared" si="10"/>
        <v>2275228.2354024006</v>
      </c>
      <c r="K137" s="15">
        <f t="shared" si="9"/>
        <v>85.403402745172514</v>
      </c>
      <c r="L137" s="90">
        <f t="shared" si="11"/>
        <v>8.4506139471629549E-3</v>
      </c>
    </row>
    <row r="138" spans="1:12" x14ac:dyDescent="0.3">
      <c r="A138" s="80">
        <v>43891</v>
      </c>
      <c r="B138" s="83">
        <v>46338.19</v>
      </c>
      <c r="C138" s="83">
        <v>46925.378356970701</v>
      </c>
      <c r="D138" s="83">
        <v>61896.580723787476</v>
      </c>
      <c r="E138" s="84">
        <v>58288.542777178089</v>
      </c>
      <c r="G138" s="53">
        <v>357.57406457429482</v>
      </c>
      <c r="H138" s="85">
        <f t="shared" si="8"/>
        <v>2.5836368961425236E-2</v>
      </c>
      <c r="J138" s="26">
        <f t="shared" si="10"/>
        <v>2256065.5819788487</v>
      </c>
      <c r="K138" s="15">
        <f t="shared" si="9"/>
        <v>84.684109716660885</v>
      </c>
      <c r="L138" s="90">
        <f t="shared" si="11"/>
        <v>-8.4222994095195514E-3</v>
      </c>
    </row>
    <row r="139" spans="1:12" x14ac:dyDescent="0.3">
      <c r="A139" s="80">
        <v>43922</v>
      </c>
      <c r="B139" s="83">
        <v>44895.56</v>
      </c>
      <c r="C139" s="83">
        <v>44657.819066575983</v>
      </c>
      <c r="D139" s="83">
        <v>57845.259066480656</v>
      </c>
      <c r="E139" s="84">
        <v>55812.777363396315</v>
      </c>
      <c r="G139" s="53">
        <v>362.92542001678271</v>
      </c>
      <c r="H139" s="85">
        <f t="shared" si="8"/>
        <v>2.6223028977778635E-2</v>
      </c>
      <c r="J139" s="26">
        <f t="shared" si="10"/>
        <v>2128387.8918294297</v>
      </c>
      <c r="K139" s="15">
        <f t="shared" si="9"/>
        <v>79.89157548922077</v>
      </c>
      <c r="L139" s="90">
        <f t="shared" si="11"/>
        <v>-5.6593075648727287E-2</v>
      </c>
    </row>
    <row r="140" spans="1:12" x14ac:dyDescent="0.3">
      <c r="A140" s="80">
        <v>43952</v>
      </c>
      <c r="B140" s="83">
        <v>45638.425000000003</v>
      </c>
      <c r="C140" s="83">
        <v>45314.852293733355</v>
      </c>
      <c r="D140" s="83">
        <v>57342.538342523316</v>
      </c>
      <c r="E140" s="84">
        <v>56992.4775848973</v>
      </c>
      <c r="G140" s="53">
        <v>368.52440203634171</v>
      </c>
      <c r="H140" s="85">
        <f t="shared" si="8"/>
        <v>2.6627581151991639E-2</v>
      </c>
      <c r="J140" s="26">
        <f t="shared" si="10"/>
        <v>2140355.0423743422</v>
      </c>
      <c r="K140" s="15">
        <f t="shared" si="9"/>
        <v>80.340776743757118</v>
      </c>
      <c r="L140" s="90">
        <f t="shared" si="11"/>
        <v>5.622636076277665E-3</v>
      </c>
    </row>
    <row r="141" spans="1:12" x14ac:dyDescent="0.3">
      <c r="A141" s="80">
        <v>43983</v>
      </c>
      <c r="B141" s="83">
        <v>68707.235000000001</v>
      </c>
      <c r="C141" s="83">
        <v>47699.805208356353</v>
      </c>
      <c r="D141" s="83">
        <v>85458.223721310918</v>
      </c>
      <c r="E141" s="84">
        <v>59761.948046116435</v>
      </c>
      <c r="G141" s="53">
        <v>376.79239130696823</v>
      </c>
      <c r="H141" s="85">
        <f t="shared" si="8"/>
        <v>2.7224981362265078E-2</v>
      </c>
      <c r="J141" s="26">
        <f t="shared" si="10"/>
        <v>2195114.3786253938</v>
      </c>
      <c r="K141" s="15">
        <f t="shared" si="9"/>
        <v>82.396233675566748</v>
      </c>
      <c r="L141" s="90">
        <f t="shared" si="11"/>
        <v>2.5584230264108943E-2</v>
      </c>
    </row>
    <row r="142" spans="1:12" x14ac:dyDescent="0.3">
      <c r="A142" s="80">
        <v>44013</v>
      </c>
      <c r="B142" s="83">
        <v>47636.79</v>
      </c>
      <c r="C142" s="83">
        <v>47852.695061621853</v>
      </c>
      <c r="D142" s="83">
        <v>60868.416224538123</v>
      </c>
      <c r="E142" s="84">
        <v>60437.911104708306</v>
      </c>
      <c r="G142" s="53">
        <v>384.08028956484912</v>
      </c>
      <c r="H142" s="85">
        <f t="shared" si="8"/>
        <v>2.7751565494053575E-2</v>
      </c>
      <c r="J142" s="26">
        <f t="shared" si="10"/>
        <v>2177819.8825453124</v>
      </c>
      <c r="K142" s="15">
        <f t="shared" si="9"/>
        <v>81.747064158847579</v>
      </c>
      <c r="L142" s="90">
        <f t="shared" si="11"/>
        <v>-7.8786309490220807E-3</v>
      </c>
    </row>
    <row r="143" spans="1:12" x14ac:dyDescent="0.3">
      <c r="A143" s="80">
        <v>44044</v>
      </c>
      <c r="B143" s="83">
        <v>48338.92</v>
      </c>
      <c r="C143" s="83">
        <v>48725.82981240833</v>
      </c>
      <c r="D143" s="83">
        <v>61913.348028283697</v>
      </c>
      <c r="E143" s="84">
        <v>62438.616322738795</v>
      </c>
      <c r="G143" s="53">
        <v>394.45088125052069</v>
      </c>
      <c r="H143" s="85">
        <f t="shared" si="8"/>
        <v>2.8500888388761532E-2</v>
      </c>
      <c r="J143" s="26">
        <f t="shared" si="10"/>
        <v>2190760.3535390003</v>
      </c>
      <c r="K143" s="15">
        <f t="shared" si="9"/>
        <v>82.232800156137841</v>
      </c>
      <c r="L143" s="90">
        <f t="shared" si="11"/>
        <v>5.9419381269325555E-3</v>
      </c>
    </row>
    <row r="144" spans="1:12" x14ac:dyDescent="0.3">
      <c r="A144" s="80">
        <v>44075</v>
      </c>
      <c r="B144" s="83">
        <v>49478.014999999999</v>
      </c>
      <c r="C144" s="83">
        <v>49308.628367205769</v>
      </c>
      <c r="D144" s="83">
        <v>64161.745935572093</v>
      </c>
      <c r="E144" s="84">
        <v>64411.129859994566</v>
      </c>
      <c r="G144" s="53">
        <v>405.63562137507847</v>
      </c>
      <c r="H144" s="85">
        <f t="shared" si="8"/>
        <v>2.9309037248606177E-2</v>
      </c>
      <c r="J144" s="26">
        <f t="shared" si="10"/>
        <v>2197654.2359151598</v>
      </c>
      <c r="K144" s="15">
        <f t="shared" si="9"/>
        <v>82.491570245172383</v>
      </c>
      <c r="L144" s="90">
        <f t="shared" si="11"/>
        <v>3.1467989481472891E-3</v>
      </c>
    </row>
    <row r="145" spans="1:12" x14ac:dyDescent="0.3">
      <c r="A145" s="80">
        <v>44105</v>
      </c>
      <c r="B145" s="83">
        <v>53377.2</v>
      </c>
      <c r="C145" s="83">
        <v>53065.638354089235</v>
      </c>
      <c r="D145" s="83">
        <v>68108.729498612331</v>
      </c>
      <c r="E145" s="84">
        <v>67369.19736322861</v>
      </c>
      <c r="G145" s="53">
        <v>420.89145477144501</v>
      </c>
      <c r="H145" s="85">
        <f t="shared" si="8"/>
        <v>3.0411341301087767E-2</v>
      </c>
      <c r="J145" s="26">
        <f t="shared" si="10"/>
        <v>2215265.5713616591</v>
      </c>
      <c r="K145" s="15">
        <f t="shared" si="9"/>
        <v>83.15263270502345</v>
      </c>
      <c r="L145" s="90">
        <f t="shared" si="11"/>
        <v>8.0136971315531991E-3</v>
      </c>
    </row>
    <row r="146" spans="1:12" x14ac:dyDescent="0.3">
      <c r="A146" s="80">
        <v>44136</v>
      </c>
      <c r="B146" s="83">
        <v>53874.06</v>
      </c>
      <c r="C146" s="83">
        <v>54557.172332076712</v>
      </c>
      <c r="D146" s="83">
        <v>69308.323222926905</v>
      </c>
      <c r="E146" s="84">
        <v>69200.333339971738</v>
      </c>
      <c r="G146" s="53">
        <v>434.19038286451189</v>
      </c>
      <c r="H146" s="85">
        <f t="shared" si="8"/>
        <v>3.1372249954832003E-2</v>
      </c>
      <c r="J146" s="26">
        <f t="shared" si="10"/>
        <v>2205781.6522437017</v>
      </c>
      <c r="K146" s="15">
        <f t="shared" si="9"/>
        <v>82.796642500862546</v>
      </c>
      <c r="L146" s="90">
        <f t="shared" si="11"/>
        <v>-4.281165762048067E-3</v>
      </c>
    </row>
    <row r="147" spans="1:12" x14ac:dyDescent="0.3">
      <c r="A147" s="80">
        <v>44166</v>
      </c>
      <c r="B147" s="83">
        <v>80166.67</v>
      </c>
      <c r="C147" s="83">
        <v>55936.910131704783</v>
      </c>
      <c r="D147" s="83">
        <v>103375.19709824334</v>
      </c>
      <c r="E147" s="84">
        <v>71614.170551355564</v>
      </c>
      <c r="G147" s="53">
        <v>451.58217102680487</v>
      </c>
      <c r="H147" s="85">
        <f t="shared" si="8"/>
        <v>3.2628886552329379E-2</v>
      </c>
      <c r="J147" s="26">
        <f t="shared" si="10"/>
        <v>2194808.8984434875</v>
      </c>
      <c r="K147" s="15">
        <f t="shared" si="9"/>
        <v>82.384767112959949</v>
      </c>
      <c r="L147" s="90">
        <f t="shared" si="11"/>
        <v>-4.9745421488355257E-3</v>
      </c>
    </row>
    <row r="148" spans="1:12" x14ac:dyDescent="0.3">
      <c r="A148" s="80">
        <v>44197</v>
      </c>
      <c r="B148" s="83">
        <v>57813.05</v>
      </c>
      <c r="C148" s="83">
        <v>58204.721737706619</v>
      </c>
      <c r="D148" s="83">
        <v>78852.767204403121</v>
      </c>
      <c r="E148" s="84">
        <v>74450.44232062505</v>
      </c>
      <c r="G148" s="53">
        <v>469.86686598638153</v>
      </c>
      <c r="H148" s="85">
        <f t="shared" si="8"/>
        <v>3.3950039768195737E-2</v>
      </c>
      <c r="J148" s="26">
        <f t="shared" si="10"/>
        <v>2192941.2403920046</v>
      </c>
      <c r="K148" s="15">
        <f t="shared" si="9"/>
        <v>82.314662342687157</v>
      </c>
      <c r="L148" s="90">
        <f t="shared" si="11"/>
        <v>-8.5094335675761634E-4</v>
      </c>
    </row>
    <row r="149" spans="1:12" x14ac:dyDescent="0.3">
      <c r="A149" s="80">
        <v>44228</v>
      </c>
      <c r="B149" s="83">
        <v>60346.759999999995</v>
      </c>
      <c r="C149" s="83">
        <v>62289.47508767114</v>
      </c>
      <c r="D149" s="83">
        <v>79789.417900367145</v>
      </c>
      <c r="E149" s="84">
        <v>78153.444379078152</v>
      </c>
      <c r="G149" s="53">
        <v>486.66287583871781</v>
      </c>
      <c r="H149" s="85">
        <f t="shared" si="8"/>
        <v>3.5163628645625437E-2</v>
      </c>
      <c r="J149" s="26">
        <f t="shared" si="10"/>
        <v>2222564.8315962665</v>
      </c>
      <c r="K149" s="15">
        <f t="shared" si="9"/>
        <v>83.426619134981649</v>
      </c>
      <c r="L149" s="90">
        <f t="shared" si="11"/>
        <v>1.3508611475137489E-2</v>
      </c>
    </row>
    <row r="150" spans="1:12" x14ac:dyDescent="0.3">
      <c r="A150" s="80">
        <v>44256</v>
      </c>
      <c r="B150" s="83">
        <v>62883.425000000003</v>
      </c>
      <c r="C150" s="83">
        <v>63094.894676669319</v>
      </c>
      <c r="D150" s="83">
        <v>85611.507050311091</v>
      </c>
      <c r="E150" s="84">
        <v>80026.837099164186</v>
      </c>
      <c r="G150" s="53">
        <v>510.07528995118741</v>
      </c>
      <c r="H150" s="85">
        <f t="shared" si="8"/>
        <v>3.685528312847388E-2</v>
      </c>
      <c r="J150" s="26">
        <f t="shared" si="10"/>
        <v>2171380.336984484</v>
      </c>
      <c r="K150" s="15">
        <f t="shared" si="9"/>
        <v>81.505348143517793</v>
      </c>
      <c r="L150" s="90">
        <f t="shared" si="11"/>
        <v>-2.3029472024454378E-2</v>
      </c>
    </row>
    <row r="151" spans="1:12" x14ac:dyDescent="0.3">
      <c r="A151" s="80">
        <v>44287</v>
      </c>
      <c r="B151" s="83">
        <v>65156.480000000003</v>
      </c>
      <c r="C151" s="83">
        <v>64594.515818870648</v>
      </c>
      <c r="D151" s="83">
        <v>86145.089498562607</v>
      </c>
      <c r="E151" s="84">
        <v>82786.630319258096</v>
      </c>
      <c r="G151" s="53">
        <v>530.88785905599627</v>
      </c>
      <c r="H151" s="85">
        <f t="shared" si="8"/>
        <v>3.835908686509884E-2</v>
      </c>
      <c r="J151" s="26">
        <f t="shared" si="10"/>
        <v>2158201.2786279805</v>
      </c>
      <c r="K151" s="15">
        <f t="shared" si="9"/>
        <v>81.010656485287925</v>
      </c>
      <c r="L151" s="90">
        <f t="shared" si="11"/>
        <v>-6.0694380123226255E-3</v>
      </c>
    </row>
    <row r="152" spans="1:12" x14ac:dyDescent="0.3">
      <c r="A152" s="80">
        <v>44317</v>
      </c>
      <c r="B152" s="83">
        <v>68128.2</v>
      </c>
      <c r="C152" s="83">
        <v>67537.241865246615</v>
      </c>
      <c r="D152" s="83">
        <v>86697.121972828478</v>
      </c>
      <c r="E152" s="84">
        <v>86187.145313976042</v>
      </c>
      <c r="G152" s="53">
        <v>548.52914620804142</v>
      </c>
      <c r="H152" s="85">
        <f t="shared" si="8"/>
        <v>3.9633750910874427E-2</v>
      </c>
      <c r="J152" s="26">
        <f t="shared" si="10"/>
        <v>2174589.6699958476</v>
      </c>
      <c r="K152" s="15">
        <f t="shared" si="9"/>
        <v>81.625814282012414</v>
      </c>
      <c r="L152" s="90">
        <f t="shared" si="11"/>
        <v>7.5935416822130453E-3</v>
      </c>
    </row>
    <row r="153" spans="1:12" x14ac:dyDescent="0.3">
      <c r="A153" s="80">
        <v>44348</v>
      </c>
      <c r="B153" s="83">
        <v>99971.26</v>
      </c>
      <c r="C153" s="83">
        <v>69401.085954667389</v>
      </c>
      <c r="D153" s="83">
        <v>127132.85117371191</v>
      </c>
      <c r="E153" s="84">
        <v>89130.238110057602</v>
      </c>
      <c r="G153" s="53">
        <v>565.94246711616677</v>
      </c>
      <c r="H153" s="85">
        <f t="shared" si="8"/>
        <v>4.0891943348185689E-2</v>
      </c>
      <c r="J153" s="26">
        <f t="shared" si="10"/>
        <v>2179652.7827287074</v>
      </c>
      <c r="K153" s="15">
        <f t="shared" si="9"/>
        <v>81.815864251127763</v>
      </c>
      <c r="L153" s="90">
        <f t="shared" si="11"/>
        <v>2.3283071757025375E-3</v>
      </c>
    </row>
    <row r="154" spans="1:12" x14ac:dyDescent="0.3">
      <c r="A154" s="80">
        <v>44378</v>
      </c>
      <c r="B154" s="83">
        <v>72268</v>
      </c>
      <c r="C154" s="83">
        <v>72897.015649928493</v>
      </c>
      <c r="D154" s="83">
        <v>94460.722216312293</v>
      </c>
      <c r="E154" s="84">
        <v>94139.621295272329</v>
      </c>
      <c r="G154" s="53">
        <v>582.90395143919227</v>
      </c>
      <c r="H154" s="85">
        <f t="shared" si="8"/>
        <v>4.2117488516358992E-2</v>
      </c>
      <c r="J154" s="26">
        <f t="shared" si="10"/>
        <v>2235167.019959114</v>
      </c>
      <c r="K154" s="15">
        <f t="shared" si="9"/>
        <v>83.899657290660329</v>
      </c>
      <c r="L154" s="90">
        <f t="shared" si="11"/>
        <v>2.5469303033168522E-2</v>
      </c>
    </row>
    <row r="155" spans="1:12" x14ac:dyDescent="0.3">
      <c r="A155" s="80">
        <v>44409</v>
      </c>
      <c r="B155" s="83">
        <v>75189.100000000006</v>
      </c>
      <c r="C155" s="83">
        <v>75376.655714114429</v>
      </c>
      <c r="D155" s="83">
        <v>96663.931774012322</v>
      </c>
      <c r="E155" s="84">
        <v>97130.812581461985</v>
      </c>
      <c r="G155" s="53">
        <v>597.29285776422512</v>
      </c>
      <c r="H155" s="85">
        <f t="shared" si="8"/>
        <v>4.3157153105029662E-2</v>
      </c>
      <c r="J155" s="26">
        <f t="shared" si="10"/>
        <v>2250630.6740177926</v>
      </c>
      <c r="K155" s="15">
        <f t="shared" si="9"/>
        <v>84.480103970661986</v>
      </c>
      <c r="L155" s="90">
        <f t="shared" si="11"/>
        <v>6.9183438734530256E-3</v>
      </c>
    </row>
    <row r="156" spans="1:12" x14ac:dyDescent="0.3">
      <c r="A156" s="80">
        <v>44440</v>
      </c>
      <c r="B156" s="83">
        <v>77319.7</v>
      </c>
      <c r="C156" s="83">
        <v>76975.639317532841</v>
      </c>
      <c r="D156" s="83">
        <v>99916.201908129296</v>
      </c>
      <c r="E156" s="84">
        <v>100033.74032600479</v>
      </c>
      <c r="G156" s="53">
        <v>618.47756888939591</v>
      </c>
      <c r="H156" s="85">
        <f t="shared" si="8"/>
        <v>4.4687845812351003E-2</v>
      </c>
      <c r="J156" s="26">
        <f t="shared" si="10"/>
        <v>2238499.943498218</v>
      </c>
      <c r="K156" s="15">
        <f t="shared" si="9"/>
        <v>84.024762546871528</v>
      </c>
      <c r="L156" s="90">
        <f t="shared" si="11"/>
        <v>-5.3899249928549553E-3</v>
      </c>
    </row>
    <row r="157" spans="1:12" x14ac:dyDescent="0.3">
      <c r="A157" s="80">
        <v>44470</v>
      </c>
      <c r="B157" s="83">
        <v>79281.929999999993</v>
      </c>
      <c r="C157" s="83">
        <v>79511.466919312763</v>
      </c>
      <c r="D157" s="83">
        <v>104455.59429117682</v>
      </c>
      <c r="E157" s="84">
        <v>103951.50610720683</v>
      </c>
      <c r="G157" s="53">
        <v>640.22494002522728</v>
      </c>
      <c r="H157" s="85">
        <f t="shared" si="8"/>
        <v>4.6259193290461083E-2</v>
      </c>
      <c r="J157" s="26">
        <f t="shared" si="10"/>
        <v>2247153.4567085123</v>
      </c>
      <c r="K157" s="15">
        <f t="shared" si="9"/>
        <v>84.349582475861524</v>
      </c>
      <c r="L157" s="90">
        <f t="shared" si="11"/>
        <v>3.8657643192838709E-3</v>
      </c>
    </row>
    <row r="158" spans="1:12" x14ac:dyDescent="0.3">
      <c r="A158" s="80">
        <v>44501</v>
      </c>
      <c r="B158" s="83">
        <v>83262.31</v>
      </c>
      <c r="C158" s="83">
        <v>83473.212173651118</v>
      </c>
      <c r="D158" s="83">
        <v>108278.84745911909</v>
      </c>
      <c r="E158" s="84">
        <v>107867.37571466136</v>
      </c>
      <c r="G158" s="53">
        <v>656.41920325218575</v>
      </c>
      <c r="H158" s="85">
        <f t="shared" si="8"/>
        <v>4.7429303209613805E-2</v>
      </c>
      <c r="J158" s="26">
        <f t="shared" si="10"/>
        <v>2274277.0484723654</v>
      </c>
      <c r="K158" s="15">
        <f t="shared" si="9"/>
        <v>85.367698810416542</v>
      </c>
      <c r="L158" s="90">
        <f t="shared" si="11"/>
        <v>1.2070200049257851E-2</v>
      </c>
    </row>
    <row r="159" spans="1:12" x14ac:dyDescent="0.3">
      <c r="A159" s="80">
        <v>44531</v>
      </c>
      <c r="B159" s="83">
        <v>121726.16</v>
      </c>
      <c r="C159" s="83">
        <v>85005.295719159403</v>
      </c>
      <c r="D159" s="83">
        <v>160794.05004048796</v>
      </c>
      <c r="E159" s="84">
        <v>111435.00673724385</v>
      </c>
      <c r="G159" s="53">
        <v>681.62550573890951</v>
      </c>
      <c r="H159" s="85">
        <f t="shared" si="8"/>
        <v>4.9250574369130398E-2</v>
      </c>
      <c r="J159" s="26">
        <f t="shared" si="10"/>
        <v>2262613.3433905663</v>
      </c>
      <c r="K159" s="15">
        <f t="shared" si="9"/>
        <v>84.929887742892745</v>
      </c>
      <c r="L159" s="90">
        <f t="shared" si="11"/>
        <v>-5.1285330824727415E-3</v>
      </c>
    </row>
    <row r="160" spans="1:12" x14ac:dyDescent="0.3">
      <c r="A160" s="80">
        <v>44562</v>
      </c>
      <c r="B160" s="83">
        <v>89498.69</v>
      </c>
      <c r="C160" s="83">
        <v>90838.996021300249</v>
      </c>
      <c r="D160" s="83">
        <v>122700.73199273103</v>
      </c>
      <c r="E160" s="84">
        <v>116375.58705611578</v>
      </c>
      <c r="G160" s="53">
        <v>708.04314220449078</v>
      </c>
      <c r="H160" s="85">
        <f t="shared" si="8"/>
        <v>5.1159369973828805E-2</v>
      </c>
      <c r="J160" s="26">
        <f t="shared" si="10"/>
        <v>2274765.8369453945</v>
      </c>
      <c r="K160" s="15">
        <f t="shared" si="9"/>
        <v>85.386046068142065</v>
      </c>
      <c r="L160" s="90">
        <f t="shared" si="11"/>
        <v>5.3709988011549914E-3</v>
      </c>
    </row>
    <row r="161" spans="1:12" x14ac:dyDescent="0.3">
      <c r="A161" s="80">
        <v>44593</v>
      </c>
      <c r="B161" s="83">
        <v>91635.010000000009</v>
      </c>
      <c r="C161" s="83">
        <v>94773.867675165384</v>
      </c>
      <c r="D161" s="83">
        <v>123340.77111761941</v>
      </c>
      <c r="E161" s="84">
        <v>120812.77581118124</v>
      </c>
      <c r="G161" s="53">
        <v>741.28127591244163</v>
      </c>
      <c r="H161" s="85">
        <f t="shared" si="8"/>
        <v>5.356097783957315E-2</v>
      </c>
      <c r="J161" s="26">
        <f t="shared" si="10"/>
        <v>2255611.8406396899</v>
      </c>
      <c r="K161" s="15">
        <f t="shared" si="9"/>
        <v>84.667077994863774</v>
      </c>
      <c r="L161" s="90">
        <f t="shared" si="11"/>
        <v>-8.4202057172728662E-3</v>
      </c>
    </row>
    <row r="162" spans="1:12" x14ac:dyDescent="0.3">
      <c r="A162" s="80">
        <v>44621</v>
      </c>
      <c r="B162" s="83">
        <v>98681.94</v>
      </c>
      <c r="C162" s="83">
        <v>98769.68807652012</v>
      </c>
      <c r="D162" s="83">
        <v>136935.1480921834</v>
      </c>
      <c r="E162" s="84">
        <v>127702.02580601169</v>
      </c>
      <c r="G162" s="53">
        <v>791.16059434916315</v>
      </c>
      <c r="H162" s="85">
        <f t="shared" si="8"/>
        <v>5.7164987756259375E-2</v>
      </c>
      <c r="J162" s="26">
        <f t="shared" si="10"/>
        <v>2233920.2861462827</v>
      </c>
      <c r="K162" s="15">
        <f t="shared" si="9"/>
        <v>83.852859651515161</v>
      </c>
      <c r="L162" s="90">
        <f t="shared" si="11"/>
        <v>-9.6167053668487767E-3</v>
      </c>
    </row>
    <row r="163" spans="1:12" x14ac:dyDescent="0.3">
      <c r="A163" s="80">
        <v>44652</v>
      </c>
      <c r="B163" s="83">
        <v>103832.32000000001</v>
      </c>
      <c r="C163" s="83">
        <v>102794.23324969319</v>
      </c>
      <c r="D163" s="83">
        <v>138254.29995655469</v>
      </c>
      <c r="E163" s="84">
        <v>132646.31404377634</v>
      </c>
      <c r="G163" s="53">
        <v>839.00460020156527</v>
      </c>
      <c r="H163" s="85">
        <f t="shared" si="8"/>
        <v>6.0621936987929434E-2</v>
      </c>
      <c r="J163" s="26">
        <f t="shared" si="10"/>
        <v>2188090.9887486412</v>
      </c>
      <c r="K163" s="15">
        <f t="shared" si="9"/>
        <v>82.132602368189538</v>
      </c>
      <c r="L163" s="90">
        <f t="shared" si="11"/>
        <v>-2.0515189231170461E-2</v>
      </c>
    </row>
    <row r="164" spans="1:12" x14ac:dyDescent="0.3">
      <c r="A164" s="80">
        <v>44682</v>
      </c>
      <c r="B164" s="83">
        <v>111655.37</v>
      </c>
      <c r="C164" s="83">
        <v>110213.12615557073</v>
      </c>
      <c r="D164" s="83">
        <v>144485.41890339175</v>
      </c>
      <c r="E164" s="84">
        <v>143044.56165530687</v>
      </c>
      <c r="G164" s="53">
        <v>881.37624594196586</v>
      </c>
      <c r="H164" s="85">
        <f t="shared" si="8"/>
        <v>6.3683483059944215E-2</v>
      </c>
      <c r="J164" s="26">
        <f t="shared" si="10"/>
        <v>2246179.9320973284</v>
      </c>
      <c r="K164" s="15">
        <f t="shared" si="9"/>
        <v>84.313040069628329</v>
      </c>
      <c r="L164" s="90">
        <f t="shared" si="11"/>
        <v>2.6547773217560744E-2</v>
      </c>
    </row>
    <row r="165" spans="1:12" x14ac:dyDescent="0.3">
      <c r="A165" s="80">
        <v>44713</v>
      </c>
      <c r="B165" s="83">
        <v>165158.01</v>
      </c>
      <c r="C165" s="83">
        <v>115017.71435042487</v>
      </c>
      <c r="D165" s="83">
        <v>211726.8424179501</v>
      </c>
      <c r="E165" s="84">
        <v>148287.63695638572</v>
      </c>
      <c r="G165" s="53">
        <v>928.04706822388732</v>
      </c>
      <c r="H165" s="85">
        <f t="shared" si="8"/>
        <v>6.7055664388711397E-2</v>
      </c>
      <c r="J165" s="26">
        <f t="shared" si="10"/>
        <v>2211411.0464521688</v>
      </c>
      <c r="K165" s="15">
        <f t="shared" si="9"/>
        <v>83.007948519887947</v>
      </c>
      <c r="L165" s="90">
        <f t="shared" si="11"/>
        <v>-1.5479118635297717E-2</v>
      </c>
    </row>
    <row r="166" spans="1:12" x14ac:dyDescent="0.3">
      <c r="A166" s="80">
        <v>44743</v>
      </c>
      <c r="B166" s="83">
        <v>119847.76000000001</v>
      </c>
      <c r="C166" s="83">
        <v>121830.69278217958</v>
      </c>
      <c r="D166" s="83">
        <v>157052.74764504106</v>
      </c>
      <c r="E166" s="84">
        <v>157197.71697434605</v>
      </c>
      <c r="G166" s="53">
        <v>996.78006102364441</v>
      </c>
      <c r="H166" s="85">
        <f t="shared" si="8"/>
        <v>7.2021938897215476E-2</v>
      </c>
      <c r="J166" s="26">
        <f t="shared" si="10"/>
        <v>2182636.5602110117</v>
      </c>
      <c r="K166" s="15">
        <f t="shared" si="9"/>
        <v>81.927863894090251</v>
      </c>
      <c r="L166" s="90">
        <f t="shared" si="11"/>
        <v>-1.3011821699688508E-2</v>
      </c>
    </row>
    <row r="167" spans="1:12" x14ac:dyDescent="0.3">
      <c r="A167" s="80">
        <v>44774</v>
      </c>
      <c r="B167" s="83">
        <v>132656.82999999999</v>
      </c>
      <c r="C167" s="83">
        <v>131751.47829464986</v>
      </c>
      <c r="D167" s="83">
        <v>167585.69576273681</v>
      </c>
      <c r="E167" s="84">
        <v>167884.403510515</v>
      </c>
      <c r="G167" s="53">
        <v>1066.258976225221</v>
      </c>
      <c r="H167" s="85">
        <f t="shared" si="8"/>
        <v>7.7042109726228533E-2</v>
      </c>
      <c r="J167" s="26">
        <f t="shared" si="10"/>
        <v>2179125.2096690666</v>
      </c>
      <c r="K167" s="15">
        <f t="shared" si="9"/>
        <v>81.796061167732034</v>
      </c>
      <c r="L167" s="90">
        <f t="shared" si="11"/>
        <v>-1.6087655663595823E-3</v>
      </c>
    </row>
    <row r="168" spans="1:12" x14ac:dyDescent="0.3">
      <c r="A168" s="80">
        <v>44805</v>
      </c>
      <c r="B168" s="83">
        <v>141428.1</v>
      </c>
      <c r="C168" s="83">
        <v>140462.68367788556</v>
      </c>
      <c r="D168" s="83">
        <v>179438.98010555984</v>
      </c>
      <c r="E168" s="84">
        <v>179277.69549073727</v>
      </c>
      <c r="G168" s="53">
        <v>1131.9993854574641</v>
      </c>
      <c r="H168" s="85">
        <f t="shared" si="8"/>
        <v>8.1792156323208215E-2</v>
      </c>
      <c r="J168" s="26">
        <f t="shared" si="10"/>
        <v>2191869.0440475391</v>
      </c>
      <c r="K168" s="15">
        <f t="shared" si="9"/>
        <v>82.274416175378107</v>
      </c>
      <c r="L168" s="90">
        <f t="shared" si="11"/>
        <v>5.8481423288236911E-3</v>
      </c>
    </row>
    <row r="169" spans="1:12" x14ac:dyDescent="0.3">
      <c r="A169" s="80">
        <v>44835</v>
      </c>
      <c r="B169" s="83">
        <v>144779.58000000002</v>
      </c>
      <c r="C169" s="83">
        <v>145778.83102507319</v>
      </c>
      <c r="D169" s="83">
        <v>189111.68705435234</v>
      </c>
      <c r="E169" s="84">
        <v>189170.75437896591</v>
      </c>
      <c r="G169" s="53">
        <v>1203.8513496807079</v>
      </c>
      <c r="H169" s="85">
        <f t="shared" si="8"/>
        <v>8.6983790846492104E-2</v>
      </c>
      <c r="J169" s="26">
        <f t="shared" si="10"/>
        <v>2174781.6752757081</v>
      </c>
      <c r="K169" s="15">
        <f t="shared" si="9"/>
        <v>81.633021428965819</v>
      </c>
      <c r="L169" s="90">
        <f t="shared" si="11"/>
        <v>-7.7957982107713653E-3</v>
      </c>
    </row>
    <row r="170" spans="1:12" x14ac:dyDescent="0.3">
      <c r="A170" s="80">
        <v>44866</v>
      </c>
      <c r="B170" s="83">
        <v>155238.01999999999</v>
      </c>
      <c r="C170" s="83">
        <v>155759.64701930239</v>
      </c>
      <c r="D170" s="83">
        <v>203119.44492676225</v>
      </c>
      <c r="E170" s="84">
        <v>203036.96097928475</v>
      </c>
      <c r="G170" s="53">
        <v>1263.05937917188</v>
      </c>
      <c r="H170" s="85">
        <f t="shared" si="8"/>
        <v>9.126184299558758E-2</v>
      </c>
      <c r="J170" s="26">
        <f t="shared" si="10"/>
        <v>2224773.8410137235</v>
      </c>
      <c r="K170" s="15">
        <f t="shared" si="9"/>
        <v>83.509536935495674</v>
      </c>
      <c r="L170" s="90">
        <f t="shared" si="11"/>
        <v>2.2987211225088844E-2</v>
      </c>
    </row>
    <row r="171" spans="1:12" x14ac:dyDescent="0.3">
      <c r="A171" s="80">
        <v>44896</v>
      </c>
      <c r="B171" s="83">
        <v>245866.42</v>
      </c>
      <c r="C171" s="83">
        <v>171023.45100658486</v>
      </c>
      <c r="D171" s="83">
        <v>317848.34373875044</v>
      </c>
      <c r="E171" s="84">
        <v>220595.47019619308</v>
      </c>
      <c r="G171" s="53">
        <v>1327.774642461238</v>
      </c>
      <c r="H171" s="85">
        <f t="shared" si="8"/>
        <v>9.593781808838471E-2</v>
      </c>
      <c r="J171" s="26">
        <f t="shared" si="10"/>
        <v>2299358.840879255</v>
      </c>
      <c r="K171" s="15">
        <f t="shared" si="9"/>
        <v>86.309173773308586</v>
      </c>
      <c r="L171" s="90">
        <f t="shared" si="11"/>
        <v>3.3524755860823374E-2</v>
      </c>
    </row>
    <row r="172" spans="1:12" x14ac:dyDescent="0.3">
      <c r="A172" s="80">
        <v>44927</v>
      </c>
      <c r="B172" s="83">
        <v>171129.625</v>
      </c>
      <c r="C172" s="83">
        <v>174052.70570350459</v>
      </c>
      <c r="D172" s="83">
        <v>241706.31650662312</v>
      </c>
      <c r="E172" s="84">
        <v>229447.82628654659</v>
      </c>
      <c r="G172" s="53">
        <v>1407.820284576829</v>
      </c>
      <c r="H172" s="85">
        <f t="shared" si="8"/>
        <v>0.10172148348345396</v>
      </c>
      <c r="J172" s="26">
        <f t="shared" si="10"/>
        <v>2255647.6609375114</v>
      </c>
      <c r="K172" s="15">
        <f t="shared" si="9"/>
        <v>84.6684225524223</v>
      </c>
      <c r="L172" s="90">
        <f t="shared" si="11"/>
        <v>-1.9010160208412175E-2</v>
      </c>
    </row>
    <row r="173" spans="1:12" x14ac:dyDescent="0.3">
      <c r="A173" s="80">
        <v>44958</v>
      </c>
      <c r="B173" s="83">
        <v>180620.07500000001</v>
      </c>
      <c r="C173" s="83">
        <v>186905.3744293667</v>
      </c>
      <c r="D173" s="83">
        <v>249422.72890812758</v>
      </c>
      <c r="E173" s="84">
        <v>244089.0153649619</v>
      </c>
      <c r="G173" s="53">
        <v>1501.0898412524509</v>
      </c>
      <c r="H173" s="85">
        <f t="shared" si="8"/>
        <v>0.10846063745987231</v>
      </c>
      <c r="J173" s="26">
        <f t="shared" si="10"/>
        <v>2250484.7941288254</v>
      </c>
      <c r="K173" s="15">
        <f t="shared" si="9"/>
        <v>84.474628195214038</v>
      </c>
      <c r="L173" s="90">
        <f t="shared" si="11"/>
        <v>-2.2888622625308885E-3</v>
      </c>
    </row>
    <row r="174" spans="1:12" x14ac:dyDescent="0.3">
      <c r="A174" s="80">
        <v>44986</v>
      </c>
      <c r="B174" s="83">
        <v>198161.45</v>
      </c>
      <c r="C174" s="83">
        <v>199021.63990423482</v>
      </c>
      <c r="D174" s="83">
        <v>276739.77145745169</v>
      </c>
      <c r="E174" s="84">
        <v>258016.34020171719</v>
      </c>
      <c r="G174" s="53">
        <v>1616.360246930604</v>
      </c>
      <c r="H174" s="85">
        <f t="shared" si="8"/>
        <v>0.11678945385481848</v>
      </c>
      <c r="J174" s="26">
        <f t="shared" si="10"/>
        <v>2209243.486337889</v>
      </c>
      <c r="K174" s="15">
        <f t="shared" si="9"/>
        <v>82.926586568355432</v>
      </c>
      <c r="L174" s="90">
        <f t="shared" si="11"/>
        <v>-1.832552163806167E-2</v>
      </c>
    </row>
    <row r="175" spans="1:12" x14ac:dyDescent="0.3">
      <c r="A175" s="80">
        <v>45017</v>
      </c>
      <c r="B175" s="83">
        <v>218966.54</v>
      </c>
      <c r="C175" s="83">
        <v>218190.06808884832</v>
      </c>
      <c r="D175" s="83">
        <v>287934.52449078363</v>
      </c>
      <c r="E175" s="84">
        <v>275994.07529221091</v>
      </c>
      <c r="G175" s="53">
        <v>1752.110166307921</v>
      </c>
      <c r="H175" s="85">
        <f t="shared" si="8"/>
        <v>0.12659800920318146</v>
      </c>
      <c r="J175" s="26">
        <f t="shared" si="10"/>
        <v>2180082.2700873488</v>
      </c>
      <c r="K175" s="15">
        <f t="shared" si="9"/>
        <v>81.831985570867602</v>
      </c>
      <c r="L175" s="90">
        <f t="shared" si="11"/>
        <v>-1.3199638894886512E-2</v>
      </c>
    </row>
    <row r="176" spans="1:12" x14ac:dyDescent="0.3">
      <c r="A176" s="80">
        <v>45047</v>
      </c>
      <c r="B176" s="83">
        <v>238171.285</v>
      </c>
      <c r="C176" s="83">
        <v>233902.18560208846</v>
      </c>
      <c r="D176" s="83">
        <v>303249.57101265091</v>
      </c>
      <c r="E176" s="84">
        <v>299197.8773793758</v>
      </c>
      <c r="G176" s="53">
        <v>1888.3281888555041</v>
      </c>
      <c r="H176" s="85">
        <f t="shared" si="8"/>
        <v>0.13644038715619394</v>
      </c>
      <c r="J176" s="26">
        <f t="shared" si="10"/>
        <v>2192883.5267585446</v>
      </c>
      <c r="K176" s="15">
        <f t="shared" si="9"/>
        <v>82.312495992689577</v>
      </c>
      <c r="L176" s="90">
        <f t="shared" si="11"/>
        <v>5.8719144900356568E-3</v>
      </c>
    </row>
    <row r="177" spans="1:15" x14ac:dyDescent="0.3">
      <c r="A177" s="80">
        <v>45078</v>
      </c>
      <c r="B177" s="83">
        <v>356955.27</v>
      </c>
      <c r="C177" s="83">
        <v>247815.84243852805</v>
      </c>
      <c r="D177" s="83">
        <v>458848.37937334151</v>
      </c>
      <c r="E177" s="84">
        <v>320333.89841869619</v>
      </c>
      <c r="G177" s="53">
        <v>2000.672949719491</v>
      </c>
      <c r="H177" s="85">
        <f t="shared" si="8"/>
        <v>0.14455781227208059</v>
      </c>
      <c r="J177" s="26">
        <f t="shared" si="10"/>
        <v>2215957.0166694089</v>
      </c>
      <c r="K177" s="15">
        <f t="shared" si="9"/>
        <v>83.178586928505382</v>
      </c>
      <c r="L177" s="90">
        <f t="shared" si="11"/>
        <v>1.0521986065065159E-2</v>
      </c>
    </row>
    <row r="178" spans="1:15" x14ac:dyDescent="0.3">
      <c r="A178" s="80">
        <v>45108</v>
      </c>
      <c r="B178" s="83">
        <v>270081.58999999997</v>
      </c>
      <c r="C178" s="83">
        <v>274852.51635320869</v>
      </c>
      <c r="D178" s="83">
        <v>352070.04744146537</v>
      </c>
      <c r="E178" s="84">
        <v>352005.82652356214</v>
      </c>
      <c r="G178" s="53">
        <v>2127.6459346543079</v>
      </c>
      <c r="H178" s="85">
        <f t="shared" si="8"/>
        <v>0.15373219378326486</v>
      </c>
      <c r="J178" s="26">
        <f t="shared" si="10"/>
        <v>2289733.970880738</v>
      </c>
      <c r="K178" s="15">
        <f t="shared" si="9"/>
        <v>85.947892809903209</v>
      </c>
      <c r="L178" s="90">
        <f t="shared" si="11"/>
        <v>3.3293495160937825E-2</v>
      </c>
    </row>
    <row r="179" spans="1:15" x14ac:dyDescent="0.3">
      <c r="A179" s="80">
        <v>45139</v>
      </c>
      <c r="B179" s="83">
        <v>312312.65999999997</v>
      </c>
      <c r="C179" s="83">
        <v>309263.52268663194</v>
      </c>
      <c r="D179" s="83">
        <v>389265.25468164257</v>
      </c>
      <c r="E179" s="84">
        <v>389999.55120543961</v>
      </c>
      <c r="G179" s="53">
        <v>2392.3582774400761</v>
      </c>
      <c r="H179" s="85">
        <f t="shared" si="8"/>
        <v>0.17285887671257266</v>
      </c>
      <c r="J179" s="26">
        <f t="shared" si="10"/>
        <v>2256173.1200760109</v>
      </c>
      <c r="K179" s="15">
        <f t="shared" si="9"/>
        <v>84.688146287269262</v>
      </c>
      <c r="L179" s="90">
        <f t="shared" si="11"/>
        <v>-1.4657096078204201E-2</v>
      </c>
    </row>
    <row r="180" spans="1:15" x14ac:dyDescent="0.3">
      <c r="A180" s="80">
        <v>45170</v>
      </c>
      <c r="B180" s="83">
        <v>342176.65</v>
      </c>
      <c r="C180" s="83">
        <v>340391.70059515396</v>
      </c>
      <c r="D180" s="83">
        <v>431695.0896687198</v>
      </c>
      <c r="E180" s="84">
        <v>432977.3177041969</v>
      </c>
      <c r="G180" s="53">
        <v>2697.3274928687729</v>
      </c>
      <c r="H180" s="85">
        <f t="shared" si="8"/>
        <v>0.19489430364173987</v>
      </c>
      <c r="J180" s="26">
        <f t="shared" si="10"/>
        <v>2221600.6810548338</v>
      </c>
      <c r="K180" s="15">
        <f t="shared" si="9"/>
        <v>83.390428595625778</v>
      </c>
      <c r="L180" s="90">
        <f t="shared" si="11"/>
        <v>-1.5323486798749064E-2</v>
      </c>
    </row>
    <row r="181" spans="1:15" x14ac:dyDescent="0.3">
      <c r="A181" s="80">
        <v>45200</v>
      </c>
      <c r="B181" s="83">
        <v>365339.03</v>
      </c>
      <c r="C181" s="83">
        <v>367431.18412610202</v>
      </c>
      <c r="D181" s="83">
        <v>473146.30133314576</v>
      </c>
      <c r="E181" s="84">
        <v>473835.73498585745</v>
      </c>
      <c r="G181" s="53">
        <v>2921.2832628773531</v>
      </c>
      <c r="H181" s="85">
        <f t="shared" si="8"/>
        <v>0.21107613694072497</v>
      </c>
      <c r="J181" s="26">
        <f t="shared" si="10"/>
        <v>2244856.9594530785</v>
      </c>
      <c r="K181" s="15">
        <f t="shared" si="9"/>
        <v>84.263380715107473</v>
      </c>
      <c r="L181" s="90">
        <f t="shared" si="11"/>
        <v>1.0468253181846521E-2</v>
      </c>
    </row>
    <row r="182" spans="1:15" x14ac:dyDescent="0.3">
      <c r="A182" s="80">
        <v>45231</v>
      </c>
      <c r="B182" s="83">
        <v>404394.81</v>
      </c>
      <c r="C182" s="83">
        <v>408000.14539508836</v>
      </c>
      <c r="D182" s="83">
        <v>521738.97275143315</v>
      </c>
      <c r="E182" s="84">
        <v>524281.44409518625</v>
      </c>
      <c r="G182" s="53">
        <v>3295.5200449262511</v>
      </c>
      <c r="H182" s="85">
        <f t="shared" si="8"/>
        <v>0.23811646379290599</v>
      </c>
      <c r="J182" s="26">
        <f t="shared" si="10"/>
        <v>2201785.7805546909</v>
      </c>
      <c r="K182" s="15">
        <f t="shared" si="9"/>
        <v>82.646652695943374</v>
      </c>
      <c r="L182" s="90">
        <f t="shared" si="11"/>
        <v>-1.9186602833207278E-2</v>
      </c>
      <c r="O182" s="92">
        <f t="shared" ref="O182:O201" si="12">J182/$J$182-1</f>
        <v>0</v>
      </c>
    </row>
    <row r="183" spans="1:15" x14ac:dyDescent="0.3">
      <c r="A183" s="80">
        <v>45261</v>
      </c>
      <c r="B183" s="83">
        <v>647022.48</v>
      </c>
      <c r="C183" s="83">
        <v>451256.98302966298</v>
      </c>
      <c r="D183" s="83">
        <v>841141.56067055184</v>
      </c>
      <c r="E183" s="84">
        <v>585529.76884398982</v>
      </c>
      <c r="G183" s="53">
        <v>4134.7461749531458</v>
      </c>
      <c r="H183" s="85">
        <f t="shared" si="8"/>
        <v>0.29875440732848585</v>
      </c>
      <c r="J183" s="26">
        <f t="shared" si="10"/>
        <v>1959903.367049542</v>
      </c>
      <c r="K183" s="15">
        <f t="shared" si="9"/>
        <v>73.567308102674005</v>
      </c>
      <c r="L183" s="90">
        <f t="shared" ref="L183:L188" si="13">J183/J182-1</f>
        <v>-0.10985737833415021</v>
      </c>
      <c r="O183" s="92">
        <f t="shared" si="12"/>
        <v>-0.10985737833415021</v>
      </c>
    </row>
    <row r="184" spans="1:15" x14ac:dyDescent="0.3">
      <c r="A184" s="80">
        <v>45292</v>
      </c>
      <c r="B184" s="83">
        <v>547920.4</v>
      </c>
      <c r="C184" s="83">
        <v>554893.23781182035</v>
      </c>
      <c r="D184" s="83">
        <v>756220.42</v>
      </c>
      <c r="E184" s="84">
        <v>716563.42780053185</v>
      </c>
      <c r="G184" s="53">
        <v>4987.092066584687</v>
      </c>
      <c r="H184" s="85">
        <f t="shared" si="8"/>
        <v>0.36034031391588028</v>
      </c>
      <c r="J184" s="26">
        <f t="shared" si="10"/>
        <v>1988574.1343051894</v>
      </c>
      <c r="K184" s="15">
        <f t="shared" si="9"/>
        <v>74.643499512769665</v>
      </c>
      <c r="L184" s="92">
        <f t="shared" si="13"/>
        <v>1.4628663707440204E-2</v>
      </c>
      <c r="O184" s="92">
        <f t="shared" si="12"/>
        <v>-9.6835781270141363E-2</v>
      </c>
    </row>
    <row r="185" spans="1:15" x14ac:dyDescent="0.3">
      <c r="A185" s="80">
        <v>45323</v>
      </c>
      <c r="B185" s="83">
        <v>618024.19999999995</v>
      </c>
      <c r="C185" s="83">
        <v>616522.16485784249</v>
      </c>
      <c r="D185" s="83">
        <v>858706.94</v>
      </c>
      <c r="E185" s="84">
        <v>809114.24584409199</v>
      </c>
      <c r="G185" s="53">
        <v>5647.4167716121992</v>
      </c>
      <c r="H185" s="85">
        <f t="shared" si="8"/>
        <v>0.40805180757173626</v>
      </c>
      <c r="J185" s="26">
        <f t="shared" si="10"/>
        <v>1982871.3678761201</v>
      </c>
      <c r="K185" s="15">
        <f t="shared" si="9"/>
        <v>74.429439380021122</v>
      </c>
      <c r="L185" s="92">
        <f t="shared" si="13"/>
        <v>-2.8677665723846335E-3</v>
      </c>
      <c r="O185" s="92">
        <f t="shared" si="12"/>
        <v>-9.9425845425988757E-2</v>
      </c>
    </row>
    <row r="186" spans="1:15" x14ac:dyDescent="0.3">
      <c r="A186" s="80">
        <v>45352</v>
      </c>
      <c r="B186" s="83">
        <v>681345.43</v>
      </c>
      <c r="C186" s="83">
        <v>689801.44625682675</v>
      </c>
      <c r="D186" s="83">
        <v>948558.53</v>
      </c>
      <c r="E186" s="84">
        <v>892067.02751727216</v>
      </c>
      <c r="G186" s="53">
        <v>6269.1804247568671</v>
      </c>
      <c r="H186" s="85">
        <f t="shared" si="8"/>
        <v>0.45297708806872694</v>
      </c>
      <c r="J186" s="26">
        <f t="shared" si="10"/>
        <v>1969342.4921790422</v>
      </c>
      <c r="K186" s="15">
        <f t="shared" si="9"/>
        <v>73.921616911106227</v>
      </c>
      <c r="L186" s="92">
        <f t="shared" si="13"/>
        <v>-6.8228710728568398E-3</v>
      </c>
      <c r="O186" s="92">
        <f t="shared" si="12"/>
        <v>-0.1055703467741943</v>
      </c>
    </row>
    <row r="187" spans="1:15" x14ac:dyDescent="0.3">
      <c r="A187" s="80">
        <v>45383</v>
      </c>
      <c r="B187" s="83">
        <v>786197.45</v>
      </c>
      <c r="C187" s="83">
        <v>776844.28959993587</v>
      </c>
      <c r="D187" s="83">
        <v>1056040.3899999999</v>
      </c>
      <c r="E187" s="84">
        <v>1001368.5963413201</v>
      </c>
      <c r="G187" s="53">
        <v>6822.8694722107584</v>
      </c>
      <c r="H187" s="85">
        <f t="shared" si="8"/>
        <v>0.49298366555065321</v>
      </c>
      <c r="J187" s="26">
        <f t="shared" si="10"/>
        <v>2031240.9240229304</v>
      </c>
      <c r="K187" s="15">
        <f t="shared" si="9"/>
        <v>76.245048302209398</v>
      </c>
      <c r="L187" s="92">
        <f t="shared" si="13"/>
        <v>3.1431014203831431E-2</v>
      </c>
      <c r="O187" s="92">
        <f t="shared" si="12"/>
        <v>-7.7457515639325902E-2</v>
      </c>
    </row>
    <row r="188" spans="1:15" x14ac:dyDescent="0.3">
      <c r="A188" s="80">
        <v>45413</v>
      </c>
      <c r="B188" s="83">
        <v>826587.81</v>
      </c>
      <c r="C188" s="83">
        <v>815258.68382622744</v>
      </c>
      <c r="D188" s="83">
        <v>1076243.57</v>
      </c>
      <c r="E188" s="84">
        <v>1062869.0937986849</v>
      </c>
      <c r="G188" s="53">
        <v>7107.8148723765453</v>
      </c>
      <c r="H188" s="85">
        <f t="shared" si="8"/>
        <v>0.51357227983202991</v>
      </c>
      <c r="J188" s="26">
        <f t="shared" si="10"/>
        <v>2069560.8691074783</v>
      </c>
      <c r="K188" s="15">
        <f t="shared" si="9"/>
        <v>77.683433099086585</v>
      </c>
      <c r="L188" s="92">
        <f t="shared" si="13"/>
        <v>1.8865288027307914E-2</v>
      </c>
      <c r="M188" s="92">
        <f>J188/J182-1</f>
        <v>-6.0053485954433494E-2</v>
      </c>
      <c r="N188" s="92">
        <f>J188/J56-1</f>
        <v>-0.22316566900913415</v>
      </c>
      <c r="O188" s="92">
        <f t="shared" si="12"/>
        <v>-6.0053485954433494E-2</v>
      </c>
    </row>
    <row r="189" spans="1:15" x14ac:dyDescent="0.3">
      <c r="A189" s="80">
        <v>45444</v>
      </c>
      <c r="B189" s="83">
        <v>1258840.1399999999</v>
      </c>
      <c r="C189" s="83">
        <v>878383.84228893416</v>
      </c>
      <c r="D189" s="83">
        <v>1627774.73</v>
      </c>
      <c r="E189" s="84">
        <v>1138106.9709472593</v>
      </c>
      <c r="G189" s="53">
        <v>7433.1442351959868</v>
      </c>
      <c r="H189" s="85">
        <f t="shared" si="8"/>
        <v>0.53707882095042814</v>
      </c>
      <c r="J189" s="26">
        <f t="shared" ref="J189:J198" si="14">E189/H189</f>
        <v>2119068.7968913703</v>
      </c>
      <c r="K189" s="15">
        <f t="shared" si="9"/>
        <v>79.541772157039986</v>
      </c>
      <c r="L189" s="92">
        <f>J189/J188-1</f>
        <v>2.3921948140255944E-2</v>
      </c>
      <c r="M189" s="92">
        <f>J189/J182-1</f>
        <v>-3.7568134190821167E-2</v>
      </c>
      <c r="N189" s="92">
        <f>J189/J56-1</f>
        <v>-0.2045822784296002</v>
      </c>
      <c r="O189" s="92">
        <f t="shared" si="12"/>
        <v>-3.7568134190821167E-2</v>
      </c>
    </row>
    <row r="190" spans="1:15" x14ac:dyDescent="0.3">
      <c r="A190" s="80">
        <v>45474</v>
      </c>
      <c r="B190" s="83">
        <v>934748</v>
      </c>
      <c r="C190" s="83">
        <v>940532.7858531432</v>
      </c>
      <c r="D190" s="83">
        <v>1219882.02</v>
      </c>
      <c r="E190" s="84">
        <v>1209040.0677929984</v>
      </c>
      <c r="G190" s="53">
        <v>7732.7693507813337</v>
      </c>
      <c r="H190" s="85">
        <f t="shared" si="8"/>
        <v>0.55872811211361395</v>
      </c>
      <c r="J190" s="26">
        <f t="shared" si="14"/>
        <v>2163914.8658894533</v>
      </c>
      <c r="K190" s="15">
        <f t="shared" si="9"/>
        <v>81.225122790873726</v>
      </c>
      <c r="L190" s="92">
        <f>J190/J189-1</f>
        <v>2.1163101954911223E-2</v>
      </c>
      <c r="M190" s="92">
        <f>J190/J182-1</f>
        <v>-1.7200090490046116E-2</v>
      </c>
      <c r="N190" s="92">
        <f>J190/J56-1</f>
        <v>-0.18774877209126273</v>
      </c>
      <c r="O190" s="92">
        <f t="shared" si="12"/>
        <v>-1.7200090490046116E-2</v>
      </c>
    </row>
    <row r="191" spans="1:15" x14ac:dyDescent="0.3">
      <c r="A191" s="80">
        <v>45505</v>
      </c>
      <c r="B191" s="83">
        <v>969111.23</v>
      </c>
      <c r="C191" s="83">
        <v>961229.75981585053</v>
      </c>
      <c r="D191" s="83">
        <v>1259287.3899999999</v>
      </c>
      <c r="E191" s="84">
        <v>1266249.120512468</v>
      </c>
      <c r="G191" s="53">
        <v>8055.4016201594923</v>
      </c>
      <c r="H191" s="85">
        <f t="shared" si="8"/>
        <v>0.58203977583967292</v>
      </c>
      <c r="J191" s="26">
        <f t="shared" si="14"/>
        <v>2175537.090546309</v>
      </c>
      <c r="K191" s="15">
        <f t="shared" si="9"/>
        <v>81.661376841223429</v>
      </c>
      <c r="L191" s="92">
        <f>J191/J190-1</f>
        <v>5.3709250950955134E-3</v>
      </c>
      <c r="M191" s="92">
        <f>J191/J182-1</f>
        <v>-1.1921545792601629E-2</v>
      </c>
      <c r="N191" s="92">
        <f>J191/J56-1</f>
        <v>-0.18338623158776568</v>
      </c>
      <c r="O191" s="92">
        <f t="shared" si="12"/>
        <v>-1.1921545792601629E-2</v>
      </c>
    </row>
    <row r="192" spans="1:15" x14ac:dyDescent="0.3">
      <c r="A192" s="80">
        <v>45536</v>
      </c>
      <c r="B192" s="83">
        <v>1000000</v>
      </c>
      <c r="C192" s="83">
        <v>1006146.8414641889</v>
      </c>
      <c r="D192" s="83">
        <v>1304720.6599999999</v>
      </c>
      <c r="E192" s="84">
        <v>1313622.7410458771</v>
      </c>
      <c r="G192" s="53">
        <v>8334.8602660407905</v>
      </c>
      <c r="H192" s="85">
        <f t="shared" si="8"/>
        <v>0.60223194691630122</v>
      </c>
      <c r="J192" s="26">
        <f t="shared" si="14"/>
        <v>2181257.1514550452</v>
      </c>
      <c r="K192" s="15">
        <f t="shared" si="9"/>
        <v>81.876086142872609</v>
      </c>
      <c r="L192" s="92">
        <f>J192/J191-1</f>
        <v>2.6292637958655884E-3</v>
      </c>
      <c r="M192" s="92">
        <f>J192/J182-1</f>
        <v>-9.3236268854792748E-3</v>
      </c>
      <c r="N192" s="92">
        <f>J192/J56-1</f>
        <v>-0.18123913857127394</v>
      </c>
      <c r="O192" s="92">
        <f t="shared" si="12"/>
        <v>-9.3236268854792748E-3</v>
      </c>
    </row>
    <row r="193" spans="1:15" x14ac:dyDescent="0.3">
      <c r="A193" s="80">
        <v>45566</v>
      </c>
      <c r="B193" s="83">
        <v>1063668.82</v>
      </c>
      <c r="C193" s="83">
        <v>1062550.3675085704</v>
      </c>
      <c r="D193" s="83">
        <v>1377016.8</v>
      </c>
      <c r="E193" s="84">
        <v>1378014.4559865771</v>
      </c>
      <c r="G193" s="53">
        <v>8559.2128705119649</v>
      </c>
      <c r="H193" s="85">
        <f t="shared" si="8"/>
        <v>0.61844245332837799</v>
      </c>
      <c r="J193" s="26">
        <f t="shared" si="14"/>
        <v>2228201.5870195841</v>
      </c>
      <c r="K193" s="15">
        <f t="shared" si="9"/>
        <v>83.638201465977332</v>
      </c>
      <c r="L193" s="92">
        <f>J193/J192-1</f>
        <v>2.1521733709032764E-2</v>
      </c>
      <c r="M193" s="92">
        <f t="shared" ref="M193:M209" si="15">J193/$J$182-1</f>
        <v>1.1997446208521945E-2</v>
      </c>
      <c r="N193" s="92">
        <f>J193/J56-1</f>
        <v>-0.16361798534022665</v>
      </c>
      <c r="O193" s="92">
        <f t="shared" si="12"/>
        <v>1.1997446208521945E-2</v>
      </c>
    </row>
    <row r="194" spans="1:15" x14ac:dyDescent="0.3">
      <c r="A194" s="80">
        <v>45597</v>
      </c>
      <c r="B194" s="83">
        <v>1077032.6000000001</v>
      </c>
      <c r="C194" s="83">
        <v>1089115.0040027185</v>
      </c>
      <c r="D194" s="83">
        <v>1411221.7</v>
      </c>
      <c r="E194" s="84">
        <v>1428508.5248225608</v>
      </c>
      <c r="G194" s="53">
        <v>8766.9069704370668</v>
      </c>
      <c r="H194" s="85">
        <f t="shared" si="8"/>
        <v>0.63344930625314066</v>
      </c>
      <c r="J194" s="26">
        <f t="shared" si="14"/>
        <v>2255126.8281785701</v>
      </c>
      <c r="K194" s="15">
        <f t="shared" si="9"/>
        <v>84.648872474244371</v>
      </c>
      <c r="L194" s="92">
        <f t="shared" ref="L194:L199" si="16">J194/J193-1</f>
        <v>1.2083844350456951E-2</v>
      </c>
      <c r="M194" s="92">
        <f t="shared" si="15"/>
        <v>2.422626583156573E-2</v>
      </c>
      <c r="N194" s="92">
        <f>J194/J56-1</f>
        <v>-0.15351127525755626</v>
      </c>
      <c r="O194" s="92">
        <f t="shared" si="12"/>
        <v>2.422626583156573E-2</v>
      </c>
    </row>
    <row r="195" spans="1:15" x14ac:dyDescent="0.3">
      <c r="A195" s="80">
        <v>45627</v>
      </c>
      <c r="B195" s="83">
        <v>1640493.32</v>
      </c>
      <c r="C195" s="83">
        <v>1138971.8115128733</v>
      </c>
      <c r="D195" s="83">
        <v>2126399.66</v>
      </c>
      <c r="E195" s="84">
        <v>1474932.5875391315</v>
      </c>
      <c r="G195" s="53">
        <v>9003.9732570126798</v>
      </c>
      <c r="H195" s="85">
        <f t="shared" si="8"/>
        <v>0.65057843460749853</v>
      </c>
      <c r="J195" s="26">
        <f t="shared" si="14"/>
        <v>2267109.5583255468</v>
      </c>
      <c r="K195" s="15">
        <f t="shared" si="9"/>
        <v>85.098658527707258</v>
      </c>
      <c r="L195" s="92">
        <f t="shared" si="16"/>
        <v>5.3135504386043753E-3</v>
      </c>
      <c r="M195" s="92">
        <f t="shared" si="15"/>
        <v>2.9668543755605015E-2</v>
      </c>
      <c r="N195" s="92">
        <f>J195/$J$56-1</f>
        <v>-0.1490134147229274</v>
      </c>
      <c r="O195" s="92">
        <f t="shared" si="12"/>
        <v>2.9668543755605015E-2</v>
      </c>
    </row>
    <row r="196" spans="1:15" x14ac:dyDescent="0.3">
      <c r="A196" s="80">
        <v>45658</v>
      </c>
      <c r="B196" s="83">
        <v>1160615.17</v>
      </c>
      <c r="C196" s="83">
        <v>1176167.1466648339</v>
      </c>
      <c r="D196" s="83">
        <v>1597652.37</v>
      </c>
      <c r="E196" s="84">
        <v>1514221.4746177457</v>
      </c>
      <c r="G196" s="53">
        <v>9203.0554288628027</v>
      </c>
      <c r="H196" s="85">
        <f t="shared" ref="H196:H213" si="17">G196/HLOOKUP($G$3,$G$3:$G$1996,MATCH(MAX($A$4:$A$1996),$A$3:$A$1996,0),FALSE)</f>
        <v>0.66496303616322161</v>
      </c>
      <c r="J196" s="26">
        <f t="shared" si="14"/>
        <v>2277151.3486744631</v>
      </c>
      <c r="K196" s="15">
        <f t="shared" ref="K196:K209" si="18">J196/$J$56*100</f>
        <v>85.475589093224528</v>
      </c>
      <c r="L196" s="92">
        <f t="shared" si="16"/>
        <v>4.4293361615628246E-3</v>
      </c>
      <c r="M196" s="92">
        <f t="shared" si="15"/>
        <v>3.4229291870885525E-2</v>
      </c>
      <c r="N196" s="92">
        <f>J196/$J$56-1</f>
        <v>-0.14524410906775476</v>
      </c>
      <c r="O196" s="92">
        <f t="shared" si="12"/>
        <v>3.4229291870885525E-2</v>
      </c>
    </row>
    <row r="197" spans="1:15" x14ac:dyDescent="0.3">
      <c r="A197" s="80">
        <v>45689</v>
      </c>
      <c r="B197" s="83">
        <v>1159755.49</v>
      </c>
      <c r="C197" s="83">
        <v>1198003.7766519643</v>
      </c>
      <c r="D197" s="83">
        <v>1595766.62</v>
      </c>
      <c r="E197" s="84">
        <v>1553131.6547367305</v>
      </c>
      <c r="G197" s="53">
        <v>9424.078532509664</v>
      </c>
      <c r="H197" s="85">
        <f t="shared" si="17"/>
        <v>0.68093297084407756</v>
      </c>
      <c r="J197" s="26">
        <f t="shared" si="14"/>
        <v>2280887.7249863292</v>
      </c>
      <c r="K197" s="15">
        <f t="shared" si="18"/>
        <v>85.615838429974417</v>
      </c>
      <c r="L197" s="92">
        <f t="shared" si="16"/>
        <v>1.6408115841930471E-3</v>
      </c>
      <c r="M197" s="92">
        <f t="shared" si="15"/>
        <v>3.5926267273699297E-2</v>
      </c>
      <c r="N197" s="92">
        <f>J197/$J$56-1</f>
        <v>-0.14384161570025578</v>
      </c>
      <c r="O197" s="92">
        <f t="shared" si="12"/>
        <v>3.5926267273699297E-2</v>
      </c>
    </row>
    <row r="198" spans="1:15" x14ac:dyDescent="0.3">
      <c r="A198" s="80">
        <v>45717</v>
      </c>
      <c r="B198" s="83">
        <v>1202429.8899999999</v>
      </c>
      <c r="C198" s="83">
        <v>1220824.1720305092</v>
      </c>
      <c r="D198" s="83">
        <v>1676933.44</v>
      </c>
      <c r="E198" s="84">
        <v>1581568.0351985553</v>
      </c>
      <c r="G198" s="53">
        <v>9775.5340205454049</v>
      </c>
      <c r="H198" s="85">
        <f t="shared" si="17"/>
        <v>0.70632724454012885</v>
      </c>
      <c r="J198" s="26">
        <f t="shared" si="14"/>
        <v>2239143.4670317336</v>
      </c>
      <c r="K198" s="15">
        <f t="shared" si="18"/>
        <v>84.048917969458884</v>
      </c>
      <c r="L198" s="92">
        <f>J198/J197-1</f>
        <v>-1.830175922177224E-2</v>
      </c>
      <c r="M198" s="92">
        <f t="shared" si="15"/>
        <v>1.6966994158546855E-2</v>
      </c>
      <c r="N198" s="92">
        <f>J198/$J$56-1</f>
        <v>-0.15951082030541119</v>
      </c>
      <c r="O198" s="92">
        <f t="shared" si="12"/>
        <v>1.6966994158546855E-2</v>
      </c>
    </row>
    <row r="199" spans="1:15" x14ac:dyDescent="0.3">
      <c r="A199" s="80">
        <v>45748</v>
      </c>
      <c r="B199" s="83">
        <v>1231190.5900000001</v>
      </c>
      <c r="C199" s="83">
        <v>1216197.7251885703</v>
      </c>
      <c r="D199" s="84">
        <v>1682470.3</v>
      </c>
      <c r="E199" s="84">
        <v>1591558.0267923176</v>
      </c>
      <c r="G199" s="53">
        <v>10047.375574614331</v>
      </c>
      <c r="H199" s="85">
        <f t="shared" si="17"/>
        <v>0.72596904573824872</v>
      </c>
      <c r="J199" s="26">
        <f t="shared" ref="J199:J208" si="19">E199/H199</f>
        <v>2192322.1604770194</v>
      </c>
      <c r="K199" s="15">
        <f t="shared" si="18"/>
        <v>82.291424440445866</v>
      </c>
      <c r="L199" s="92">
        <f t="shared" si="16"/>
        <v>-2.0910364719408436E-2</v>
      </c>
      <c r="M199" s="92">
        <f t="shared" si="15"/>
        <v>-4.2981565969089086E-3</v>
      </c>
      <c r="N199" s="92">
        <f>J199/$J$56-1</f>
        <v>-0.17708575559554141</v>
      </c>
      <c r="O199" s="92">
        <f t="shared" si="12"/>
        <v>-4.2981565969089086E-3</v>
      </c>
    </row>
    <row r="200" spans="1:15" x14ac:dyDescent="0.3">
      <c r="A200" s="80">
        <v>45778</v>
      </c>
      <c r="B200" s="83">
        <v>1252643.49</v>
      </c>
      <c r="C200" s="83">
        <v>1240369.2581910396</v>
      </c>
      <c r="D200" s="84">
        <v>1636412.74</v>
      </c>
      <c r="E200" s="84">
        <v>1625592.4721927152</v>
      </c>
      <c r="G200" s="15">
        <v>10198.197596893689</v>
      </c>
      <c r="H200" s="85">
        <f t="shared" si="17"/>
        <v>0.73686662976676875</v>
      </c>
      <c r="J200" s="26">
        <f t="shared" si="19"/>
        <v>2206087.7864794116</v>
      </c>
      <c r="K200" s="15">
        <f t="shared" si="18"/>
        <v>82.80813361415818</v>
      </c>
      <c r="L200" s="92">
        <f t="shared" ref="L200:L210" si="20">J200/J199-1</f>
        <v>6.2790160363097591E-3</v>
      </c>
      <c r="M200" s="92">
        <f t="shared" si="15"/>
        <v>1.9538712452020768E-3</v>
      </c>
      <c r="N200" s="92">
        <f t="shared" ref="N200:N205" si="21">J200/$J$56-1</f>
        <v>-0.17191866385841825</v>
      </c>
      <c r="O200" s="15">
        <f t="shared" si="12"/>
        <v>1.9538712452020768E-3</v>
      </c>
    </row>
    <row r="201" spans="1:15" x14ac:dyDescent="0.3">
      <c r="A201" s="80">
        <v>45809</v>
      </c>
      <c r="B201" s="83">
        <v>1871281.36</v>
      </c>
      <c r="C201" s="83">
        <v>1302370.6715673418</v>
      </c>
      <c r="D201" s="84">
        <v>2423360.0699999998</v>
      </c>
      <c r="E201" s="84">
        <v>1683240.3656499411</v>
      </c>
      <c r="G201" s="15">
        <v>10363.29875530465</v>
      </c>
      <c r="H201" s="85">
        <f t="shared" si="17"/>
        <v>0.74879594698316876</v>
      </c>
      <c r="J201" s="26">
        <f t="shared" si="19"/>
        <v>2247929.3223094549</v>
      </c>
      <c r="K201" s="15">
        <f t="shared" si="18"/>
        <v>84.378705515635019</v>
      </c>
      <c r="L201" s="92">
        <f t="shared" si="20"/>
        <v>1.8966396571559851E-2</v>
      </c>
      <c r="M201" s="92">
        <f t="shared" si="15"/>
        <v>2.0957325713648389E-2</v>
      </c>
      <c r="N201" s="92">
        <f t="shared" si="21"/>
        <v>-0.15621294484364978</v>
      </c>
      <c r="O201" s="15">
        <f t="shared" si="12"/>
        <v>2.0957325713648389E-2</v>
      </c>
    </row>
    <row r="202" spans="1:15" x14ac:dyDescent="0.3">
      <c r="A202" s="80">
        <v>45839</v>
      </c>
      <c r="B202" s="83">
        <v>1317518.58</v>
      </c>
      <c r="C202" s="83">
        <v>1320734.0843526947</v>
      </c>
      <c r="D202" s="84">
        <v>1745113.96</v>
      </c>
      <c r="E202" s="84">
        <v>1725658.1717610476</v>
      </c>
      <c r="G202" s="15">
        <v>10560.37592425072</v>
      </c>
      <c r="H202" s="85">
        <f t="shared" si="17"/>
        <v>0.76303567786752624</v>
      </c>
      <c r="J202" s="26">
        <f t="shared" si="19"/>
        <v>2261569.4413972688</v>
      </c>
      <c r="K202" s="15">
        <f t="shared" si="18"/>
        <v>84.890703637767444</v>
      </c>
      <c r="L202" s="92">
        <f t="shared" si="20"/>
        <v>6.0678594084089266E-3</v>
      </c>
      <c r="M202" s="92">
        <f t="shared" si="15"/>
        <v>2.7152351228064031E-2</v>
      </c>
      <c r="N202" s="92">
        <f t="shared" si="21"/>
        <v>-0.1510929636223256</v>
      </c>
    </row>
    <row r="203" spans="1:15" x14ac:dyDescent="0.3">
      <c r="A203" s="80">
        <v>45870</v>
      </c>
      <c r="B203" s="83">
        <v>1344440.59</v>
      </c>
      <c r="C203" s="83">
        <v>1345411.9396142506</v>
      </c>
      <c r="D203" s="84">
        <v>1751316.99</v>
      </c>
      <c r="E203" s="84">
        <v>1766214.8031737304</v>
      </c>
      <c r="G203" s="15">
        <v>10758.46677061202</v>
      </c>
      <c r="H203" s="85">
        <f t="shared" si="17"/>
        <v>0.77734865160225353</v>
      </c>
      <c r="J203" s="26">
        <f t="shared" si="19"/>
        <v>2272101.1987777278</v>
      </c>
      <c r="K203" s="15">
        <f t="shared" si="18"/>
        <v>85.286025699608274</v>
      </c>
      <c r="L203" s="92">
        <f t="shared" si="20"/>
        <v>4.6568357299487939E-3</v>
      </c>
      <c r="M203" s="92">
        <f t="shared" si="15"/>
        <v>3.193563099736374E-2</v>
      </c>
      <c r="N203" s="92">
        <f t="shared" si="21"/>
        <v>-0.14713974300391719</v>
      </c>
    </row>
    <row r="204" spans="1:15" x14ac:dyDescent="0.3">
      <c r="A204" s="80">
        <v>45901</v>
      </c>
      <c r="B204" s="83">
        <v>1355602.14</v>
      </c>
      <c r="C204" s="83">
        <v>1354772.4083590875</v>
      </c>
      <c r="D204" s="84">
        <v>1788882</v>
      </c>
      <c r="E204" s="84">
        <v>1799935.632992395</v>
      </c>
      <c r="G204" s="15">
        <v>10981.80827223541</v>
      </c>
      <c r="H204" s="85">
        <f t="shared" si="17"/>
        <v>0.79348610118828666</v>
      </c>
      <c r="J204" s="26">
        <f t="shared" si="19"/>
        <v>2268389.616777027</v>
      </c>
      <c r="K204" s="15">
        <f t="shared" si="18"/>
        <v>85.146707046870347</v>
      </c>
      <c r="L204" s="92">
        <f t="shared" si="20"/>
        <v>-1.6335460773918564E-3</v>
      </c>
      <c r="M204" s="92">
        <f t="shared" si="15"/>
        <v>3.0249916595227022E-2</v>
      </c>
      <c r="N204" s="92">
        <f t="shared" si="21"/>
        <v>-0.14853292953129649</v>
      </c>
    </row>
    <row r="205" spans="1:15" x14ac:dyDescent="0.3">
      <c r="A205" s="80">
        <v>45931</v>
      </c>
      <c r="B205" s="83">
        <v>1391747.46</v>
      </c>
      <c r="C205" s="83">
        <v>1393710.7539814517</v>
      </c>
      <c r="D205" s="84">
        <v>1832053.92</v>
      </c>
      <c r="E205" s="84">
        <v>1835702.9587745657</v>
      </c>
      <c r="G205" s="15">
        <v>11238.995973584941</v>
      </c>
      <c r="H205" s="85">
        <f t="shared" si="17"/>
        <v>0.81206909420350493</v>
      </c>
      <c r="J205" s="131">
        <f t="shared" si="19"/>
        <v>2260525.5782761481</v>
      </c>
      <c r="K205" s="15">
        <f t="shared" si="18"/>
        <v>84.851520991755606</v>
      </c>
      <c r="L205" s="86">
        <f t="shared" si="20"/>
        <v>-3.4667935537688876E-3</v>
      </c>
      <c r="M205" s="92">
        <f t="shared" si="15"/>
        <v>2.6678252825603765E-2</v>
      </c>
      <c r="N205" s="92">
        <f t="shared" si="21"/>
        <v>-0.15148479008244398</v>
      </c>
    </row>
    <row r="206" spans="1:15" x14ac:dyDescent="0.3">
      <c r="A206" s="80">
        <v>45962</v>
      </c>
      <c r="B206" s="83">
        <v>1393622.02</v>
      </c>
      <c r="C206" s="83">
        <v>1423344.7373730226</v>
      </c>
      <c r="D206" s="84">
        <v>1845030.04</v>
      </c>
      <c r="E206" s="84">
        <v>1878741.1600005857</v>
      </c>
      <c r="G206" s="15">
        <v>11516.92731584745</v>
      </c>
      <c r="H206" s="85">
        <f t="shared" si="17"/>
        <v>0.8321509105768129</v>
      </c>
      <c r="J206" s="131">
        <f t="shared" si="19"/>
        <v>2257692.848882806</v>
      </c>
      <c r="K206" s="15">
        <f t="shared" si="18"/>
        <v>84.745191118785783</v>
      </c>
      <c r="L206" s="86">
        <f t="shared" si="20"/>
        <v>-1.2531286620088844E-3</v>
      </c>
      <c r="M206" s="92">
        <f t="shared" si="15"/>
        <v>2.5391692880326833E-2</v>
      </c>
      <c r="N206" s="92">
        <f t="shared" ref="N206:N210" si="22">J206/$J$56-1</f>
        <v>-0.1525480888121421</v>
      </c>
    </row>
    <row r="207" spans="1:15" x14ac:dyDescent="0.3">
      <c r="A207" s="80">
        <v>45992</v>
      </c>
      <c r="B207" s="83">
        <v>2145000</v>
      </c>
      <c r="C207" s="83">
        <v>1476741.9508650464</v>
      </c>
      <c r="D207" s="84">
        <v>2798896.7</v>
      </c>
      <c r="E207" s="84">
        <v>1935463.5683197975</v>
      </c>
      <c r="G207" s="15">
        <v>11844.61521649028</v>
      </c>
      <c r="H207" s="85">
        <f t="shared" si="17"/>
        <v>0.8558278668887378</v>
      </c>
      <c r="J207" s="131">
        <f t="shared" si="19"/>
        <v>2261510.3377691465</v>
      </c>
      <c r="K207" s="15">
        <f t="shared" si="18"/>
        <v>84.888485112664043</v>
      </c>
      <c r="L207" s="86">
        <f t="shared" si="20"/>
        <v>1.6908805324113985E-3</v>
      </c>
      <c r="M207" s="90">
        <f t="shared" si="15"/>
        <v>2.7125507731914578E-2</v>
      </c>
      <c r="N207" s="92">
        <f t="shared" si="22"/>
        <v>-0.15111514887335964</v>
      </c>
    </row>
    <row r="208" spans="1:15" x14ac:dyDescent="0.3">
      <c r="A208" s="80">
        <v>46023</v>
      </c>
      <c r="B208" s="83">
        <v>1504021.34</v>
      </c>
      <c r="C208" s="83">
        <v>1521143.0623471332</v>
      </c>
      <c r="D208" s="84">
        <v>2096955.1</v>
      </c>
      <c r="E208" s="84">
        <v>1992106.7009937742</v>
      </c>
      <c r="G208" s="15">
        <v>12185.931940935419</v>
      </c>
      <c r="H208" s="85">
        <f t="shared" si="17"/>
        <v>0.88048956833503356</v>
      </c>
      <c r="J208" s="131">
        <f t="shared" si="19"/>
        <v>2262498.9240483097</v>
      </c>
      <c r="K208" s="15">
        <f t="shared" si="18"/>
        <v>84.925592876550766</v>
      </c>
      <c r="L208" s="86">
        <f t="shared" si="20"/>
        <v>4.3713542346135448E-4</v>
      </c>
      <c r="M208" s="90">
        <f t="shared" si="15"/>
        <v>2.7574500675684899E-2</v>
      </c>
      <c r="N208" s="92">
        <f t="shared" si="22"/>
        <v>-0.1507440712344924</v>
      </c>
    </row>
    <row r="209" spans="1:15" x14ac:dyDescent="0.3">
      <c r="A209" s="80">
        <v>46054</v>
      </c>
      <c r="B209" s="83">
        <v>1510851.5</v>
      </c>
      <c r="C209" s="83">
        <v>1558054.6721636977</v>
      </c>
      <c r="D209" s="84">
        <v>2100894.7599999998</v>
      </c>
      <c r="E209" s="84">
        <v>2040115.3823486969</v>
      </c>
      <c r="G209" s="15">
        <v>12538.875411923651</v>
      </c>
      <c r="H209" s="85">
        <f t="shared" si="17"/>
        <v>0.90599135563561506</v>
      </c>
      <c r="J209" s="131">
        <f>E209/H209</f>
        <v>2251804.4677340393</v>
      </c>
      <c r="K209" s="15">
        <f t="shared" si="18"/>
        <v>84.524163716373891</v>
      </c>
      <c r="L209" s="86">
        <f t="shared" si="20"/>
        <v>-4.7268337680067551E-3</v>
      </c>
      <c r="M209" s="90">
        <f t="shared" si="15"/>
        <v>2.271732682674843E-2</v>
      </c>
      <c r="N209" s="92">
        <f t="shared" si="22"/>
        <v>-0.1547583628362611</v>
      </c>
    </row>
    <row r="210" spans="1:15" x14ac:dyDescent="0.3">
      <c r="A210" s="80">
        <v>46082</v>
      </c>
      <c r="B210" s="83">
        <v>1537634.48</v>
      </c>
      <c r="C210" s="83">
        <v>1556744.4959703356</v>
      </c>
      <c r="D210" s="84">
        <v>2172295.7799999998</v>
      </c>
      <c r="E210" s="84">
        <v>2047876.9094028077</v>
      </c>
      <c r="G210" s="15">
        <v>12963.018194289973</v>
      </c>
      <c r="H210" s="85">
        <f t="shared" si="17"/>
        <v>0.93663762029294706</v>
      </c>
      <c r="J210" s="131">
        <f>E210/H210</f>
        <v>2186413.2563480679</v>
      </c>
      <c r="K210" s="15">
        <f>J210/$J$56*100</f>
        <v>82.06962668351963</v>
      </c>
      <c r="L210" s="86">
        <f t="shared" si="20"/>
        <v>-2.9039471376381853E-2</v>
      </c>
      <c r="M210" s="90">
        <f>J210/$J$182-1</f>
        <v>-6.9818437117666887E-3</v>
      </c>
      <c r="N210" s="92">
        <f t="shared" si="22"/>
        <v>-0.17930373316480364</v>
      </c>
      <c r="O210" s="92"/>
    </row>
    <row r="211" spans="1:15" x14ac:dyDescent="0.3">
      <c r="A211" s="80">
        <v>46113</v>
      </c>
      <c r="B211" s="83">
        <v>1602236.89</v>
      </c>
      <c r="C211" s="83">
        <v>1589456.2070261068</v>
      </c>
      <c r="D211" s="84">
        <v>2230849.5299999998</v>
      </c>
      <c r="E211" s="84">
        <v>2105619.2377056452</v>
      </c>
      <c r="G211" s="15">
        <v>13297.746600665199</v>
      </c>
      <c r="H211" s="85">
        <f t="shared" si="17"/>
        <v>0.96082328549010332</v>
      </c>
      <c r="J211" s="131">
        <f>E211/H211</f>
        <v>2191473.9885093402</v>
      </c>
      <c r="K211" s="15">
        <f>J211/$J$56*100</f>
        <v>82.259587295044028</v>
      </c>
      <c r="L211" s="86">
        <f>J211/J210-1</f>
        <v>2.3146274596437255E-3</v>
      </c>
      <c r="M211" s="92">
        <f>J211/$J$182-1</f>
        <v>-4.6833766192970749E-3</v>
      </c>
      <c r="N211" s="92">
        <f>J211/$J$56-1</f>
        <v>-0.17740412704955977</v>
      </c>
      <c r="O211" s="92"/>
    </row>
    <row r="212" spans="1:15" x14ac:dyDescent="0.3">
      <c r="A212" s="80">
        <v>46143</v>
      </c>
      <c r="B212" s="147">
        <v>1606772.9830005849</v>
      </c>
      <c r="C212" s="147">
        <v>1608341.9865037848</v>
      </c>
      <c r="D212" s="147">
        <v>2121005.1010133405</v>
      </c>
      <c r="E212" s="84">
        <v>2116946.4338423675</v>
      </c>
      <c r="G212" s="15">
        <v>13583.644473756689</v>
      </c>
      <c r="H212" s="85">
        <f t="shared" si="17"/>
        <v>0.98148072031629086</v>
      </c>
      <c r="J212" s="131">
        <f>E212/H212</f>
        <v>2156890.4921129402</v>
      </c>
      <c r="K212" s="15">
        <f>J212/$J$56*100</f>
        <v>80.961454551646696</v>
      </c>
      <c r="L212" s="86">
        <f>J212/J211-1</f>
        <v>-1.5780929446451708E-2</v>
      </c>
      <c r="M212" s="92">
        <f>J212/$J$182-1</f>
        <v>-2.0390398029748513E-2</v>
      </c>
      <c r="N212" s="92">
        <f>J212/$J$56-1</f>
        <v>-0.19038545448353306</v>
      </c>
      <c r="O212" s="92"/>
    </row>
    <row r="213" spans="1:15" x14ac:dyDescent="0.3">
      <c r="A213" s="80">
        <v>46174</v>
      </c>
      <c r="B213" s="147"/>
      <c r="C213" s="147"/>
      <c r="D213" s="147"/>
      <c r="E213" s="84">
        <f>J213</f>
        <v>2156890.4921129402</v>
      </c>
      <c r="G213" s="15">
        <v>13839.950385759223</v>
      </c>
      <c r="H213" s="85">
        <f t="shared" si="17"/>
        <v>1</v>
      </c>
      <c r="J213" s="131">
        <f>J212*(1+L214)</f>
        <v>2156890.4921129402</v>
      </c>
      <c r="K213" s="15">
        <f>J213/$J$56*100</f>
        <v>80.961454551646696</v>
      </c>
      <c r="L213" s="86">
        <v>-8.9999999999999993E-3</v>
      </c>
      <c r="M213" s="92">
        <f>J213/$J$182-1</f>
        <v>-2.0390398029748513E-2</v>
      </c>
      <c r="N213" s="92">
        <f>J213/$J$56-1</f>
        <v>-0.19038545448353306</v>
      </c>
      <c r="O213" s="92"/>
    </row>
    <row r="214" spans="1:15" x14ac:dyDescent="0.3">
      <c r="A214" s="146"/>
      <c r="B214" s="147"/>
      <c r="C214" s="147"/>
      <c r="D214" s="147"/>
      <c r="E214" s="147"/>
      <c r="H214" s="85"/>
      <c r="J214" s="131"/>
      <c r="L214" s="86"/>
      <c r="M214" s="90"/>
      <c r="N214" s="92"/>
      <c r="O214" s="92"/>
    </row>
    <row r="215" spans="1:15" x14ac:dyDescent="0.3">
      <c r="A215" s="146"/>
      <c r="B215" s="147"/>
      <c r="C215" s="147"/>
      <c r="D215" s="147"/>
      <c r="E215" s="147"/>
      <c r="H215" s="85"/>
      <c r="J215" s="131"/>
      <c r="L215" s="86"/>
      <c r="M215" s="90"/>
      <c r="N215" s="92"/>
      <c r="O215" s="92"/>
    </row>
    <row r="216" spans="1:15" x14ac:dyDescent="0.3">
      <c r="I216" s="15" t="s">
        <v>18</v>
      </c>
      <c r="J216" s="26">
        <f>MAX(J4:J211)</f>
        <v>2664095.5304687899</v>
      </c>
    </row>
    <row r="217" spans="1:15" x14ac:dyDescent="0.3">
      <c r="J217" s="89">
        <f>J208/J216-1</f>
        <v>-0.1507440712344924</v>
      </c>
    </row>
  </sheetData>
  <conditionalFormatting sqref="J4:J204">
    <cfRule type="cellIs" dxfId="0" priority="29" operator="equal">
      <formula>$J$216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5" r:id="rId3" name="Button 1">
              <controlPr defaultSize="0" print="0" autoFill="0" autoPict="0" macro="[0]!ActualizarA4">
                <anchor moveWithCells="1" sizeWithCells="1">
                  <from>
                    <xdr:col>16</xdr:col>
                    <xdr:colOff>0</xdr:colOff>
                    <xdr:row>1</xdr:row>
                    <xdr:rowOff>0</xdr:rowOff>
                  </from>
                  <to>
                    <xdr:col>17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6" r:id="rId4" name="Button 2">
              <controlPr defaultSize="0" print="0" autoFill="0" autoPict="0" macro="[0]!ActualizarA4">
                <anchor moveWithCells="1" sizeWithCells="1">
                  <from>
                    <xdr:col>16</xdr:col>
                    <xdr:colOff>0</xdr:colOff>
                    <xdr:row>1</xdr:row>
                    <xdr:rowOff>0</xdr:rowOff>
                  </from>
                  <to>
                    <xdr:col>17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5" name="Button 3">
              <controlPr defaultSize="0" print="0" autoFill="0" autoPict="0" macro="[0]!ActualizarA4">
                <anchor moveWithCells="1" sizeWithCells="1">
                  <from>
                    <xdr:col>16</xdr:col>
                    <xdr:colOff>0</xdr:colOff>
                    <xdr:row>1</xdr:row>
                    <xdr:rowOff>0</xdr:rowOff>
                  </from>
                  <to>
                    <xdr:col>17</xdr:col>
                    <xdr:colOff>736600</xdr:colOff>
                    <xdr:row>2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16</vt:i4>
      </vt:variant>
    </vt:vector>
  </HeadingPairs>
  <TitlesOfParts>
    <vt:vector size="23" baseType="lpstr">
      <vt:lpstr>Colores</vt:lpstr>
      <vt:lpstr>Síntesis</vt:lpstr>
      <vt:lpstr>T.2.2</vt:lpstr>
      <vt:lpstr>A.2.2</vt:lpstr>
      <vt:lpstr>Cuadro 1</vt:lpstr>
      <vt:lpstr>A.5.2</vt:lpstr>
      <vt:lpstr>A.4</vt:lpstr>
      <vt:lpstr>Gráfico 1</vt:lpstr>
      <vt:lpstr>Gráfico 2</vt:lpstr>
      <vt:lpstr>Gráfico 3 </vt:lpstr>
      <vt:lpstr>Gráfico 4 </vt:lpstr>
      <vt:lpstr>Gráfico 4b</vt:lpstr>
      <vt:lpstr>Gráfico 5c</vt:lpstr>
      <vt:lpstr>Gráfico 5</vt:lpstr>
      <vt:lpstr>Gráfico 5b</vt:lpstr>
      <vt:lpstr>Gráfico 6</vt:lpstr>
      <vt:lpstr>Gráfico 6b</vt:lpstr>
      <vt:lpstr>Gráfico 7</vt:lpstr>
      <vt:lpstr>Gráfico 7 (2)</vt:lpstr>
      <vt:lpstr>Gráfico 8</vt:lpstr>
      <vt:lpstr>Gráfico 9</vt:lpstr>
      <vt:lpstr>Gráfico 18</vt:lpstr>
      <vt:lpstr>Gráfico 18b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Catania, Maria Sol</dc:creator>
  <cp:lastModifiedBy>Daniela Anahi Di Lalla</cp:lastModifiedBy>
  <dcterms:created xsi:type="dcterms:W3CDTF">2024-09-02T17:13:13Z</dcterms:created>
  <dcterms:modified xsi:type="dcterms:W3CDTF">2026-08-17T22:43:34Z</dcterms:modified>
</cp:coreProperties>
</file>